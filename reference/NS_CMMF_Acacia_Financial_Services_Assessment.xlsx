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6"/>
  </bookViews>
  <sheets>
    <sheet name="📋 Overview" sheetId="1" state="visible" r:id="rId3"/>
    <sheet name="🔍 Scoping" sheetId="2" state="visible" r:id="rId4"/>
    <sheet name="📊 Dashboard" sheetId="3" state="visible" r:id="rId5"/>
    <sheet name="📄 Board Report" sheetId="4" state="visible" r:id="rId6"/>
    <sheet name="🗺️ Roadmap" sheetId="5" state="visible" r:id="rId7"/>
    <sheet name="GV Govern" sheetId="6" state="visible" r:id="rId8"/>
    <sheet name="ID Identify" sheetId="7" state="visible" r:id="rId9"/>
    <sheet name="PR Protect" sheetId="8" state="visible" r:id="rId10"/>
    <sheet name="DE Detect" sheetId="9" state="visible" r:id="rId11"/>
    <sheet name="RS Respond" sheetId="10" state="visible" r:id="rId12"/>
    <sheet name="RC Recover" sheetId="11" state="visible" r:id="rId13"/>
    <sheet name="📎 Evidence Register" sheetId="12" state="visible" r:id="rId14"/>
    <sheet name="📖 Maturity Matrix" sheetId="13" state="visible" r:id="rId15"/>
    <sheet name="📅 Assessment History" sheetId="14" state="visible" r:id="rId16"/>
    <sheet name="_REC" sheetId="15" state="hidden" r:id="rId17"/>
    <sheet name="_DV" sheetId="16" state="hidden" r:id="rId18"/>
    <sheet name="_SCOPE" sheetId="17" state="visible" r:id="rId19"/>
  </sheets>
  <definedNames>
    <definedName function="false" hidden="true" localSheetId="11" name="_xlnm._FilterDatabase" vbProcedure="false">'📎 Evidence Register'!$B$5:$N$5</definedName>
    <definedName function="false" hidden="true" localSheetId="8" name="_xlnm._FilterDatabase" vbProcedure="false">'DE Detect'!$A$3:$Q$23</definedName>
    <definedName function="false" hidden="true" localSheetId="5" name="_xlnm._FilterDatabase" vbProcedure="false">'GV Govern'!$A$3:$Q$31</definedName>
    <definedName function="false" hidden="true" localSheetId="6" name="_xlnm._FilterDatabase" vbProcedure="false">'ID Identify'!$A$3:$Q$25</definedName>
    <definedName function="false" hidden="true" localSheetId="7" name="_xlnm._FilterDatabase" vbProcedure="false">'PR Protect'!$A$3:$Q$86</definedName>
    <definedName function="false" hidden="true" localSheetId="10" name="_xlnm._FilterDatabase" vbProcedure="false">'RC Recover'!$A$3:$Q$20</definedName>
    <definedName function="false" hidden="true" localSheetId="9" name="_xlnm._FilterDatabase" vbProcedure="false">'RS Respond'!$A$3:$Q$20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<sst xmlns="http://schemas.openxmlformats.org/spreadsheetml/2006/main" count="14053" uniqueCount="5517">
  <si>
    <t xml:space="preserve">NUCLEUS SYSTEMS  |  NS-CMMF v1.0  —  Cybersecurity Maturity Measurement Framework</t>
  </si>
  <si>
    <t xml:space="preserve">NIST CSF 2.0  ·  187+ Controls  ·  6 Domains  ·  32 Frameworks &amp; Regulations  ·  5-Axis Scoring  ·  Hard Scoring Gates  ·  2026  ·  Re-engineered &amp; Modernised</t>
  </si>
  <si>
    <t xml:space="preserve">Purpose</t>
  </si>
  <si>
    <t xml:space="preserve">NS-CMMF v1.0 is a comprehensive, consultable, and regulatory-aligned cybersecurity maturity framework for mid-market and enterprise organizations operating across multiple jurisdictions—modernizing traditional controls to align with cloud-first, AI-driven, and dynamic operating environments. With 187+ fully re-engineered and modernized controls, a 5-axis scoring model, and mapping to 32 frameworks and regulations, it replaces fragmented compliance checklists and opaque maturity ratings with a single, evidence-based approach to measurement and continuous improvement.
This Assessment Tool is the operational layer of NS-CMMF v1.0, covering 187 specific controls across 6 NIST CSF 2.0 domains with automated scoring, roadmap prioritisation, and board-ready reporting.</t>
  </si>
  <si>
    <t xml:space="preserve">What Makes NS-CMMF Different</t>
  </si>
  <si>
    <t xml:space="preserve">1. SPECIFICITY — Every control addresses one measurable, auditable outcome. Where legacy frameworks have 'endpoint protection' (one checkbox), NS-CMMF has 7 distinct controls: EDR coverage, CIS hardening, Critical patch SLA, Medium patch SLA, EOL management, application allowlisting, and MDM — each with its own evidence standard and regulatory mapping.
2. REGULATORY ALIGNMENT — Every control maps to specific regulatory articles (not general categories): GDPR Art.33-35, NIS2 Art.20-23, DORA Art.5-19, PCI DSS Req.1-12, HIPAA §164.308-312, SOX §404 &amp; §802, CRA Art.13-14, FedRAMP Rev.5, and NIST SP 800-53 Rev.5.
3. MODERNISED CONTROLS — Re-engineered for cloud-first, AI-driven environments. Includes dedicated AI governance, AI threat detection, shadow AI controls, prompt injection prevention, AI model integrity validation, OT/ICS security, CSPM/CIEM, ZTNA, SASE architecture, and container security.
4. FINANCIAL QUANTIFICATION — Cyber risk expressed as EBITDA impact, regulatory fine exposure, and remediation cost — enabling board-level investment decisions rather than instinct-based ones.
5. CONTINUOUS MEASUREMENT — Designed for repeated assessment with longitudinal tracking, evidence lifecycle management, and a living roadmap — not a point-in-time audit instrument.</t>
  </si>
  <si>
    <t xml:space="preserve">5-Axis Scoring Model</t>
  </si>
  <si>
    <t xml:space="preserve">Each control is scored across five independent dimensions:
• Design Adequacy (20%) — Is the control well-designed, scoped, and mapped to regulatory obligations?
• Implementation Coverage (25%) — Is it deployed across 100% of the in-scope population?
• Operating Effectiveness (25%) — Does it run consistently with 3-month operational evidence?
• Monitoring &amp; Assurance (20%) — Is it independently tested and reported against defined KPIs?
• Automation &amp; Resilience (10%) — Is it automated, self-healing, and continuously evidenced?
Composite Score = Design×0.20 + Coverage×0.25 + Operating×0.25 + Monitoring×0.20 + Automation×0.10</t>
  </si>
  <si>
    <t xml:space="preserve">Hard Scoring Gates</t>
  </si>
  <si>
    <t xml:space="preserve">These gates cap maturity regardless of composite score:
• No named owner → Maximum L2 (unowned control is not a control)
• No operational evidence over 3-month sample → Maximum L3 (documentation ≠ operation)
• No KPI or KRI defined → Maximum L4 (unmeasured control cannot be managed)
• No automated telemetry → Maximum L5 (continuous evidence requires automation)
• Named regulatory obligation demonstrably unmet → Maximum L2 / High Risk
• Interview-only evidence (Tier 3) → Maximum L2 / Unverified
• Attestation-only evidence (Tier 4) → Maximum L1.5 / Unverified</t>
  </si>
  <si>
    <t xml:space="preserve">Evidence Standards</t>
  </si>
  <si>
    <t xml:space="preserve">Tier 1 — Automated tool output + independent third-party validation → Full score weight
Tier 2 — Documentary evidence + sample testing → Score reduced by 0.3 across all dimensions
Tier 3 — Interview only, no corroboration → Capped at L2 / Unverified
Tier 4 — Management attestation, no supporting documentation → Capped at L1.5 / Unverified</t>
  </si>
  <si>
    <t xml:space="preserve">Maturity Scale</t>
  </si>
  <si>
    <t xml:space="preserve">L1 — Initial: Ad hoc, reactive, undocumented. No named owner. Controls exist only after incidents.
L2 — Developing: Basic processes exist but inconsistently applied. Some documentation. Manual evidence.
L3 — Defined: Standardised, documented, consistently applied. Named owners. Annual review. Systematic evidence.
L4 — Managed: Measured, KPI-driven, risk-integrated. Performance tracked. Exceptions formally managed.
L5 — Optimised: Automated, adaptive, continuously improving. Self-healing. Independently assured.</t>
  </si>
  <si>
    <t xml:space="preserve">Simplification Recommendations</t>
  </si>
  <si>
    <t xml:space="preserve">Based on assessment of legacy frameworks and client feedback, NS-CMMF v1.0 incorporates the following simplifications:
1. CONSOLIDATE VENDOR ASSESSMENT — Combined vendor assessment questionnaire, contractual obligations, and sub-processor mapping into a unified TPRM domain view rather than three separate sheets.
2. UNIFIED JML CONTROLS — Joiners/Movers/Leavers consolidated into three specific controls with clear SLA gates, replacing six overlapping IAM procedures.
3. SINGLE PATCH SLA CONTROL — Critical/High and Medium/Low SLAs unified into one Patch Management control with tiered SLA thresholds, eliminating duplicate evidence collection.
4. AI CONTROLS INTEGRATED — AI governance controls distributed across relevant CSF domains (GV for governance, PR for controls, DE for detection, RC for recovery) rather than siloed in a separate AI workstream.
5. EVIDENCE REGISTER SIMPLIFIED — Evidence tracking uses status tiers (Current/Expiring/Expired/Requested) with automated flagging rather than manual evidence management spreadsheets.
6. ROADMAP AUTO-GENERATION — Priority Score (Gap × Domain Weight) automatically populates the roadmap, eliminating manual prioritisation workshops for standard engagements.
7. REGULATORY MAPPING AT CONTROL LEVEL — Framework alignment embedded in each control row rather than maintained as a separate cross-reference matrix, eliminating the need for mapping reconciliation.
8. SINGLE DROPDOWN PER CONTROL — Replaced separate current/target/evidence dropdowns with a single L1-L5 contextual dropdown that preserves control-specific maturity descriptions.</t>
  </si>
  <si>
    <t xml:space="preserve">How to Use This Tool</t>
  </si>
  <si>
    <t xml:space="preserve">Step 1: SCOPE — Complete the 🔍 Scoping sheet. Answer all Yes/No questions to auto-scope controls for your context.
Step 2: ASSESS — Work through each domain sheet. Describe current state in column F, attach evidence in column G, select maturity rating in column H, and set target in column J.
Step 3: REVIEW — Open the 📊 Dashboard for your weighted maturity current vs target with priority signals.
Step 4: ROADMAP — Use the 🗺️ Roadmap sheet for auto-generated improvement actions ranked by Priority Score.
Step 5: REPORT — The 📄 Board Report auto-populates from your scores for executive communication.
Step 6: TRACK — Record each completed assessment in 📅 Assessment History for regulatory evidence of improvement.</t>
  </si>
  <si>
    <t xml:space="preserve">Version</t>
  </si>
  <si>
    <t xml:space="preserve">Nucleus Systems NS-CMMF v1.0  |  Cybersecurity Maturity Measurement Framework  |  2026 Edition  |  Re-engineered &amp; Modernised  |  www.nucleus-systems.com  |  Centurion, Gauteng, South Africa</t>
  </si>
  <si>
    <t xml:space="preserve">🔍  NS-CMMF v1.0 Cybersecurity Maturity Measurement Framework  —  ASSESSMENT SCOPING QUESTIONNAIRE</t>
  </si>
  <si>
    <t xml:space="preserve">Complete this sheet FIRST — answers auto-scope controls. If unsure, answer Yes (conservative scoping).</t>
  </si>
  <si>
    <t xml:space="preserve">Q #</t>
  </si>
  <si>
    <t xml:space="preserve">Category</t>
  </si>
  <si>
    <t xml:space="preserve">Scoping Question</t>
  </si>
  <si>
    <t xml:space="preserve">Answer ▼</t>
  </si>
  <si>
    <t xml:space="preserve">Why This Matters</t>
  </si>
  <si>
    <t xml:space="preserve">Controls
Affected if No</t>
  </si>
  <si>
    <t xml:space="preserve">  Regulatory</t>
  </si>
  <si>
    <t xml:space="preserve">Q1</t>
  </si>
  <si>
    <t xml:space="preserve">Regulatory</t>
  </si>
  <si>
    <t xml:space="preserve">Subject to GDPR (EU data protection)?</t>
  </si>
  <si>
    <t xml:space="preserve">Yes</t>
  </si>
  <si>
    <t xml:space="preserve">Triggers privacy governance, ROPA, DPIA, data subject rights, and breach notification controls.</t>
  </si>
  <si>
    <t xml:space="preserve">8 controls</t>
  </si>
  <si>
    <t xml:space="preserve">Q2</t>
  </si>
  <si>
    <t xml:space="preserve">Subject to NIS2 Directive (EU essential or important entity)?</t>
  </si>
  <si>
    <t xml:space="preserve">No</t>
  </si>
  <si>
    <t xml:space="preserve">Triggers NIS2 management accountability, incident notification, and supply chain security controls.</t>
  </si>
  <si>
    <t xml:space="preserve">3 controls</t>
  </si>
  <si>
    <t xml:space="preserve">Q3</t>
  </si>
  <si>
    <t xml:space="preserve">Subject to DORA (EU Digital Operational Resilience Act)?</t>
  </si>
  <si>
    <t xml:space="preserve">Triggers DORA ICT risk framework, TPSP register, TLPT, and major incident reporting controls.</t>
  </si>
  <si>
    <t xml:space="preserve">4 controls</t>
  </si>
  <si>
    <t xml:space="preserve">Q4</t>
  </si>
  <si>
    <t xml:space="preserve">Subject to PCI DSS (processes, stores, or transmits payment card data)?</t>
  </si>
  <si>
    <t xml:space="preserve">Triggers CDE scoping, cardholder data protection, segmentation validation, and logging controls.</t>
  </si>
  <si>
    <t xml:space="preserve">6 controls</t>
  </si>
  <si>
    <t xml:space="preserve">Q5</t>
  </si>
  <si>
    <t xml:space="preserve">Subject to HIPAA (US healthcare — PHI protection)?</t>
  </si>
  <si>
    <t xml:space="preserve">Triggers HIPAA administrative, technical, and physical safeguards; BAA requirements.</t>
  </si>
  <si>
    <t xml:space="preserve">2 controls</t>
  </si>
  <si>
    <t xml:space="preserve">Q6</t>
  </si>
  <si>
    <t xml:space="preserve">Subject to SOX (public company — financial reporting controls)?</t>
  </si>
  <si>
    <t xml:space="preserve">Triggers IT general controls, audit trail requirements, access certification, and financial monitoring.</t>
  </si>
  <si>
    <t xml:space="preserve">Q7</t>
  </si>
  <si>
    <t xml:space="preserve">Subject to CCPA or US state privacy laws?</t>
  </si>
  <si>
    <t xml:space="preserve">Triggers consumer rights fulfilment, deletion capability, and service provider governance.</t>
  </si>
  <si>
    <t xml:space="preserve">None</t>
  </si>
  <si>
    <t xml:space="preserve">Q8</t>
  </si>
  <si>
    <t xml:space="preserve">Distribute software products in EU subject to Cyber Resilience Act (CRA)?</t>
  </si>
  <si>
    <t xml:space="preserve">Triggers SBOM, vulnerability disclosure, security-by-design, and ENISA reporting obligations.</t>
  </si>
  <si>
    <t xml:space="preserve">Q9</t>
  </si>
  <si>
    <t xml:space="preserve">Hold or seek FedRAMP authorisation for US federal cloud workloads?</t>
  </si>
  <si>
    <t xml:space="preserve">Triggers FedRAMP baselines, ZTA mandate, 3PAO assessment, and continuous monitoring controls.</t>
  </si>
  <si>
    <t xml:space="preserve">1 controls</t>
  </si>
  <si>
    <t xml:space="preserve">  Organisation</t>
  </si>
  <si>
    <t xml:space="preserve">Q10</t>
  </si>
  <si>
    <t xml:space="preserve">Organisation</t>
  </si>
  <si>
    <t xml:space="preserve">500+ employees or process data of 100,000+ individuals?</t>
  </si>
  <si>
    <t xml:space="preserve">Larger organisations require formal executive accountability and structured audit infrastructure.</t>
  </si>
  <si>
    <t xml:space="preserve">Q11</t>
  </si>
  <si>
    <t xml:space="preserve">Operate across more than 3 countries or jurisdictions?</t>
  </si>
  <si>
    <t xml:space="preserve">Requires multi-framework regulatory mapping and cross-border data transfer controls.</t>
  </si>
  <si>
    <t xml:space="preserve">Q12</t>
  </si>
  <si>
    <t xml:space="preserve">Have an existing ISO 27001, SOC 2, or formal GRC programme?</t>
  </si>
  <si>
    <t xml:space="preserve">Enables integration of NS-CMMF into existing assurance frameworks.</t>
  </si>
  <si>
    <t xml:space="preserve">  Cloud &amp; Infra</t>
  </si>
  <si>
    <t xml:space="preserve">Q13</t>
  </si>
  <si>
    <t xml:space="preserve">Cloud &amp; Infra</t>
  </si>
  <si>
    <t xml:space="preserve">Operate workloads on AWS, Azure, or GCP?</t>
  </si>
  <si>
    <t xml:space="preserve">Triggers CSPM, CIEM, shared responsibility, ISO 27017, and cloud-native security controls.</t>
  </si>
  <si>
    <t xml:space="preserve">13 controls</t>
  </si>
  <si>
    <t xml:space="preserve">Q14</t>
  </si>
  <si>
    <t xml:space="preserve">Operate OT, ICS, SCADA, or industrial control systems?</t>
  </si>
  <si>
    <t xml:space="preserve">Triggers OT/ICS security, OT-IT network separation, and specialist continuity controls.</t>
  </si>
  <si>
    <t xml:space="preserve">Q15</t>
  </si>
  <si>
    <t xml:space="preserve">Use or provide SaaS applications to external customers?</t>
  </si>
  <si>
    <t xml:space="preserve">Triggers SaaS security, API security, multi-tenant isolation, and CASB controls.</t>
  </si>
  <si>
    <t xml:space="preserve">  App Dev</t>
  </si>
  <si>
    <t xml:space="preserve">Q16</t>
  </si>
  <si>
    <t xml:space="preserve">App Dev</t>
  </si>
  <si>
    <t xml:space="preserve">Develop, build, or maintain software products distributed externally?</t>
  </si>
  <si>
    <t xml:space="preserve">Triggers SBOM, secure SDLC, NIST SSDF, CRA obligations, and supply chain security.</t>
  </si>
  <si>
    <t xml:space="preserve">14 controls</t>
  </si>
  <si>
    <t xml:space="preserve">  AI &amp; Emerging</t>
  </si>
  <si>
    <t xml:space="preserve">Q17</t>
  </si>
  <si>
    <t xml:space="preserve">AI &amp; Emerging</t>
  </si>
  <si>
    <t xml:space="preserve">Develop, train, fine-tune, or deploy AI or ML models?</t>
  </si>
  <si>
    <t xml:space="preserve">Triggers AI governance committee, asset inventory, training data governance, and adversarial testing.</t>
  </si>
  <si>
    <t xml:space="preserve">12 controls</t>
  </si>
  <si>
    <t xml:space="preserve">Q18</t>
  </si>
  <si>
    <t xml:space="preserve">Use generative AI, LLMs, or automated decision systems affecting individuals?</t>
  </si>
  <si>
    <t xml:space="preserve">Triggers prompt injection prevention, AI output monitoring, GDPR Art.22, and EU AI Act controls.</t>
  </si>
  <si>
    <t xml:space="preserve">Q19</t>
  </si>
  <si>
    <t xml:space="preserve">Employees using third-party AI tools (ChatGPT, Copilot, etc.) for work?</t>
  </si>
  <si>
    <t xml:space="preserve">Triggers shadow AI detection, AI AUP enforcement, and DLP-based AI monitoring controls.</t>
  </si>
  <si>
    <t xml:space="preserve">  Third Parties</t>
  </si>
  <si>
    <t xml:space="preserve">Q20</t>
  </si>
  <si>
    <t xml:space="preserve">Third Parties</t>
  </si>
  <si>
    <t xml:space="preserve">Rely on third-party ICT providers for critical operations?</t>
  </si>
  <si>
    <t xml:space="preserve">Triggers TPRM programme, DORA TPSP register, vendor assessments, and supply chain controls.</t>
  </si>
  <si>
    <t xml:space="preserve">7 controls</t>
  </si>
  <si>
    <t xml:space="preserve">Q21</t>
  </si>
  <si>
    <t xml:space="preserve">Process personal data as a data processor on behalf of other organisations?</t>
  </si>
  <si>
    <t xml:space="preserve">Triggers processor obligations under GDPR Art.28, contractual requirements, and sub-processor governance.</t>
  </si>
  <si>
    <t xml:space="preserve">Q22</t>
  </si>
  <si>
    <t xml:space="preserve">Use managed security services (MSSP, SOC-as-a-service)?</t>
  </si>
  <si>
    <t xml:space="preserve">Triggers MSSP contract review, shared responsibility for detection, and third-party SLA monitoring.</t>
  </si>
  <si>
    <t xml:space="preserve">  Financial</t>
  </si>
  <si>
    <t xml:space="preserve">Q23</t>
  </si>
  <si>
    <t xml:space="preserve">Financial</t>
  </si>
  <si>
    <t xml:space="preserve">Hold, process, or manage significant financial assets or critical financial data?</t>
  </si>
  <si>
    <t xml:space="preserve">Triggers SOX financial monitoring, financial system access controls, and change management controls.</t>
  </si>
  <si>
    <t xml:space="preserve">⚙️  HOW SCOPING WORKS: Answer Yes/No above. Controls are auto-excluded in domain sheets when you answer No to a relevant question. Override by setting Scope = Apply in any domain sheet. N/A = question not applicable to your organisation (controls remain in scope).</t>
  </si>
  <si>
    <t xml:space="preserve">NUCLEUS SYSTEMS  |  NS-CMMF v1.0  —  CYBERSECURITY MATURITY MEASUREMENT DASHBOARD</t>
  </si>
  <si>
    <t xml:space="preserve">NIST CSF 2.0  ·  188 Controls  ·  6 Domains  ·  32 Frameworks &amp; Regulations  ·  5-Axis Maturity Scoring  ·  L1→L5  ·  Evidence-Based  ·  2026</t>
  </si>
  <si>
    <t xml:space="preserve">Organisation:</t>
  </si>
  <si>
    <t xml:space="preserve">Acacia Financial Services Ltd</t>
  </si>
  <si>
    <t xml:space="preserve">Assessment Date:</t>
  </si>
  <si>
    <t xml:space="preserve">04 September 2026</t>
  </si>
  <si>
    <t xml:space="preserve">Assessor:</t>
  </si>
  <si>
    <t xml:space="preserve">[Your Name] — Lead Assessor, NS-CMMF v1.0</t>
  </si>
  <si>
    <t xml:space="preserve">📊  DOMAIN MATURITY — CURRENT STATE vs TARGET  (Weighted by domain criticality)</t>
  </si>
  <si>
    <t xml:space="preserve">Domain</t>
  </si>
  <si>
    <t xml:space="preserve">Weight</t>
  </si>
  <si>
    <t xml:space="preserve">Current
Avg (/5.0)</t>
  </si>
  <si>
    <t xml:space="preserve">Maturity
%</t>
  </si>
  <si>
    <t xml:space="preserve">Level</t>
  </si>
  <si>
    <t xml:space="preserve">Target
Avg (/5.0)</t>
  </si>
  <si>
    <t xml:space="preserve">Target
%</t>
  </si>
  <si>
    <t xml:space="preserve">Target Level</t>
  </si>
  <si>
    <t xml:space="preserve">Gap</t>
  </si>
  <si>
    <t xml:space="preserve">Priority Signal</t>
  </si>
  <si>
    <t xml:space="preserve">Controls
Rated %</t>
  </si>
  <si>
    <t xml:space="preserve">Quick Wins
Available</t>
  </si>
  <si>
    <t xml:space="preserve">🏛️</t>
  </si>
  <si>
    <t xml:space="preserve">GOVERN — Leadership, Strategy &amp; Risk Governance</t>
  </si>
  <si>
    <t xml:space="preserve">🔍</t>
  </si>
  <si>
    <t xml:space="preserve">IDENTIFY — Assets, Data, Risk &amp; Exposure</t>
  </si>
  <si>
    <t xml:space="preserve">🛡️</t>
  </si>
  <si>
    <t xml:space="preserve">PROTECT — Controls, Architecture &amp; Safeguards</t>
  </si>
  <si>
    <t xml:space="preserve">📡</t>
  </si>
  <si>
    <t xml:space="preserve">DETECT — Monitoring, Detection &amp; Threat Intelligence</t>
  </si>
  <si>
    <t xml:space="preserve">🚨</t>
  </si>
  <si>
    <t xml:space="preserve">RESPOND — Incident Management &amp; Regulatory Notification</t>
  </si>
  <si>
    <t xml:space="preserve">♻️</t>
  </si>
  <si>
    <t xml:space="preserve">RECOVER — Resilience, Continuity &amp; Validation</t>
  </si>
  <si>
    <t xml:space="preserve">📊  WEIGHTED OVERALL MATURITY</t>
  </si>
  <si>
    <t xml:space="preserve">Weighted maturity across all in-scope assessed controls · Regulatory compliance floors applied</t>
  </si>
  <si>
    <t xml:space="preserve">📌  REGULATORY COMPLIANCE FLOORS — Controls capped due to unmet regulatory obligations</t>
  </si>
  <si>
    <t xml:space="preserve">⚠  NIS2 incident notification capability absent or untested → minimum High Risk (NIS2 essential/important entities)</t>
  </si>
  <si>
    <t xml:space="preserve">⚠  DORA major incident reporting process not established (EU financial entities) → minimum High Risk</t>
  </si>
  <si>
    <t xml:space="preserve">⚠  GDPR ROPA absent or &gt;50% incomplete → minimum High Risk (direct GDPR Art.30 violation)</t>
  </si>
  <si>
    <t xml:space="preserve">⚠  PCI CDE scope unconfirmed or segmentation untested → minimum Critical Risk (PCI DSS non-compliance)</t>
  </si>
  <si>
    <t xml:space="preserve">⚠  HIPAA risk analysis not conducted or &gt;12 months outdated → minimum High Risk</t>
  </si>
  <si>
    <t xml:space="preserve">⚠  FedRAMP ATO expired or not obtained for federal cloud workloads → minimum Critical Risk</t>
  </si>
  <si>
    <t xml:space="preserve">⚠  CRA vulnerability disclosure policy absent for EU-distributed software → minimum High Risk (CRA Art.13)</t>
  </si>
  <si>
    <t xml:space="preserve">⚠  SOX IT general controls not evidenced for in-scope financial systems → minimum High Risk (SOX §404)</t>
  </si>
  <si>
    <t xml:space="preserve">💰  REMEDIATION &amp; IMPROVEMENT COST SUMMARY  —  From Roadmap Tab  (Enter costs in Roadmap → auto-populate here)</t>
  </si>
  <si>
    <t xml:space="preserve">Controls</t>
  </si>
  <si>
    <t xml:space="preserve">Internal Cost
(Staff Time)</t>
  </si>
  <si>
    <t xml:space="preserve">External
Once-Off</t>
  </si>
  <si>
    <t xml:space="preserve">External
Recurring /yr</t>
  </si>
  <si>
    <t xml:space="preserve">Software /
Tool Cost</t>
  </si>
  <si>
    <t xml:space="preserve">Total
Once-Off</t>
  </si>
  <si>
    <t xml:space="preserve">Total
Annual</t>
  </si>
  <si>
    <t xml:space="preserve">Effort
Signal</t>
  </si>
  <si>
    <t xml:space="preserve">Notes</t>
  </si>
  <si>
    <t xml:space="preserve">🏛️ GOVERN</t>
  </si>
  <si>
    <t xml:space="preserve">16%</t>
  </si>
  <si>
    <t xml:space="preserve">🔍 IDENTIFY</t>
  </si>
  <si>
    <t xml:space="preserve">10%</t>
  </si>
  <si>
    <t xml:space="preserve">🛡️ PROTECT</t>
  </si>
  <si>
    <t xml:space="preserve">26%</t>
  </si>
  <si>
    <t xml:space="preserve">📡 DETECT</t>
  </si>
  <si>
    <t xml:space="preserve">14%</t>
  </si>
  <si>
    <t xml:space="preserve">🚨 RESPOND</t>
  </si>
  <si>
    <t xml:space="preserve">11%</t>
  </si>
  <si>
    <t xml:space="preserve">♻️ RECOVER</t>
  </si>
  <si>
    <t xml:space="preserve">  TOTAL — ALL 188 CONTROLS</t>
  </si>
  <si>
    <t xml:space="preserve">100%</t>
  </si>
  <si>
    <t xml:space="preserve">📋  HOW TO USE: Enter cost estimates per control in the Roadmap tab (columns J–M: Internal / External Once-Off / External Recurring / Software). Domain totals and the grand total auto-populate above. Once-Off cost = CAPEX + year-1 implementation. Annual cost = ongoing OPEX + licensing.</t>
  </si>
  <si>
    <t xml:space="preserve">NUCLEUS SYSTEMS  |  CONFIDENTIAL</t>
  </si>
  <si>
    <t xml:space="preserve">CYBERSECURITY MATURITY BOARD REPORT</t>
  </si>
  <si>
    <t xml:space="preserve">NS-CMMF v1.0  ·  188 Controls  ·  6 Domains  ·  32 Frameworks  ·  5-Axis Scoring  ·  2026</t>
  </si>
  <si>
    <t xml:space="preserve">Date:</t>
  </si>
  <si>
    <t xml:space="preserve">📊  MATURITY SUMMARY  —  Current vs Target by Domain</t>
  </si>
  <si>
    <t xml:space="preserve">Current Score</t>
  </si>
  <si>
    <t xml:space="preserve">Target</t>
  </si>
  <si>
    <t xml:space="preserve">Priority</t>
  </si>
  <si>
    <t xml:space="preserve">🏛️ GOVERN — Leadership, Strategy &amp; Risk Governance</t>
  </si>
  <si>
    <t xml:space="preserve">🔍 IDENTIFY — Assets, Data, Risk &amp; Exposure</t>
  </si>
  <si>
    <t xml:space="preserve">🛡️ PROTECT — Controls, Architecture &amp; Safeguards</t>
  </si>
  <si>
    <t xml:space="preserve">📡 DETECT — Monitoring, Detection &amp; Threat Intelligence</t>
  </si>
  <si>
    <t xml:space="preserve">🚨 RESPOND — Incident Management &amp; Regulatory Notification</t>
  </si>
  <si>
    <t xml:space="preserve">♻️ RECOVER — Resilience, Continuity &amp; Validation</t>
  </si>
  <si>
    <t xml:space="preserve">WEIGHTED OVERALL</t>
  </si>
  <si>
    <t xml:space="preserve">📌  BOARD GOVERNANCE NOTES</t>
  </si>
  <si>
    <t xml:space="preserve">Domains scoring below L3.0 require executive attention with named remediation owners and defined timelines.</t>
  </si>
  <si>
    <t xml:space="preserve">Any domain with Gap ≥ 3.0 levels should be escalated to the Board Risk Committee with a costed remediation plan within 30 days.</t>
  </si>
  <si>
    <t xml:space="preserve">Regulatory compliance floors override design maturity — unmet obligations cannot be remediated by documentation alone.</t>
  </si>
  <si>
    <t xml:space="preserve">An overall weighted score below 3.0 indicates the organisation has not achieved enterprise baseline and may face insurability challenges.</t>
  </si>
  <si>
    <t xml:space="preserve">Security investment must be board-approved annually with quarterly progress reporting against the 5-axis model.</t>
  </si>
  <si>
    <t xml:space="preserve">💰  REMEDIATION COST SUMMARY</t>
  </si>
  <si>
    <t xml:space="preserve">Enter cost estimates in the Roadmap tab to auto-populate. All figures in base currency.</t>
  </si>
  <si>
    <t xml:space="preserve">Once-Off Cost</t>
  </si>
  <si>
    <t xml:space="preserve">Annual Cost</t>
  </si>
  <si>
    <t xml:space="preserve">Est. ROI</t>
  </si>
  <si>
    <t xml:space="preserve">Quantify in Roadmap</t>
  </si>
  <si>
    <t xml:space="preserve">TOTAL — ALL 188 CONTROLS</t>
  </si>
  <si>
    <t xml:space="preserve">📌  COST GOVERNANCE: The total once-off investment represents the estimated cost to achieve target maturity across all assessed domains. Annual recurring costs represent sustained operational investment required to maintain the target security posture. Boards should approve these costs against regulatory fine exposure and cyber debt risk quantified in the Domain Assessment report.</t>
  </si>
  <si>
    <t xml:space="preserve">NUCLEUS SYSTEMS  |  NS-CMMF v1.0  —  SECURITY IMPROVEMENT ROADMAP  —  188 CONTROLS  |  Cost Model &amp; Prioritisation</t>
  </si>
  <si>
    <t xml:space="preserve">Auto-populated from domain ratings  ·  Priority Score = Gap × Domain Weight  ·  Col D = auto-generated recommendation (rate controls in domain tabs first)  ·  Enter costs in J–M  ·  Assign owners in G and target quarters in F</t>
  </si>
  <si>
    <t xml:space="preserve">Assessment &amp; Planning</t>
  </si>
  <si>
    <t xml:space="preserve">Cost Inputs — Enter Estimates</t>
  </si>
  <si>
    <t xml:space="preserve">Auto-Totals</t>
  </si>
  <si>
    <t xml:space="preserve">Assumptions</t>
  </si>
  <si>
    <t xml:space="preserve">Priority
Score</t>
  </si>
  <si>
    <t xml:space="preserve">Control Name</t>
  </si>
  <si>
    <t xml:space="preserve">Recommended Action</t>
  </si>
  <si>
    <t xml:space="preserve">Effort
Estimate</t>
  </si>
  <si>
    <t xml:space="preserve">Target
Quarter</t>
  </si>
  <si>
    <t xml:space="preserve">Owner</t>
  </si>
  <si>
    <t xml:space="preserve">Status</t>
  </si>
  <si>
    <t xml:space="preserve">Cost
Assumptions</t>
  </si>
  <si>
    <t xml:space="preserve">🏛️ GV Govern</t>
  </si>
  <si>
    <t xml:space="preserve">CISO / Security Leadership</t>
  </si>
  <si>
    <t xml:space="preserve">High (1-3 months)</t>
  </si>
  <si>
    <t xml:space="preserve">Q2 2027</t>
  </si>
  <si>
    <t xml:space="preserve">Jean-Paul Nkeng — Managing Director</t>
  </si>
  <si>
    <t xml:space="preserve">Not Started</t>
  </si>
  <si>
    <t xml:space="preserve">Illustrative estimate (USD). Internal cost = staff days x 250/day blended rate. External and tool costs are indicative list pricing, not quotations.</t>
  </si>
  <si>
    <t xml:space="preserve">Cybersecurity Strategy &amp; Programme</t>
  </si>
  <si>
    <t xml:space="preserve">Cyber Budget &amp; Investment Model</t>
  </si>
  <si>
    <t xml:space="preserve">Medium (1-4 weeks)</t>
  </si>
  <si>
    <t xml:space="preserve">Q3 2027</t>
  </si>
  <si>
    <t xml:space="preserve">Paul Mbarga — Finance Director</t>
  </si>
  <si>
    <t xml:space="preserve">Security Organisational Structure</t>
  </si>
  <si>
    <t xml:space="preserve">Marc Etonde — Head of IT</t>
  </si>
  <si>
    <t xml:space="preserve">Board-Level Cybersecurity Oversight</t>
  </si>
  <si>
    <t xml:space="preserve">Security Policy Framework &amp; Hierarchy</t>
  </si>
  <si>
    <t xml:space="preserve">Marie Fotso — Legal &amp; Compliance Counsel</t>
  </si>
  <si>
    <t xml:space="preserve">Policy Attestation &amp; Enforcement</t>
  </si>
  <si>
    <t xml:space="preserve">Ruth Anong — HR Manager</t>
  </si>
  <si>
    <t xml:space="preserve">Policy Exception Governance</t>
  </si>
  <si>
    <t xml:space="preserve">Control Standards Management</t>
  </si>
  <si>
    <t xml:space="preserve">Regulatory Obligation Register &amp; Mapping</t>
  </si>
  <si>
    <t xml:space="preserve">Q1 2027</t>
  </si>
  <si>
    <t xml:space="preserve">Regulatory Change Management</t>
  </si>
  <si>
    <t xml:space="preserve">Security Standards for Third Parties</t>
  </si>
  <si>
    <t xml:space="preserve">Linda Ojo — Procurement Officer</t>
  </si>
  <si>
    <t xml:space="preserve">Enterprise Risk Framework Integration</t>
  </si>
  <si>
    <t xml:space="preserve">Risk Appetite &amp; Tolerance Thresholds</t>
  </si>
  <si>
    <t xml:space="preserve">Risk Register Management &amp; Reporting</t>
  </si>
  <si>
    <t xml:space="preserve">Cyber Risk Quantification</t>
  </si>
  <si>
    <t xml:space="preserve">Third-Party Risk Management (TPRM) Programme</t>
  </si>
  <si>
    <t xml:space="preserve">Very High (3+ months)</t>
  </si>
  <si>
    <t xml:space="preserve">Vendor Security Assessment Process</t>
  </si>
  <si>
    <t xml:space="preserve">Vendor Contractual Security Obligations</t>
  </si>
  <si>
    <t xml:space="preserve">Fourth-Party &amp; Sub-Processor Mapping</t>
  </si>
  <si>
    <t xml:space="preserve">DORA TPSP Critical Register</t>
  </si>
  <si>
    <t xml:space="preserve">Deferred</t>
  </si>
  <si>
    <t xml:space="preserve">Out of scope for this organisation — no cost carried.</t>
  </si>
  <si>
    <t xml:space="preserve">Software Supply Chain Security Governance</t>
  </si>
  <si>
    <t xml:space="preserve">Tunde Balogun — Lead Software Engineer</t>
  </si>
  <si>
    <t xml:space="preserve">Supplier Resilience Requirements</t>
  </si>
  <si>
    <t xml:space="preserve">Privacy Governance &amp; DPO/Privacy Lead</t>
  </si>
  <si>
    <t xml:space="preserve">Records of Processing Activities (ROPA)</t>
  </si>
  <si>
    <t xml:space="preserve">Data Protection Impact Assessments (DPIAs)</t>
  </si>
  <si>
    <t xml:space="preserve">Cross-Border Data Transfer Controls</t>
  </si>
  <si>
    <t xml:space="preserve">Internal &amp; External Audit Programme</t>
  </si>
  <si>
    <t xml:space="preserve">🔍 ID Identify</t>
  </si>
  <si>
    <t xml:space="preserve">IT Hardware Asset Inventory (CMDB)</t>
  </si>
  <si>
    <t xml:space="preserve">Grace Ayuk — IT Operations Manager</t>
  </si>
  <si>
    <t xml:space="preserve">Software Asset Inventory</t>
  </si>
  <si>
    <t xml:space="preserve">Cloud Infrastructure Asset Inventory</t>
  </si>
  <si>
    <t xml:space="preserve">Sam Ncube — DevOps Engineer</t>
  </si>
  <si>
    <t xml:space="preserve">SaaS &amp; Shadow IT Discovery</t>
  </si>
  <si>
    <t xml:space="preserve">Software Bill of Materials (SBOM)</t>
  </si>
  <si>
    <t xml:space="preserve">Network Topology &amp; Architecture Documentation</t>
  </si>
  <si>
    <t xml:space="preserve">Technology Lifecycle Management</t>
  </si>
  <si>
    <t xml:space="preserve">Data Classification Framework &amp; Implementation</t>
  </si>
  <si>
    <t xml:space="preserve">Sensitive Data Discovery &amp; Mapping</t>
  </si>
  <si>
    <t xml:space="preserve">Data Flow &amp; Transfer Mapping</t>
  </si>
  <si>
    <t xml:space="preserve">Retention Schedule &amp; Disposal Management</t>
  </si>
  <si>
    <t xml:space="preserve">Payment Data Scoping &amp; CDE Mapping</t>
  </si>
  <si>
    <t xml:space="preserve">Business Impact Analysis (BIA)</t>
  </si>
  <si>
    <t xml:space="preserve">Threat Landscape Assessment</t>
  </si>
  <si>
    <t xml:space="preserve">Aicha Bello — Security Analyst</t>
  </si>
  <si>
    <t xml:space="preserve">Vulnerability Management Programme</t>
  </si>
  <si>
    <t xml:space="preserve">Penetration Testing Programme</t>
  </si>
  <si>
    <t xml:space="preserve">Third-Party Security Rating Monitoring</t>
  </si>
  <si>
    <t xml:space="preserve">Critical Asset Identification &amp; Prioritisation</t>
  </si>
  <si>
    <t xml:space="preserve">SOX IT General Controls Assessment</t>
  </si>
  <si>
    <t xml:space="preserve">HIPAA Risk Analysis</t>
  </si>
  <si>
    <t xml:space="preserve">Security Metrics &amp; Measurement Framework</t>
  </si>
  <si>
    <t xml:space="preserve">Red Team Programme</t>
  </si>
  <si>
    <t xml:space="preserve">🛡️ PR Protect</t>
  </si>
  <si>
    <t xml:space="preserve">Multi-Factor Authentication — All Users</t>
  </si>
  <si>
    <t xml:space="preserve">Q4 2026</t>
  </si>
  <si>
    <t xml:space="preserve">Phishing-Resistant MFA for Privileged Accounts</t>
  </si>
  <si>
    <t xml:space="preserve">Privileged Access Management (PAM)</t>
  </si>
  <si>
    <t xml:space="preserve">Identity Lifecycle — Joiners Process</t>
  </si>
  <si>
    <t xml:space="preserve">Identity Lifecycle — Movers Process</t>
  </si>
  <si>
    <t xml:space="preserve">Identity Lifecycle — Leavers Process</t>
  </si>
  <si>
    <t xml:space="preserve">Quarterly Access Reviews (Access Certification)</t>
  </si>
  <si>
    <t xml:space="preserve">Single Sign-On (SSO) &amp; Federation</t>
  </si>
  <si>
    <t xml:space="preserve">Separation of Duties (SoD) Controls</t>
  </si>
  <si>
    <t xml:space="preserve">Dormant Account Detection &amp; Management</t>
  </si>
  <si>
    <t xml:space="preserve">Machine Identity &amp; Service Account Management</t>
  </si>
  <si>
    <t xml:space="preserve">API Key &amp; Secrets Management</t>
  </si>
  <si>
    <t xml:space="preserve">Zero Trust Architecture (ZTA) Implementation</t>
  </si>
  <si>
    <t xml:space="preserve">Encryption at Rest — Sensitive Data</t>
  </si>
  <si>
    <t xml:space="preserve">Encryption in Transit — TLS Enforcement</t>
  </si>
  <si>
    <t xml:space="preserve">Data Loss Prevention (DLP) — Email</t>
  </si>
  <si>
    <t xml:space="preserve">Data Loss Prevention (DLP) — Endpoint</t>
  </si>
  <si>
    <t xml:space="preserve">Data Loss Prevention (DLP) — Cloud &amp; SaaS</t>
  </si>
  <si>
    <t xml:space="preserve">Data Masking &amp; Pseudonymisation</t>
  </si>
  <si>
    <t xml:space="preserve">Payment Card Data (PAN) Protection</t>
  </si>
  <si>
    <t xml:space="preserve">Backup — Architecture &amp; Immutability</t>
  </si>
  <si>
    <t xml:space="preserve">Backup — Restoration Testing</t>
  </si>
  <si>
    <t xml:space="preserve">Email Security — DMARC, DKIM, SPF</t>
  </si>
  <si>
    <t xml:space="preserve">Email Security — Anti-Phishing &amp; Sandboxing</t>
  </si>
  <si>
    <t xml:space="preserve">Cryptographic Standards &amp; Key Lifecycle</t>
  </si>
  <si>
    <t xml:space="preserve">Endpoint Detection &amp; Response (EDR)</t>
  </si>
  <si>
    <t xml:space="preserve">Endpoint Hardening &amp; CIS Benchmark Compliance</t>
  </si>
  <si>
    <t xml:space="preserve">Patch Management — Critical &amp; High Vulnerabilities</t>
  </si>
  <si>
    <t xml:space="preserve">Patch Management — Medium &amp; Low Vulnerabilities</t>
  </si>
  <si>
    <t xml:space="preserve">End-of-Life (EOL) Software &amp; OS Management</t>
  </si>
  <si>
    <t xml:space="preserve">Application Whitelisting / Allowlisting</t>
  </si>
  <si>
    <t xml:space="preserve">Removable Media Controls</t>
  </si>
  <si>
    <t xml:space="preserve">Mobile Device Management (MDM)</t>
  </si>
  <si>
    <t xml:space="preserve">Network Segmentation — Zone Architecture</t>
  </si>
  <si>
    <t xml:space="preserve">Network Microsegmentation (Cloud &amp; Data Centre)</t>
  </si>
  <si>
    <t xml:space="preserve">CDE Network Segmentation Validation</t>
  </si>
  <si>
    <t xml:space="preserve">NGFW &amp; Firewall Rule Management</t>
  </si>
  <si>
    <t xml:space="preserve">Web Application Firewall (WAF)</t>
  </si>
  <si>
    <t xml:space="preserve">Zero Trust Network Access (ZTNA)</t>
  </si>
  <si>
    <t xml:space="preserve">SASE Architecture</t>
  </si>
  <si>
    <t xml:space="preserve">Protective DNS &amp; DNS Security</t>
  </si>
  <si>
    <t xml:space="preserve">Egress Filtering &amp; Allowlisting</t>
  </si>
  <si>
    <t xml:space="preserve">Network Intrusion Prevention (IPS)</t>
  </si>
  <si>
    <t xml:space="preserve">Remote Administration Security</t>
  </si>
  <si>
    <t xml:space="preserve">Wireless Network Security</t>
  </si>
  <si>
    <t xml:space="preserve">OT/ICS Network Security</t>
  </si>
  <si>
    <t xml:space="preserve">Secure SDLC — Security Requirements</t>
  </si>
  <si>
    <t xml:space="preserve">Secure SDLC — Static Analysis (SAST)</t>
  </si>
  <si>
    <t xml:space="preserve">Secure SDLC — Software Composition Analysis (SCA)</t>
  </si>
  <si>
    <t xml:space="preserve">Secure SDLC — Dynamic Analysis (DAST)</t>
  </si>
  <si>
    <t xml:space="preserve">Secure SDLC — Release Security Sign-Off</t>
  </si>
  <si>
    <t xml:space="preserve">API Security — Inventory &amp; Gateway</t>
  </si>
  <si>
    <t xml:space="preserve">Container Security — Image Scanning</t>
  </si>
  <si>
    <t xml:space="preserve">Container Security — Runtime Protection</t>
  </si>
  <si>
    <t xml:space="preserve">Secrets Exposure Prevention in Code</t>
  </si>
  <si>
    <t xml:space="preserve">Payment Page &amp; Script Integrity</t>
  </si>
  <si>
    <t xml:space="preserve">Software Supply Chain Security</t>
  </si>
  <si>
    <t xml:space="preserve">Threat Modelling Programme</t>
  </si>
  <si>
    <t xml:space="preserve">Cloud Security Posture Management (CSPM)</t>
  </si>
  <si>
    <t xml:space="preserve">Cloud Infrastructure Entitlement Management (CIEM)</t>
  </si>
  <si>
    <t xml:space="preserve">Cloud Shared Responsibility Matrix</t>
  </si>
  <si>
    <t xml:space="preserve">Cloud Native Security Controls (AWS/Azure/GCP)</t>
  </si>
  <si>
    <t xml:space="preserve">Cloud Key Management &amp; HSM</t>
  </si>
  <si>
    <t xml:space="preserve">FedRAMP Compliance (where applicable)</t>
  </si>
  <si>
    <t xml:space="preserve">Data Residency &amp; Sovereignty Controls</t>
  </si>
  <si>
    <t xml:space="preserve">SaaS Security &amp; CASB</t>
  </si>
  <si>
    <t xml:space="preserve">Cloud Configuration Drift Prevention</t>
  </si>
  <si>
    <t xml:space="preserve">Container Orchestration Security (Kubernetes)</t>
  </si>
  <si>
    <t xml:space="preserve">Cloud Workload Protection Platform (CWPP)</t>
  </si>
  <si>
    <t xml:space="preserve">Prompt Injection Prevention</t>
  </si>
  <si>
    <t xml:space="preserve">AI Model Access Control &amp; RBAC</t>
  </si>
  <si>
    <t xml:space="preserve">AI Output Monitoring &amp; Content Filtering</t>
  </si>
  <si>
    <t xml:space="preserve">Adversarial AI Testing</t>
  </si>
  <si>
    <t xml:space="preserve">Physical Access Control</t>
  </si>
  <si>
    <t xml:space="preserve">Eric Talla — Facilities Manager</t>
  </si>
  <si>
    <t xml:space="preserve">Clean Desk &amp; Screen Lock Policy</t>
  </si>
  <si>
    <t xml:space="preserve">Security Awareness Training — Annual</t>
  </si>
  <si>
    <t xml:space="preserve">Role-Specific Security Training</t>
  </si>
  <si>
    <t xml:space="preserve">Phishing Simulation Programme</t>
  </si>
  <si>
    <t xml:space="preserve">Standardise Phishing Simulation Programme: formalise all documentation, apply the control consistently across all in-scope assets, close remaining coverage gaps, and ensure evidence is collected routinely. Exceptions must be formally managed with named owners and defined expiry dates.</t>
  </si>
  <si>
    <t xml:space="preserve">AI Literacy &amp; Security Training</t>
  </si>
  <si>
    <t xml:space="preserve">Data Subject Rights — Process &amp; Fulfilment</t>
  </si>
  <si>
    <t xml:space="preserve">Personnel Security — Background Screening</t>
  </si>
  <si>
    <t xml:space="preserve">Security by Default — Product Configuration</t>
  </si>
  <si>
    <t xml:space="preserve">NIS2 Supply Chain Security Obligations</t>
  </si>
  <si>
    <t xml:space="preserve">📡 DE Detect</t>
  </si>
  <si>
    <t xml:space="preserve">SIEM — Log Ingestion &amp; Coverage</t>
  </si>
  <si>
    <t xml:space="preserve">SIEM — Use Case Library &amp; Threat Coverage</t>
  </si>
  <si>
    <t xml:space="preserve">SIEM — Log Integrity &amp; Tamper Protection</t>
  </si>
  <si>
    <t xml:space="preserve">SIEM — Compliance Monitoring Use Cases</t>
  </si>
  <si>
    <t xml:space="preserve">Log Retention &amp; Archival Management</t>
  </si>
  <si>
    <t xml:space="preserve">Telemetry Coverage Management</t>
  </si>
  <si>
    <t xml:space="preserve">Detection Health Monitoring</t>
  </si>
  <si>
    <t xml:space="preserve">SOC Operations — Triage &amp; Investigation</t>
  </si>
  <si>
    <t xml:space="preserve">NIS2 Significant Incident Classification</t>
  </si>
  <si>
    <t xml:space="preserve">DORA Major Incident Classification</t>
  </si>
  <si>
    <t xml:space="preserve">Threat Intelligence Integration</t>
  </si>
  <si>
    <t xml:space="preserve">User &amp; Entity Behaviour Analytics (UEBA)</t>
  </si>
  <si>
    <t xml:space="preserve">Network Detection &amp; Response (NDR)</t>
  </si>
  <si>
    <t xml:space="preserve">Cloud Detection &amp; Response</t>
  </si>
  <si>
    <t xml:space="preserve">Privacy Event Detection</t>
  </si>
  <si>
    <t xml:space="preserve">SOX Financial System Monitoring</t>
  </si>
  <si>
    <t xml:space="preserve">Dark Web &amp; Exposure Monitoring</t>
  </si>
  <si>
    <t xml:space="preserve">AI-Specific Threat Detection</t>
  </si>
  <si>
    <t xml:space="preserve">Detection Validation — Purple Team Exercises</t>
  </si>
  <si>
    <t xml:space="preserve">Security Metrics &amp; KPIs — Detection Domain</t>
  </si>
  <si>
    <t xml:space="preserve">Security Dashboard &amp; Visibility</t>
  </si>
  <si>
    <t xml:space="preserve">Vulnerability Scanner Integration</t>
  </si>
  <si>
    <t xml:space="preserve">🚨 RS Respond</t>
  </si>
  <si>
    <t xml:space="preserve">Incident Response Plan (IRP)</t>
  </si>
  <si>
    <t xml:space="preserve">Evidence Preservation &amp; Chain of Custody</t>
  </si>
  <si>
    <t xml:space="preserve">Third-Party Incident Coordination</t>
  </si>
  <si>
    <t xml:space="preserve">Cyber Insurance Engagement &amp; Claim Management</t>
  </si>
  <si>
    <t xml:space="preserve">Incident Playbooks — Ransomware</t>
  </si>
  <si>
    <t xml:space="preserve">Incident Playbooks — Data Breach</t>
  </si>
  <si>
    <t xml:space="preserve">Incident Playbooks — Business Email Compromise</t>
  </si>
  <si>
    <t xml:space="preserve">Incident Playbooks — Cloud Security Incident</t>
  </si>
  <si>
    <t xml:space="preserve">NIS2 Three-Stage Notification Process</t>
  </si>
  <si>
    <t xml:space="preserve">DORA Major Incident Reporting Process</t>
  </si>
  <si>
    <t xml:space="preserve">GDPR Breach Notification Process</t>
  </si>
  <si>
    <t xml:space="preserve">Breach Materiality &amp; Regulatory Decision Tree</t>
  </si>
  <si>
    <t xml:space="preserve">Tabletop Exercises — Technical</t>
  </si>
  <si>
    <t xml:space="preserve">Tabletop Exercises — Executive</t>
  </si>
  <si>
    <t xml:space="preserve">Post-Incident Review &amp; Lessons Learned</t>
  </si>
  <si>
    <t xml:space="preserve">Regulatory Investigation Management</t>
  </si>
  <si>
    <t xml:space="preserve">♻️ RC Recover</t>
  </si>
  <si>
    <t xml:space="preserve">Business Continuity Plan (BCP)</t>
  </si>
  <si>
    <t xml:space="preserve">Disaster Recovery Plan (DRP)</t>
  </si>
  <si>
    <t xml:space="preserve">Recovery Time Objective (RTO) Validation</t>
  </si>
  <si>
    <t xml:space="preserve">Recovery Point Objective (RPO) Validation</t>
  </si>
  <si>
    <t xml:space="preserve">Crisis Communications Plan</t>
  </si>
  <si>
    <t xml:space="preserve">Recovery Testing — Full System Failover</t>
  </si>
  <si>
    <t xml:space="preserve">DORA Threat-Led Penetration Testing (TLPT)</t>
  </si>
  <si>
    <t xml:space="preserve">Post-Recovery Control Validation</t>
  </si>
  <si>
    <t xml:space="preserve">Privacy Capability Restoration</t>
  </si>
  <si>
    <t xml:space="preserve">AI Model Integrity Validation (Post-Recovery)</t>
  </si>
  <si>
    <t xml:space="preserve">CDE Recovery &amp; PCI Compliance Re-validation</t>
  </si>
  <si>
    <t xml:space="preserve">Continuity Testing — Tabletop &amp; Simulation</t>
  </si>
  <si>
    <t xml:space="preserve">Lessons Learned — Continuity Programme Integration</t>
  </si>
  <si>
    <t xml:space="preserve">Business Service Recovery Validation</t>
  </si>
  <si>
    <t xml:space="preserve">Recovery Metrics — RTO/RPO Achievement Tracking</t>
  </si>
  <si>
    <t xml:space="preserve">Operational Technology (OT) Continuity</t>
  </si>
  <si>
    <t xml:space="preserve">Supplier Resilience Assessment</t>
  </si>
  <si>
    <t xml:space="preserve">SUBTOTAL — 🏛️ GV Govern  (28 controls)</t>
  </si>
  <si>
    <t xml:space="preserve">Internal Cost</t>
  </si>
  <si>
    <t xml:space="preserve">External Once-Off</t>
  </si>
  <si>
    <t xml:space="preserve">External Recurring /yr</t>
  </si>
  <si>
    <t xml:space="preserve">Software / Tools</t>
  </si>
  <si>
    <t xml:space="preserve">SUBTOTAL — 🔍 ID Identify  (22 controls)</t>
  </si>
  <si>
    <t xml:space="preserve">SUBTOTAL — 🛡️ PR Protect  (83 controls)</t>
  </si>
  <si>
    <t xml:space="preserve">SUBTOTAL — 📡 DE Detect  (22 controls)</t>
  </si>
  <si>
    <t xml:space="preserve">SUBTOTAL — 🚨 RS Respond  (16 controls)</t>
  </si>
  <si>
    <t xml:space="preserve">SUBTOTAL — ♻️ RC Recover  (17 controls)</t>
  </si>
  <si>
    <t xml:space="preserve">GRAND TOTAL  —  ALL 188 CONTROLS</t>
  </si>
  <si>
    <t xml:space="preserve">Internal Cost Total</t>
  </si>
  <si>
    <t xml:space="preserve">External Once-Off Total</t>
  </si>
  <si>
    <t xml:space="preserve">Ext. Recurring Total /yr</t>
  </si>
  <si>
    <t xml:space="preserve">Software Total</t>
  </si>
  <si>
    <t xml:space="preserve">  🏛️  GOVERN — Leadership, Strategy &amp; Risk Governance  ·  28 Controls  ·  Domain Weight: 16%</t>
  </si>
  <si>
    <t xml:space="preserve">📝 Col D = Control Description  |  Col E = Risk &amp; Maturity Impact  |  Col F = Assessment narrative  |  Col G = Evidence artefacts  |  Col H = Evidence Register link  |  Col I = Rating  |  Col N = Auto level description  |  Col S = Override scope (Apply / Exclude)</t>
  </si>
  <si>
    <t xml:space="preserve">Current:</t>
  </si>
  <si>
    <t xml:space="preserve">Target:</t>
  </si>
  <si>
    <t xml:space="preserve">Rated:</t>
  </si>
  <si>
    <t xml:space="preserve">Auto-excl.:</t>
  </si>
  <si>
    <t xml:space="preserve">#</t>
  </si>
  <si>
    <t xml:space="preserve">Control Description</t>
  </si>
  <si>
    <t xml:space="preserve">Risk &amp; Maturity Impact
(Why This Control Matters)</t>
  </si>
  <si>
    <t xml:space="preserve">📝 Assessment
(Current state &amp; key gaps)</t>
  </si>
  <si>
    <t xml:space="preserve">🗂️ Evidence
(Artefacts &amp; links)</t>
  </si>
  <si>
    <t xml:space="preserve">Evidence
Reference</t>
  </si>
  <si>
    <t xml:space="preserve">Maturity Rating
▼ Select level</t>
  </si>
  <si>
    <t xml:space="preserve">Score
(Auto)</t>
  </si>
  <si>
    <t xml:space="preserve">Target Level
▼ Select target</t>
  </si>
  <si>
    <t xml:space="preserve">Target
Score</t>
  </si>
  <si>
    <t xml:space="preserve">Level Description
(Auto — control-specific)</t>
  </si>
  <si>
    <t xml:space="preserve">🚦 Status</t>
  </si>
  <si>
    <t xml:space="preserve">💡 Recommendation</t>
  </si>
  <si>
    <t xml:space="preserve">Frameworks &amp; Regulations</t>
  </si>
  <si>
    <t xml:space="preserve">Scope
(Apply / Exclude)</t>
  </si>
  <si>
    <t xml:space="preserve">⚙️ Eff.
Scope</t>
  </si>
  <si>
    <t xml:space="preserve">Leadership &amp; Strategy</t>
  </si>
  <si>
    <t xml:space="preserve">CISO / Security Leadership ensures that ciso or equivalent with board access, mandate, documented authority, and annual performance review. Establish a named security leader with board access, formal mandate, budget authority, and KPIs measured quarterly.</t>
  </si>
  <si>
    <t xml:space="preserve">Reduces strategic and governance risk by ensuring cybersecurity decisions carry executive authority, board visibility, and accountable ownership. Without CISO / Security Leadership, security investments lack mandate, reporting lacks credibility, and regulatory accountability obligations remain unmet.</t>
  </si>
  <si>
    <t xml:space="preserve">No CISO or equivalent. Security accountability sits with the Head of IT alongside infrastructure and service desk delivery, with no documented mandate, no defined authority and no board reporting line.</t>
  </si>
  <si>
    <t xml:space="preserve">Org chart (HR, June 2026) showing no security role above analyst level; confirmed in interview with the Managing Director.</t>
  </si>
  <si>
    <t xml:space="preserve">L1 — Initial</t>
  </si>
  <si>
    <t xml:space="preserve">L3 — Defined</t>
  </si>
  <si>
    <t xml:space="preserve">NIS2 Art.20|DORA Art.5|ISO 27001 A.5.2|NIST CSF GV.OC-01|COBIT APO01</t>
  </si>
  <si>
    <t xml:space="preserve">Apply</t>
  </si>
  <si>
    <t xml:space="preserve">Cybersecurity Strategy &amp; Programme ensures that board-approved multi-year security strategy aligned to business objectives and risk appetite. Strategy defines priority risk areas, investment rationale, and business linkage.</t>
  </si>
  <si>
    <t xml:space="preserve">Reduces strategic and governance risk by ensuring cybersecurity decisions carry executive authority, board visibility, and accountable ownership. Without Cybersecurity Strategy &amp; Programme, security investments lack mandate, reporting lacks credibility, and regulatory accountability obligations remain unmet.</t>
  </si>
  <si>
    <t xml:space="preserve">No security strategy exists. Security work is driven by acquiring bank questionnaires and audit findings rather than by a plan. Nothing has been presented to or approved by the board.</t>
  </si>
  <si>
    <t xml:space="preserve">None. Board pack index for FY2025 and FY2026 reviewed — no security agenda item.</t>
  </si>
  <si>
    <t xml:space="preserve">NIS2|DORA Art.6|ISO 27001 6.2|NIST CSF GV.OC-04|COBIT APO02</t>
  </si>
  <si>
    <t xml:space="preserve">Cyber Budget &amp; Investment Model ensures that security budget approved as percentage of it spend with risk-based allocation and tracking. Annual budget approved by board; investment tracked quarterly against risk indicators.</t>
  </si>
  <si>
    <t xml:space="preserve">Reduces strategic and governance risk by ensuring cybersecurity decisions carry executive authority, board visibility, and accountable ownership. Without Cyber Budget &amp; Investment Model, security investments lack mandate, reporting lacks credibility, and regulatory accountability obligations remain unmet.</t>
  </si>
  <si>
    <t xml:space="preserve">Security spend is approved case by case as part of the IT budget. There is no security line item, no percentage-of-IT-spend basis and no tracking of spend against risk.</t>
  </si>
  <si>
    <t xml:space="preserve">FY2026 IT budget spreadsheet showing security tooling embedded in general IT lines — Tier 2, documentary.</t>
  </si>
  <si>
    <t xml:space="preserve">L2 — Developing</t>
  </si>
  <si>
    <t xml:space="preserve">COBIT 2019|ISO 27001 A.5.31|NIS2|DORA Art.6</t>
  </si>
  <si>
    <t xml:space="preserve">Security Organisational Structure ensures that defined roles, responsibilities, and reporting lines for security across the enterprise. All security functions have named backup; RACI documented and current.</t>
  </si>
  <si>
    <t xml:space="preserve">Reduces strategic and governance risk by ensuring cybersecurity decisions carry executive authority, board visibility, and accountable ownership. Without Security Organisational Structure, security investments lack mandate, reporting lacks credibility, and regulatory accountability obligations remain unmet.</t>
  </si>
  <si>
    <t xml:space="preserve">No documented security roles, responsibilities or reporting lines. Responsibilities are understood informally within a four-person infrastructure team.</t>
  </si>
  <si>
    <t xml:space="preserve">None. Confirmed by interview with Head of IT — no RACI or role description exists.</t>
  </si>
  <si>
    <t xml:space="preserve">ISO 27001 A.5.2|NIS2 Art.20|NIST CSF GV.OC-01|COBIT APO01</t>
  </si>
  <si>
    <t xml:space="preserve">Board-Level Cybersecurity Oversight ensures that board and audit committee engagement with cybersecurity risk, strategy, and investment. Quarterly board reporting on cyber posture and investment.</t>
  </si>
  <si>
    <t xml:space="preserve">Reduces strategic and governance risk by ensuring cybersecurity decisions carry executive authority, board visibility, and accountable ownership. Without Board-Level Cybersecurity Oversight, security investments lack mandate, reporting lacks credibility, and regulatory accountability obligations remain unmet.</t>
  </si>
  <si>
    <t xml:space="preserve">Cybersecurity has never been a standing board or audit committee item. It reaches the board only when the acquiring bank escalates a finding.</t>
  </si>
  <si>
    <t xml:space="preserve">Board minutes 2025–2026 sampled — no recurring cyber item.</t>
  </si>
  <si>
    <t xml:space="preserve">NIS2 Art.20|DORA Art.5|SOX|COBIT APO01</t>
  </si>
  <si>
    <t xml:space="preserve">Policy Framework</t>
  </si>
  <si>
    <t xml:space="preserve">Security Policy Framework &amp; Hierarchy ensures that structured policy library with master policy, domain policies, standards, and procedures. Policy hierarchy documented and current (&lt;=12 months).</t>
  </si>
  <si>
    <t xml:space="preserve">Reduces policy compliance risk by ensuring security requirements are formally documented, consistently enforced, and regularly reviewed. Without Security Policy Framework &amp; Hierarchy, control obligations are applied inconsistently, creating exploitable gaps and audit exposure.</t>
  </si>
  <si>
    <t xml:space="preserve">An Information Security Policy exists, approved 2021, but there are no supporting domain policies, standards or procedures beneath it. The hierarchy is a single document.</t>
  </si>
  <si>
    <t xml:space="preserve">Information Security Policy v1.2 (2021), unreviewed since issue — Tier 2, documentary.</t>
  </si>
  <si>
    <t xml:space="preserve">ISO 27001 A.5.1|NIS2|DORA|COBIT APO01</t>
  </si>
  <si>
    <t xml:space="preserve">Policy Attestation &amp; Enforcement ensures that staff acknowledgement tracked; non-compliance escalated; breach process active. Annual attestation &gt;=95% completion.</t>
  </si>
  <si>
    <t xml:space="preserve">Reduces policy compliance risk by ensuring security requirements are formally documented, consistently enforced, and regularly reviewed. Without Policy Attestation &amp; Enforcement, control obligations are applied inconsistently, creating exploitable gaps and audit exposure.</t>
  </si>
  <si>
    <t xml:space="preserve">Policy acknowledgement is captured at onboarding only. There is no annual re-attestation, no completion tracking and no escalation route for non-compliance.</t>
  </si>
  <si>
    <t xml:space="preserve">Onboarding acknowledgement forms for 2026 joiners held in HR files — partial population, Tier 2.</t>
  </si>
  <si>
    <t xml:space="preserve">ISO 27001|HIPAA S164.530|SOX|NIS2</t>
  </si>
  <si>
    <t xml:space="preserve">Policy Exception Governance ensures that formal exception process with risk acceptance, owner, and expiry for all policy deviations. Exception register maintained; each exception has named owner, expiry date, risk acceptance.</t>
  </si>
  <si>
    <t xml:space="preserve">Reduces policy compliance risk by ensuring security requirements are formally documented, consistently enforced, and regularly reviewed. Without Policy Exception Governance, control obligations are applied inconsistently, creating exploitable gaps and audit exposure.</t>
  </si>
  <si>
    <t xml:space="preserve">No exception process. Deviations from policy are agreed verbally and not recorded, so there is no register, no risk acceptance and no expiry.</t>
  </si>
  <si>
    <t xml:space="preserve">None. No exception register exists.</t>
  </si>
  <si>
    <t xml:space="preserve">ISO 27001 A.5.20|NIST SP 800-53 PM-4|NIS2</t>
  </si>
  <si>
    <t xml:space="preserve">Control Standards Management ensures that baseline security standards defined per asset class with version control. Standards documented for endpoints, cloud, network, apps.</t>
  </si>
  <si>
    <t xml:space="preserve">Reduces policy compliance risk by ensuring security requirements are formally documented, consistently enforced, and regularly reviewed. Without Control Standards Management, control obligations are applied inconsistently, creating exploitable gaps and audit exposure.</t>
  </si>
  <si>
    <t xml:space="preserve">No baseline security standards per asset class. Server and endpoint builds are based on the technician's judgement and an informal build checklist.</t>
  </si>
  <si>
    <t xml:space="preserve">Informal build checklist held on a shared drive; no version control — Tier 3.</t>
  </si>
  <si>
    <t xml:space="preserve">CIS Controls v8|ISO 27001|NIST CSF</t>
  </si>
  <si>
    <t xml:space="preserve">Regulatory Obligation Register &amp; Mapping ensures that complete register of all applicable legal, regulatory, and contractual security obligations. Register maintained with named owner per obligation; control mapping explicit; regulatory change alert active.</t>
  </si>
  <si>
    <t xml:space="preserve">Reduces policy compliance risk by ensuring security requirements are formally documented, consistently enforced, and regularly reviewed. Without Regulatory Obligation Register &amp; Mapping, control obligations are applied inconsistently, creating exploitable gaps and audit exposure.</t>
  </si>
  <si>
    <t xml:space="preserve">No consolidated register of legal, regulatory and contractual security obligations. PCI DSS and GDPR requirements are tracked in separate email threads and the bank questionnaire responses.</t>
  </si>
  <si>
    <t xml:space="preserve">None consolidated. Bank questionnaire response (Oct 2025) used as a proxy.</t>
  </si>
  <si>
    <t xml:space="preserve">L4 — Managed</t>
  </si>
  <si>
    <t xml:space="preserve">GDPR Art.24|NIS2|DORA Art.6|HIPAA|PCI DSS</t>
  </si>
  <si>
    <t xml:space="preserve">Regulatory Change Management ensures that process to monitor, assess, and implement changes to applicable regulations. Horizon-scanning subscription active; impact assessment within 30 days of new obligation.</t>
  </si>
  <si>
    <t xml:space="preserve">Reduces policy compliance risk by ensuring security requirements are formally documented, consistently enforced, and regularly reviewed. Without Regulatory Change Management, control obligations are applied inconsistently, creating exploitable gaps and audit exposure.</t>
  </si>
  <si>
    <t xml:space="preserve">No horizon scanning. Regulatory change reaches the business through the acquiring bank or external counsel, reactively.</t>
  </si>
  <si>
    <t xml:space="preserve">None. Confirmed by interview with Legal &amp; Compliance Counsel.</t>
  </si>
  <si>
    <t xml:space="preserve">NIS2|DORA|CRA|GDPR|CCPA</t>
  </si>
  <si>
    <t xml:space="preserve">Security Standards for Third Parties ensures that minimum security standards contractually imposed on all suppliers and partners. Standard security schedule in all vendor contracts.</t>
  </si>
  <si>
    <t xml:space="preserve">Reduces policy compliance risk by ensuring security requirements are formally documented, consistently enforced, and regularly reviewed. Without Security Standards for Third Parties, control obligations are applied inconsistently, creating exploitable gaps and audit exposure.</t>
  </si>
  <si>
    <t xml:space="preserve">No minimum security standards are imposed on suppliers. Contracts use the standard commercial template with no security schedule.</t>
  </si>
  <si>
    <t xml:space="preserve">Sample of five supplier contracts reviewed — none contains security clauses. Tier 2.</t>
  </si>
  <si>
    <t xml:space="preserve">GDPR Art.28|DORA Art.30|NIS2 Art.21</t>
  </si>
  <si>
    <t xml:space="preserve">Risk Management</t>
  </si>
  <si>
    <t xml:space="preserve">Enterprise Risk Framework Integration ensures that cyber risk integrated into erm with consistent methodology and shared taxonomy. Cyber risk on enterprise risk register; shared risk taxonomy; CISO attends risk committee.</t>
  </si>
  <si>
    <t xml:space="preserve">Reduces risk management blind spots by ensuring threats and treatment obligations are formally tracked, quantified, and governed. Without Enterprise Risk Framework Integration, risk decisions are reactive and unquantified, preventing board-level risk reporting and investment justification.</t>
  </si>
  <si>
    <t xml:space="preserve">Cyber risk is not represented in the enterprise risk framework. The corporate risk register carries a single line item, 'IT risk', with no owner or treatment plan.</t>
  </si>
  <si>
    <t xml:space="preserve">Corporate risk register (Q2 2026) — one undefined IT entry. Tier 2.</t>
  </si>
  <si>
    <t xml:space="preserve">ISO 31000|COSO|DORA Art.6|NIS2</t>
  </si>
  <si>
    <t xml:space="preserve">Risk Appetite &amp; Tolerance Thresholds ensures that documented risk appetite with quantified tolerance thresholds and escalation triggers. Board-approved appetite statement with quantified thresholds per risk type.</t>
  </si>
  <si>
    <t xml:space="preserve">Reduces risk management blind spots by ensuring threats and treatment obligations are formally tracked, quantified, and governed. Without Risk Appetite &amp; Tolerance Thresholds, risk decisions are reactive and unquantified, preventing board-level risk reporting and investment justification.</t>
  </si>
  <si>
    <t xml:space="preserve">No documented risk appetite or tolerance thresholds for cyber risk. No escalation triggers defined.</t>
  </si>
  <si>
    <t xml:space="preserve">None.</t>
  </si>
  <si>
    <t xml:space="preserve">ISO 27001 A.6.1.1|DORA Art.6|COBIT 2019</t>
  </si>
  <si>
    <t xml:space="preserve">Risk Register Management &amp; Reporting ensures that active risk register with owners, treatment plans, and board reporting. Monthly risk register update; each risk has named owner and treatment plan; quarterly board report.</t>
  </si>
  <si>
    <t xml:space="preserve">Reduces risk management blind spots by ensuring threats and treatment obligations are formally tracked, quantified, and governed. Without Risk Register Management &amp; Reporting, risk decisions are reactive and unquantified, preventing board-level risk reporting and investment justification.</t>
  </si>
  <si>
    <t xml:space="preserve">No security risk register. Risks surface as penetration test findings and bank questionnaire gaps, tracked in separate spreadsheets with no ownership or treatment plan.</t>
  </si>
  <si>
    <t xml:space="preserve">Pentest findings tracker (Excel, last updated March 2026) — Tier 2, partial.</t>
  </si>
  <si>
    <t xml:space="preserve">ISO 27001|DORA Art.6|NIS2</t>
  </si>
  <si>
    <t xml:space="preserve">Cyber Risk Quantification ensures that financial quantification of cyber risk scenarios to support investment decisions. At least 3 scenarios quantified in financial terms (FAIR or equivalent); annual refresh.</t>
  </si>
  <si>
    <t xml:space="preserve">Reduces risk management blind spots by ensuring threats and treatment obligations are formally tracked, quantified, and governed. Without Cyber Risk Quantification, risk decisions are reactive and unquantified, preventing board-level risk reporting and investment justification.</t>
  </si>
  <si>
    <t xml:space="preserve">No financial quantification of cyber risk. Investment decisions are made on cost and bank pressure rather than modelled loss exposure.</t>
  </si>
  <si>
    <t xml:space="preserve">DORA Art.6|ISO 27005|NIST CSF GV.RM</t>
  </si>
  <si>
    <t xml:space="preserve">Third-Party &amp; Supply Chain</t>
  </si>
  <si>
    <t xml:space="preserve">Third-Party Risk Management (TPRM) Programme ensures that structured programme to assess and manage cybersecurity risk across the supplier ecosystem. TPRM policy with tiered classification; annual assessments for critical suppliers; risk register active.</t>
  </si>
  <si>
    <t xml:space="preserve">Reduces supplier-introduced risk by ensuring third-party security obligations are assessed, contracted, and continuously monitored. Without Third-Party Risk Management (TPRM) Programme, the attack surface extends invisibly through vendor relationships, creating unmanaged concentration and supply chain risk.</t>
  </si>
  <si>
    <t xml:space="preserve">No TPRM programme. Suppliers are onboarded on commercial terms; security is not assessed at any stage of the lifecycle.</t>
  </si>
  <si>
    <t xml:space="preserve">None. Confirmed by interview with Procurement Officer.</t>
  </si>
  <si>
    <t xml:space="preserve">🔴 Critical</t>
  </si>
  <si>
    <t xml:space="preserve">GDPR Art.28|DORA Art.28-44|NIS2 Art.21</t>
  </si>
  <si>
    <t xml:space="preserve">Vendor Security Assessment Process ensures that security assessments conducted before onboarding and annually for critical vendors. Questionnaire and evidence review for Tier 1 vendors; right-to-audit clause; findings tracked to closure.</t>
  </si>
  <si>
    <t xml:space="preserve">Reduces supplier-introduced risk by ensuring third-party security obligations are assessed, contracted, and continuously monitored. Without Vendor Security Assessment Process, the attack surface extends invisibly through vendor relationships, creating unmanaged concentration and supply chain risk.</t>
  </si>
  <si>
    <t xml:space="preserve">No vendor security assessment process. The only security review performed on a supplier in the last two years was of the core banking provider, at the acquiring bank's request.</t>
  </si>
  <si>
    <t xml:space="preserve">Single completed questionnaire for the core banking provider (2025) — Tier 2, isolated instance.</t>
  </si>
  <si>
    <t xml:space="preserve">🟠 Developing</t>
  </si>
  <si>
    <t xml:space="preserve">DORA Art.28|ISO 27001 A.5.19|NIS2</t>
  </si>
  <si>
    <t xml:space="preserve">Vendor Contractual Security Obligations ensures that security requirements contractually embedded in all supplier agreements. Standard security schedule in all contracts; DPA for processors; DORA TPSP obligations in EU financial entity contracts.</t>
  </si>
  <si>
    <t xml:space="preserve">Reduces supplier-introduced risk by ensuring third-party security obligations are assessed, contracted, and continuously monitored. Without Vendor Contractual Security Obligations, the attack surface extends invisibly through vendor relationships, creating unmanaged concentration and supply chain risk.</t>
  </si>
  <si>
    <t xml:space="preserve">Security obligations are not embedded in supplier agreements. Two cloud contracts carry data protection clauses inherited from the provider's own terms; nothing is imposed by Acacia.</t>
  </si>
  <si>
    <t xml:space="preserve">AWS and Microsoft standard terms on file — supplier-imposed, not Acacia-imposed. Tier 2.</t>
  </si>
  <si>
    <t xml:space="preserve">GDPR Art.28|DORA Art.30|NIS2</t>
  </si>
  <si>
    <t xml:space="preserve">Fourth-Party &amp; Sub-Processor Mapping ensures that visibility of critical fourth parties and their risk profiles. Critical fourth-party map maintained; GDPR sub-processor register current; key sub-dependencies reviewed annually.</t>
  </si>
  <si>
    <t xml:space="preserve">Reduces supplier-introduced risk by ensuring third-party security obligations are assessed, contracted, and continuously monitored. Without Fourth-Party &amp; Sub-Processor Mapping, the attack surface extends invisibly through vendor relationships, creating unmanaged concentration and supply chain risk.</t>
  </si>
  <si>
    <t xml:space="preserve">No visibility of fourth parties or sub-processors. Sub-processor lists published by AWS and Microsoft have not been reviewed or mapped.</t>
  </si>
  <si>
    <t xml:space="preserve">GDPR Art.28(2)|DORA Art.28|NIS2</t>
  </si>
  <si>
    <t xml:space="preserve">DORA TPSP Critical Register ensures that dora-mandated register of critical ict third-party service providers. ICT TPSP register maintained with DORA Art.</t>
  </si>
  <si>
    <t xml:space="preserve">Reduces supplier-introduced risk by ensuring third-party security obligations are assessed, contracted, and continuously monitored. Without DORA TPSP Critical Register, the attack surface extends invisibly through vendor relationships, creating unmanaged concentration and supply chain risk.</t>
  </si>
  <si>
    <t xml:space="preserve">⬛ Not Applicable</t>
  </si>
  <si>
    <t xml:space="preserve">DORA Art.28-44</t>
  </si>
  <si>
    <t xml:space="preserve">Exclude</t>
  </si>
  <si>
    <t xml:space="preserve">Software Supply Chain Security Governance ensures that governance of open-source components, sboms, and software dependencies. SBOM policy active; open-source component register maintained; SCA tooling in SDLC.</t>
  </si>
  <si>
    <t xml:space="preserve">Reduces supplier-introduced risk by ensuring third-party security obligations are assessed, contracted, and continuously monitored. Without Software Supply Chain Security Governance, the attack surface extends invisibly through vendor relationships, creating unmanaged concentration and supply chain risk.</t>
  </si>
  <si>
    <t xml:space="preserve">No governance over open-source components. Dependencies are added by engineers at will; no SBOM policy, no approved-component list, no licence review.</t>
  </si>
  <si>
    <t xml:space="preserve">package.json and requirements.txt files in GitHub reviewed — no governance artefacts. Tier 2.</t>
  </si>
  <si>
    <t xml:space="preserve">CRA Art.13|NIST SSDF|NIS2 Art.21</t>
  </si>
  <si>
    <t xml:space="preserve">Supplier Resilience Requirements ensures that business continuity and resilience requirements imposed on critical suppliers. Critical supplier BCP requirements in contracts; annual BCP evidence reviewed; DR capability confirmed.</t>
  </si>
  <si>
    <t xml:space="preserve">Reduces supplier-introduced risk by ensuring third-party security obligations are assessed, contracted, and continuously monitored. Without Supplier Resilience Requirements, the attack surface extends invisibly through vendor relationships, creating unmanaged concentration and supply chain risk.</t>
  </si>
  <si>
    <t xml:space="preserve">No resilience or continuity requirements imposed on critical suppliers. Provider availability is assumed from marketing SLAs.</t>
  </si>
  <si>
    <t xml:space="preserve">DORA Art.28|ISO 22301|NIS2</t>
  </si>
  <si>
    <t xml:space="preserve">Privacy &amp; Compliance</t>
  </si>
  <si>
    <t xml:space="preserve">Privacy Governance &amp; DPO/Privacy Lead ensures that designated privacy function with authority, resources, and board access. Named DPO or Privacy Lead with documented authority; independent of operational processing; DPA-notified where required.</t>
  </si>
  <si>
    <t xml:space="preserve">Reduces regulatory privacy risk by ensuring personal data processing is governed, documented, and legally defensible. Without Privacy Governance &amp; DPO/Privacy Lead, regulatory examination can immediately identify material non-compliance, triggering enforcement action under GDPR, HIPAA, or CCPA.</t>
  </si>
  <si>
    <t xml:space="preserve">No DPO appointed. Legal &amp; Compliance Counsel handles privacy queries informally alongside a full commercial caseload, without a documented mandate, budget or board access.</t>
  </si>
  <si>
    <t xml:space="preserve">Job description for Legal &amp; Compliance Counsel — no privacy responsibilities recorded. Tier 3.</t>
  </si>
  <si>
    <t xml:space="preserve">GDPR Art.37-39|HIPAA S164.530|CCPA</t>
  </si>
  <si>
    <t xml:space="preserve">Records of Processing Activities (ROPA) ensures that complete and current ropa covering all personal data processing activities. ROPA &gt;=90% complete; reviewed annually; new processing activities added within 30 days.</t>
  </si>
  <si>
    <t xml:space="preserve">Reduces regulatory privacy risk by ensuring personal data processing is governed, documented, and legally defensible. Without Records of Processing Activities (ROPA), regulatory examination can immediately identify material non-compliance, triggering enforcement action under GDPR, HIPAA, or CCPA.</t>
  </si>
  <si>
    <t xml:space="preserve">No Records of Processing Activities. Personal data processing is undocumented across the wallet platform, the merchant portal and the CRM.</t>
  </si>
  <si>
    <t xml:space="preserve">None. This is a direct GDPR Article 30 gap.</t>
  </si>
  <si>
    <t xml:space="preserve">GDPR Art.30|HIPAA S164.514</t>
  </si>
  <si>
    <t xml:space="preserve">Data Protection Impact Assessments (DPIAs) ensures that dpias conducted for all high-risk processing activities. DPIA process documented; mandatory triggers list; DPIAs completed for all high-risk processing; DPO sign-off.</t>
  </si>
  <si>
    <t xml:space="preserve">Reduces regulatory privacy risk by ensuring personal data processing is governed, documented, and legally defensible. Without Data Protection Impact Assessments (DPIAs), regulatory examination can immediately identify material non-compliance, triggering enforcement action under GDPR, HIPAA, or CCPA.</t>
  </si>
  <si>
    <t xml:space="preserve">No DPIA process. The consumer wallet and its device-fingerprinting feature were launched without any assessment.</t>
  </si>
  <si>
    <t xml:space="preserve">GDPR Art.35-36|NIS2|HIPAA</t>
  </si>
  <si>
    <t xml:space="preserve">Cross-Border Data Transfer Controls ensures that legal basis and technical controls for all international personal data transfers. Transfer mapping complete; SCCs/BCRs or adequacy decisions in place; Schrems II compliance documented.</t>
  </si>
  <si>
    <t xml:space="preserve">Reduces regulatory privacy risk by ensuring personal data processing is governed, documented, and legally defensible. Without Cross-Border Data Transfer Controls, regulatory examination can immediately identify material non-compliance, triggering enforcement action under GDPR, HIPAA, or CCPA.</t>
  </si>
  <si>
    <t xml:space="preserve">EU merchant data is processed in eu-west-1, but transfers between the Douala office, the Lagos office and AWS have never been mapped and no transfer mechanism has been documented.</t>
  </si>
  <si>
    <t xml:space="preserve">None. Data residency assumed from AWS region selection only. Tier 3.</t>
  </si>
  <si>
    <t xml:space="preserve">GDPR Art.44-49|CCPA|PDPA|PIPL</t>
  </si>
  <si>
    <t xml:space="preserve">Audit &amp; Assurance</t>
  </si>
  <si>
    <t xml:space="preserve">Internal &amp; External Audit Programme ensures that comprehensive audit programme covering security controls, regulatory compliance, and maturity. Annual internal audit; external certification (ISO 27001/SOC 2) every 2 years at minimum; findings tracked.</t>
  </si>
  <si>
    <t xml:space="preserve">Reduces residual risk from undetected control failures by ensuring security posture is independently validated. Without Internal &amp; External Audit Programme, control degradation goes undetected between incidents, creating regulatory evidence gaps and false assurance at board level.</t>
  </si>
  <si>
    <t xml:space="preserve">No internal audit function and no security audit programme. The only external review is the annual penetration test, which is technical in scope and does not cover controls or compliance.</t>
  </si>
  <si>
    <t xml:space="preserve">Pentest report (2025) — technical scope only. Tier 2.</t>
  </si>
  <si>
    <t xml:space="preserve">ISO 27001 A.9.1|SOX|DORA Art.24|NIS2</t>
  </si>
  <si>
    <t xml:space="preserve">  🔍  IDENTIFY — Assets, Data, Risk &amp; Exposure  ·  22 Controls  ·  Domain Weight: 10%</t>
  </si>
  <si>
    <t xml:space="preserve">Asset Management</t>
  </si>
  <si>
    <t xml:space="preserve">IT Hardware Asset Inventory (CMDB) ensures that complete, current cmdb covering all managed hardware assets with lifecycle status. CMDB &gt;=98% completeness verified by scan; automated discovery integrated; asset lifecycle tracked.</t>
  </si>
  <si>
    <t xml:space="preserve">Reduces exposure from unknown or unmanaged assets by ensuring the full scope of what must be protected is visible and governed. Without IT Hardware Asset Inventory (CMDB), attackers can exploit assets outside the security programme's visibility — the most common initial access vector.</t>
  </si>
  <si>
    <t xml:space="preserve">An asset register exists in Freshservice covering laptops and servers, populated at procurement. It is not reconciled against the network, and lifecycle status is not tracked. Estimated completeness around 70%.</t>
  </si>
  <si>
    <t xml:space="preserve">Freshservice asset export (August 2026), 312 records — Tier 2, sample-tested against 20 physical devices.</t>
  </si>
  <si>
    <t xml:space="preserve">CIS Controls v8.1|ISO 27001 A.8.1|DORA Art.8</t>
  </si>
  <si>
    <t xml:space="preserve">Software Asset Inventory ensures that comprehensive software inventory covering all applications, versions, and license status. Software inventory &gt;=95% complete; linked to CMDB; EOL/unsupported software flagged automatically.</t>
  </si>
  <si>
    <t xml:space="preserve">Reduces exposure from unknown or unmanaged assets by ensuring the full scope of what must be protected is visible and governed. Without Software Asset Inventory, attackers can exploit assets outside the security programme's visibility — the most common initial access vector.</t>
  </si>
  <si>
    <t xml:space="preserve">No software inventory. Installed software is visible in the Sophos console but is not extracted, reviewed or reconciled against licences.</t>
  </si>
  <si>
    <t xml:space="preserve">Sophos console screenshots — incidental visibility only. Tier 3.</t>
  </si>
  <si>
    <t xml:space="preserve">CIS Controls v8.2|ISO 27001 A.8.1|CRA Art.13</t>
  </si>
  <si>
    <t xml:space="preserve">Cloud Infrastructure Asset Inventory ensures that real-time inventory of all cloud assets across all csps with configuration status. Cloud asset discovery automated via CSPM; multi-cloud coverage; unmanaged resources flagged within 24h.</t>
  </si>
  <si>
    <t xml:space="preserve">Reduces exposure from unknown or unmanaged assets by ensuring the full scope of what must be protected is visible and governed. Without Cloud Infrastructure Asset Inventory, attackers can exploit assets outside the security programme's visibility — the most common initial access vector.</t>
  </si>
  <si>
    <t xml:space="preserve">AWS resources are visible in the console and partially tagged, but there is no maintained inventory, no tagging standard enforced and no reconciliation across the two regions.</t>
  </si>
  <si>
    <t xml:space="preserve">AWS resource tag report (August 2026) showing 41% of resources untagged — Tier 1, tool-generated.</t>
  </si>
  <si>
    <t xml:space="preserve">ISO 27017|CSA CCM|DORA Art.8</t>
  </si>
  <si>
    <t xml:space="preserve">SaaS &amp; Shadow IT Discovery ensures that discovery and management of all saas applications including unsanctioned shadow it. CASB or equivalent deployed; SaaS discovery monthly at minimum; shadow IT flagged and risk-assessed within 5 days.</t>
  </si>
  <si>
    <t xml:space="preserve">Reduces exposure from unknown or unmanaged assets by ensuring the full scope of what must be protected is visible and governed. Without SaaS &amp; Shadow IT Discovery, attackers can exploit assets outside the security programme's visibility — the most common initial access vector.</t>
  </si>
  <si>
    <t xml:space="preserve">No SaaS discovery or CASB. Shadow IT is known to exist — file sharing and AI assistants in particular — but has never been measured.</t>
  </si>
  <si>
    <t xml:space="preserve">None. Confirmed by interview with Head of IT.</t>
  </si>
  <si>
    <t xml:space="preserve">CIS Controls v8.2|ISO 27001|GDPR Art.28</t>
  </si>
  <si>
    <t xml:space="preserve">Software Bill of Materials (SBOM) ensures that sbom maintained per release for all software products and critical internal applications. SBOM generated per release in CycloneDX or SPDX format; published within 5 days; supply chain risk assessed.</t>
  </si>
  <si>
    <t xml:space="preserve">Reduces exposure from unknown or unmanaged assets by ensuring the full scope of what must be protected is visible and governed. Without Software Bill of Materials (SBOM), attackers can exploit assets outside the security programme's visibility — the most common initial access vector.</t>
  </si>
  <si>
    <t xml:space="preserve">No SBOM is generated for the wallet application or the merchant portal, despite both being externally distributed.</t>
  </si>
  <si>
    <t xml:space="preserve">CRA Art.13|NIST SSDF|Executive Order 14028</t>
  </si>
  <si>
    <t xml:space="preserve">Network Topology &amp; Architecture Documentation ensures that current network diagrams showing all zones, segments, connections, and critical dependencies. Network diagrams current (under 90 days); all zones documented; critical path dependencies mapped.</t>
  </si>
  <si>
    <t xml:space="preserve">Reduces exposure from unknown or unmanaged assets by ensuring the full scope of what must be protected is visible and governed. Without Network Topology &amp; Architecture Documentation, attackers can exploit assets outside the security programme's visibility — the most common initial access vector.</t>
  </si>
  <si>
    <t xml:space="preserve">Network diagrams exist for both offices but predate the AWS migration. Cloud architecture is undocumented.</t>
  </si>
  <si>
    <t xml:space="preserve">Visio network diagram dated 2022 — Tier 2, materially out of date.</t>
  </si>
  <si>
    <t xml:space="preserve">ISO 27001 A.8.1|NIS2|DORA Art.8|PCI DSS 1.2</t>
  </si>
  <si>
    <t xml:space="preserve">Technology Lifecycle Management ensures that tracking of technology lifecycle status across all asset classes with eol alerts. Lifecycle status on every asset; EOL alerts &gt;=12 months before support end; migration plan for EOL assets.</t>
  </si>
  <si>
    <t xml:space="preserve">Reduces exposure from unknown or unmanaged assets by ensuring the full scope of what must be protected is visible and governed. Without Technology Lifecycle Management, attackers can exploit assets outside the security programme's visibility — the most common initial access vector.</t>
  </si>
  <si>
    <t xml:space="preserve">No lifecycle tracking. End-of-life status is discovered when a vendor withdraws support, as happened with two Windows Server 2012 hosts in 2025.</t>
  </si>
  <si>
    <t xml:space="preserve">None. Confirmed by interview with IT Operations Manager.</t>
  </si>
  <si>
    <t xml:space="preserve">CIS Controls v8|ISO 27001|CRA</t>
  </si>
  <si>
    <t xml:space="preserve">Data Management</t>
  </si>
  <si>
    <t xml:space="preserve">Data Classification Framework &amp; Implementation ensures that formal data classification scheme with labels applied to all data stores and flows. 4-tier classification documented; labels applied; tooling enforces classification.</t>
  </si>
  <si>
    <t xml:space="preserve">Reduces data-related regulatory and breach risk by ensuring sensitive data is classified, mapped, and governed throughout its lifecycle. Without Data Classification Framework &amp; Implementation, organisations cannot demonstrate GDPR Art.5, HIPAA, or PCI DSS data handling compliance and cannot scope their own breach impact.</t>
  </si>
  <si>
    <t xml:space="preserve">No data classification scheme. Data is handled by convention, with no labels applied in Microsoft 365 or in the platform databases.</t>
  </si>
  <si>
    <t xml:space="preserve">GDPR Art.5|ISO 27001 A.5.12|HIPAA|PCI DSS</t>
  </si>
  <si>
    <t xml:space="preserve">Sensitive Data Discovery &amp; Mapping ensures that automated discovery and mapping of sensitive data across all environments. Data discovery tool deployed; monthly scans at minimum; sensitive data mapped to asset owner; unclassified data flagged.</t>
  </si>
  <si>
    <t xml:space="preserve">Reduces data-related regulatory and breach risk by ensuring sensitive data is classified, mapped, and governed throughout its lifecycle. Without Sensitive Data Discovery &amp; Mapping, organisations cannot demonstrate GDPR Art.5, HIPAA, or PCI DSS data handling compliance and cannot scope their own breach impact.</t>
  </si>
  <si>
    <t xml:space="preserve">No sensitive data discovery capability. The location of cardholder and personal data is inferred from application design rather than verified.</t>
  </si>
  <si>
    <t xml:space="preserve">GDPR Art.30|HIPAA S164.514|PCI DSS 12.3</t>
  </si>
  <si>
    <t xml:space="preserve">Data Flow &amp; Transfer Mapping ensures that comprehensive mapping of data flows across systems, borders, and third parties. Data flow diagrams current; cross-border flows documented; third-party transfers mapped; GDPR transfer basis confirmed.</t>
  </si>
  <si>
    <t xml:space="preserve">Reduces data-related regulatory and breach risk by ensuring sensitive data is classified, mapped, and governed throughout its lifecycle. Without Data Flow &amp; Transfer Mapping, organisations cannot demonstrate GDPR Art.5, HIPAA, or PCI DSS data handling compliance and cannot scope their own breach impact.</t>
  </si>
  <si>
    <t xml:space="preserve">No data flow mapping. Flows between the wallet, the merchant portal, the acquiring bank and the Lagos office have never been documented.</t>
  </si>
  <si>
    <t xml:space="preserve">GDPR Art.30|DORA Art.8|PCI DSS</t>
  </si>
  <si>
    <t xml:space="preserve">Retention Schedule &amp; Disposal Management ensures that defined retention schedules applied to all data classes with verified deletion capability. Retention schedules documented per data class; automated enforcement; deletion verified from backups.</t>
  </si>
  <si>
    <t xml:space="preserve">Reduces data-related regulatory and breach risk by ensuring sensitive data is classified, mapped, and governed throughout its lifecycle. Without Retention Schedule &amp; Disposal Management, organisations cannot demonstrate GDPR Art.5, HIPAA, or PCI DSS data handling compliance and cannot scope their own breach impact.</t>
  </si>
  <si>
    <t xml:space="preserve">No retention schedules. Transaction and customer records have been retained since 2016 with no defined period and no verified deletion capability.</t>
  </si>
  <si>
    <t xml:space="preserve">Database record counts confirming retention since inception — Tier 2.</t>
  </si>
  <si>
    <t xml:space="preserve">GDPR Art.5(e)|HIPAA S164.530|PCI DSS 3.2</t>
  </si>
  <si>
    <t xml:space="preserve">Payment Data Scoping &amp; CDE Mapping ensures that pci dss cardholder data environment accurately scoped with annual validation. CDE documented and validated annually; scope creep detection in place; in-scope systems confirmed.</t>
  </si>
  <si>
    <t xml:space="preserve">Reduces data-related regulatory and breach risk by ensuring sensitive data is classified, mapped, and governed throughout its lifecycle. Without Payment Data Scoping &amp; CDE Mapping, organisations cannot demonstrate GDPR Art.5, HIPAA, or PCI DSS data handling compliance and cannot scope their own breach impact.</t>
  </si>
  <si>
    <t xml:space="preserve">The cardholder data environment has never been formally scoped. PCI SAQ D was self-completed on assumed boundaries, and no segmentation exists to constrain scope.</t>
  </si>
  <si>
    <t xml:space="preserve">SAQ D submission (2025) — scope section completed from assumption. Tier 2.</t>
  </si>
  <si>
    <t xml:space="preserve">PCI DSS 1.3|PCI DSS 3.1|PCI DSS 12.3</t>
  </si>
  <si>
    <t xml:space="preserve">Risk Assessment</t>
  </si>
  <si>
    <t xml:space="preserve">Business Impact Analysis (BIA) ensures that bia covering all critical business services with rto/rpo, dependencies, and financial impact. BIA current (under 12 months); all critical services covered; financial impact quantified; RTO/RPO assigned.</t>
  </si>
  <si>
    <t xml:space="preserve">Reduces unidentified vulnerability exposure by ensuring threats and weaknesses are systematically discovered, prioritised, and remediated. Without Business Impact Analysis (BIA), critical vulnerabilities remain open until exploited, and regulatory evidence of due diligence cannot be produced.</t>
  </si>
  <si>
    <t xml:space="preserve">No business impact analysis. RTO and RPO have never been defined for any business service, including the wallet and settlement.</t>
  </si>
  <si>
    <t xml:space="preserve">ISO 22301|DORA Art.11|HIPAA S164.308|NIS2</t>
  </si>
  <si>
    <t xml:space="preserve">Threat Landscape Assessment ensures that regular assessment of the threat landscape relevant to the organisation's sector. Annual threat assessment; sector-specific threat intelligence integrated; executive summary delivered to board.</t>
  </si>
  <si>
    <t xml:space="preserve">Reduces unidentified vulnerability exposure by ensuring threats and weaknesses are systematically discovered, prioritised, and remediated. Without Threat Landscape Assessment, critical vulnerabilities remain open until exploited, and regulatory evidence of due diligence cannot be produced.</t>
  </si>
  <si>
    <t xml:space="preserve">No structured threat landscape assessment. The Security Analyst monitors industry news and a regional fraud mailing list informally.</t>
  </si>
  <si>
    <t xml:space="preserve">None documented. Tier 3.</t>
  </si>
  <si>
    <t xml:space="preserve">NIS2 Art.7|DORA Art.6|ISO 27005</t>
  </si>
  <si>
    <t xml:space="preserve">Vulnerability Management Programme ensures that structured vulnerability identification, prioritisation, and remediation across all asset classes. CVSS-based prioritisation; Critical &lt;=72h, High &lt;=7d, Medium &lt;=30d; CISA KEV tracked; &gt;=95% SLA adherence.</t>
  </si>
  <si>
    <t xml:space="preserve">Reduces unidentified vulnerability exposure by ensuring threats and weaknesses are systematically discovered, prioritised, and remediated. Without Vulnerability Management Programme, critical vulnerabilities remain open until exploited, and regulatory evidence of due diligence cannot be produced.</t>
  </si>
  <si>
    <t xml:space="preserve">Vulnerability scanning runs monthly on external assets using an open-source scanner. Internal and cloud assets are not scanned. Findings are not risk-rated and remediation is not tracked to closure with SLAs.</t>
  </si>
  <si>
    <t xml:space="preserve">OpenVAS scan reports for June–August 2026, external assets only — Tier 1, tool-generated but partial coverage.</t>
  </si>
  <si>
    <t xml:space="preserve">CIS Controls v8.7|NIS2|DORA Art.8|PCI DSS 6.3</t>
  </si>
  <si>
    <t xml:space="preserve">Penetration Testing Programme ensures that regular internal and external penetration testing with findings tracked to closure. External pentest annually at minimum; internal pentest annually at minimum; critical findings remediated within 30 days.</t>
  </si>
  <si>
    <t xml:space="preserve">Reduces unidentified vulnerability exposure by ensuring threats and weaknesses are systematically discovered, prioritised, and remediated. Without Penetration Testing Programme, critical vulnerabilities remain open until exploited, and regulatory evidence of due diligence cannot be produced.</t>
  </si>
  <si>
    <t xml:space="preserve">An external penetration test has been commissioned annually since 2024 by an independent provider, with a defined scope covering the merchant portal and external infrastructure. Findings are tracked in a spreadsheet, but closure evidence is inconsistent and there is no retest.</t>
  </si>
  <si>
    <t xml:space="preserve">Independent pentest reports 2024, 2025 and 2026 with findings tracker — Tier 1, independent.</t>
  </si>
  <si>
    <t xml:space="preserve">PCI DSS 11.4|DORA TLPT|NIS2|ISO 27001</t>
  </si>
  <si>
    <t xml:space="preserve">Third-Party Security Rating Monitoring ensures that continuous monitoring of critical supplier security ratings and exposure. Security ratings platform active for top-20 critical suppliers; score degradation alerted.</t>
  </si>
  <si>
    <t xml:space="preserve">Reduces unidentified vulnerability exposure by ensuring threats and weaknesses are systematically discovered, prioritised, and remediated. Without Third-Party Security Rating Monitoring, critical vulnerabilities remain open until exploited, and regulatory evidence of due diligence cannot be produced.</t>
  </si>
  <si>
    <t xml:space="preserve">No supplier security rating monitoring. Supplier posture is not observed between contract renewals.</t>
  </si>
  <si>
    <t xml:space="preserve">DORA Art.28|NIS2 Art.21|ISO 27001</t>
  </si>
  <si>
    <t xml:space="preserve">Business Context</t>
  </si>
  <si>
    <t xml:space="preserve">Critical Asset Identification &amp; Prioritisation ensures that identification of crown-jewel assets requiring enhanced protection based on business criticality. Crown-jewel list maintained; enhanced controls applied; annual review with business owners.</t>
  </si>
  <si>
    <t xml:space="preserve">Reduces financial and strategic risk from poor cyber investment decisions by ensuring security posture is measured in business terms. Without Critical Asset Identification &amp; Prioritisation, boards cannot make informed investment decisions or quantify regulatory fine exposure against the cost of remediation.</t>
  </si>
  <si>
    <t xml:space="preserve">Crown-jewel assets have not been formally identified. The settlement database and the HSM integration are understood to be critical, but this is not documented or used to drive control selection.</t>
  </si>
  <si>
    <t xml:space="preserve">NIST CSF ID.AM|ISO 27001|DORA Art.8</t>
  </si>
  <si>
    <t xml:space="preserve">SOX IT General Controls Assessment ensures that it general controls documented and assessed for financial reporting systems. ITGC documented for all in-scope financial systems; annual assessment; findings remediated before audit.</t>
  </si>
  <si>
    <t xml:space="preserve">Reduces financial and strategic risk from poor cyber investment decisions by ensuring security posture is measured in business terms. Without SOX IT General Controls Assessment, boards cannot make informed investment decisions or quantify regulatory fine exposure against the cost of remediation.</t>
  </si>
  <si>
    <t xml:space="preserve">SOX S404|PCAOB AS 2201</t>
  </si>
  <si>
    <t xml:space="preserve">HIPAA Risk Analysis ensures that hipaa-compliant risk analysis covering all ephi systems and processes. Risk analysis conducted and documented; all ePHI systems in scope; risk management plan linked to findings.</t>
  </si>
  <si>
    <t xml:space="preserve">Reduces financial and strategic risk from poor cyber investment decisions by ensuring security posture is measured in business terms. Without HIPAA Risk Analysis, boards cannot make informed investment decisions or quantify regulatory fine exposure against the cost of remediation.</t>
  </si>
  <si>
    <t xml:space="preserve">HIPAA S164.308(a)(1)</t>
  </si>
  <si>
    <t xml:space="preserve">Security Metrics &amp; Measurement Framework ensures that defined kpi/kri library for cybersecurity programme performance measurement. &gt;=10 security KPIs/KRIs defined; measurement automated where possible; trend reporting to board.</t>
  </si>
  <si>
    <t xml:space="preserve">Reduces financial and strategic risk from poor cyber investment decisions by ensuring security posture is measured in business terms. Without Security Metrics &amp; Measurement Framework, boards cannot make informed investment decisions or quantify regulatory fine exposure against the cost of remediation.</t>
  </si>
  <si>
    <t xml:space="preserve">No security metrics or KPIs. Nothing is measured, so programme performance cannot be reported to management.</t>
  </si>
  <si>
    <t xml:space="preserve">NIST CSF GV.RM|ISO 27004|COBIT 2019</t>
  </si>
  <si>
    <t xml:space="preserve">Red Team Programme ensures that adversarial red team programme to test detection and response capabilities under realistic attack scenarios. Red team exercise annually at minimum; scope includes crown-jewel assets; findings drive detection engineering backlog.</t>
  </si>
  <si>
    <t xml:space="preserve">Reduces financial and strategic risk from poor cyber investment decisions by ensuring security posture is measured in business terms. Without Red Team Programme, boards cannot make informed investment decisions or quantify regulatory fine exposure against the cost of remediation.</t>
  </si>
  <si>
    <t xml:space="preserve">No red team programme. Adversarial testing has never been performed.</t>
  </si>
  <si>
    <t xml:space="preserve">DORA TLPT|NIST CSF|CBEST/TIBER-EU</t>
  </si>
  <si>
    <t xml:space="preserve">  🛡️  PROTECT — Controls, Architecture &amp; Safeguards  ·  83 Controls  ·  Domain Weight: 26%</t>
  </si>
  <si>
    <t xml:space="preserve">Identity &amp; Access Management</t>
  </si>
  <si>
    <t xml:space="preserve">Multi-Factor Authentication — All Users ensures that mfa enforced for all users on all systems and applications. MFA coverage &gt;=99% of all user accounts; phishing-resistant MFA for privileged and remote access; exceptions managed.</t>
  </si>
  <si>
    <t xml:space="preserve">Reduces identity compromise and privilege escalation risk by ensuring access rights are provisioned, governed, and revoked with precision. Without Multi-Factor Authentication — All Users, compromised credentials provide persistent access — the entry point in over 80% of confirmed breaches.</t>
  </si>
  <si>
    <t xml:space="preserve">MFA was rolled out across Microsoft 365 following the November 2025 BEC attempt and now covers approximately 94% of staff accounts. Six service and shared mailboxes remain exempted with no documented risk acceptance. Coverage is not monitored on an ongoing basis.</t>
  </si>
  <si>
    <t xml:space="preserve">Entra ID authentication methods report, August 2026 — Tier 1, tool-generated.</t>
  </si>
  <si>
    <t xml:space="preserve">NIS2 Art.21|DORA Art.9|PCI DSS 8.4|ISO 27001</t>
  </si>
  <si>
    <t xml:space="preserve">Phishing-Resistant MFA for Privileged Accounts ensures that hardware tokens or fido2 for all privileged and administrative accounts. 100% of privileged accounts use FIDO2/hardware token MFA; no SMS/voice OTP for admin accounts.</t>
  </si>
  <si>
    <t xml:space="preserve">Reduces identity compromise and privilege escalation risk by ensuring access rights are provisioned, governed, and revoked with precision. Without Phishing-Resistant MFA for Privileged Accounts, compromised credentials provide persistent access — the entry point in over 80% of confirmed breaches.</t>
  </si>
  <si>
    <t xml:space="preserve">Privileged accounts use the same SMS and authenticator-app MFA as standard users. No phishing-resistant factors are deployed.</t>
  </si>
  <si>
    <t xml:space="preserve">Entra ID conditional access policy export — no FIDO2 or certificate-based policy. Tier 1.</t>
  </si>
  <si>
    <t xml:space="preserve">PCI DSS 8.4|NIST SP 800-63|NIS2</t>
  </si>
  <si>
    <t xml:space="preserve">Privileged Access Management (PAM) ensures that all privileged accounts managed through pam with session recording and credential vaulting. PAM solution deployed; credentials vaulted; session recording active; just-in-time access preferred.</t>
  </si>
  <si>
    <t xml:space="preserve">Reduces identity compromise and privilege escalation risk by ensuring access rights are provisioned, governed, and revoked with precision. Without Privileged Access Management (PAM), compromised credentials provide persistent access — the entry point in over 80% of confirmed breaches.</t>
  </si>
  <si>
    <t xml:space="preserve">No PAM solution. Domain and AWS root credentials are held in a shared password manager vault accessible to four administrators, with no session recording, check-out or approval.</t>
  </si>
  <si>
    <t xml:space="preserve">Password manager vault membership list — Tier 2.</t>
  </si>
  <si>
    <t xml:space="preserve">CIS Controls v8.5|DORA Art.9|PCI DSS 8.6|NIS2</t>
  </si>
  <si>
    <t xml:space="preserve">Identity Lifecycle — Joiners Process ensures that automated provisioning of access based on role with manager approval within sla. Provisioning automated; role-based access assignment; manager approval; SLA &lt;=1 business day for standard roles.</t>
  </si>
  <si>
    <t xml:space="preserve">Reduces identity compromise and privilege escalation risk by ensuring access rights are provisioned, governed, and revoked with precision. Without Identity Lifecycle — Joiners Process, compromised credentials provide persistent access — the entry point in over 80% of confirmed breaches.</t>
  </si>
  <si>
    <t xml:space="preserve">A joiners process exists and is executed through Freshservice tickets. Access is granted by copying the profile of an existing team member, so entitlement accuracy is not assured.</t>
  </si>
  <si>
    <t xml:space="preserve">Freshservice joiner tickets, sample of 15 from 2026 — Tier 2, sample-tested.</t>
  </si>
  <si>
    <t xml:space="preserve">ISO 27001 A.5.18|SOX|HIPAA S164.308</t>
  </si>
  <si>
    <t xml:space="preserve">Identity Lifecycle — Movers Process ensures that access rights updated within sla when employees change role. Role change triggers access review and update within 24h for privileged, within 3 days for standard.</t>
  </si>
  <si>
    <t xml:space="preserve">Reduces identity compromise and privilege escalation risk by ensuring access rights are provisioned, governed, and revoked with precision. Without Identity Lifecycle — Movers Process, compromised credentials provide persistent access — the entry point in over 80% of confirmed breaches.</t>
  </si>
  <si>
    <t xml:space="preserve">No movers process. Internal transfers add new access without removing the old, and accumulated entitlement was visible in every account reviewed during fieldwork.</t>
  </si>
  <si>
    <t xml:space="preserve">Sample of 6 transferred staff — all retained prior-role access. Tier 2.</t>
  </si>
  <si>
    <t xml:space="preserve">ISO 27001 A.5.18|DORA Art.9</t>
  </si>
  <si>
    <t xml:space="preserve">Identity Lifecycle — Leavers Process ensures that all access revoked within sla at departure; privileged access revoked immediately. Privileged access revoked within 1h; all other access within 24h; automated termination trigger from HR system.</t>
  </si>
  <si>
    <t xml:space="preserve">Reduces identity compromise and privilege escalation risk by ensuring access rights are provisioned, governed, and revoked with precision. Without Identity Lifecycle — Leavers Process, compromised credentials provide persistent access — the entry point in over 80% of confirmed breaches.</t>
  </si>
  <si>
    <t xml:space="preserve">A leavers process exists and is triggered by HR notification. Testing found accounts disabled within five working days on average, against a policy expectation of same day, and three accounts from 2025 leavers still enabled.</t>
  </si>
  <si>
    <t xml:space="preserve">Entra ID disabled-account report cross-checked against HR leaver list — Tier 2, sample-tested.</t>
  </si>
  <si>
    <t xml:space="preserve">NIS2|DORA Art.9|PCI DSS 8.3.4|ISO 27001</t>
  </si>
  <si>
    <t xml:space="preserve">Quarterly Access Reviews (Access Certification) ensures that periodic recertification of user access rights by system/data owners. Access reviews quarterly for privileged; annually for standard; manager certification required; removals actioned within 5 days.</t>
  </si>
  <si>
    <t xml:space="preserve">Reduces identity compromise and privilege escalation risk by ensuring access rights are provisioned, governed, and revoked with precision. Without Quarterly Access Reviews (Access Certification), compromised credentials provide persistent access — the entry point in over 80% of confirmed breaches.</t>
  </si>
  <si>
    <t xml:space="preserve">No access certification. Entitlements have never been formally reviewed by system or data owners.</t>
  </si>
  <si>
    <t xml:space="preserve">SOX S404|PCI DSS 8.3|ISO 27001 A.5.18</t>
  </si>
  <si>
    <t xml:space="preserve">Single Sign-On (SSO) &amp; Federation ensures that sso deployed for all corporate applications with federated identity management. SSO coverage &gt;=90% of corp applications; SAML 2.</t>
  </si>
  <si>
    <t xml:space="preserve">Reduces identity compromise and privilege escalation risk by ensuring access rights are provisioned, governed, and revoked with precision. Without Single Sign-On (SSO) &amp; Federation, compromised credentials provide persistent access — the entry point in over 80% of confirmed breaches.</t>
  </si>
  <si>
    <t xml:space="preserve">SSO through Entra ID covers Microsoft 365, Jira and Confluence. AWS, the core banking portal and Freshservice authenticate locally with separate credentials.</t>
  </si>
  <si>
    <t xml:space="preserve">Entra ID enterprise applications list, 4 of 11 in-scope applications federated — Tier 1.</t>
  </si>
  <si>
    <t xml:space="preserve">ISO 27001 A.5.15|CIS Controls v8.6</t>
  </si>
  <si>
    <t xml:space="preserve">Separation of Duties (SoD) Controls ensures that conflicting access rights detected and prevented through automated sod controls. SoD matrix documented for critical systems; automated conflict detection; conflicts remediated within 30 days.</t>
  </si>
  <si>
    <t xml:space="preserve">Reduces identity compromise and privilege escalation risk by ensuring access rights are provisioned, governed, and revoked with precision. Without Separation of Duties (SoD) Controls, compromised credentials provide persistent access — the entry point in over 80% of confirmed breaches.</t>
  </si>
  <si>
    <t xml:space="preserve">No separation of duties controls. The two senior engineers can both write code and deploy it to production without independent approval.</t>
  </si>
  <si>
    <t xml:space="preserve">GitHub branch protection settings showing no required reviewers on the release branch — Tier 1.</t>
  </si>
  <si>
    <t xml:space="preserve">SOX S404|ISO 27001 A.5.3|PCI DSS 8</t>
  </si>
  <si>
    <t xml:space="preserve">Dormant Account Detection &amp; Management ensures that detection and automated disabling of accounts inactive beyond defined thresholds. Accounts inactive more than 45 days automatically disabled; service accounts reviewed quarterly.</t>
  </si>
  <si>
    <t xml:space="preserve">Reduces identity compromise and privilege escalation risk by ensuring access rights are provisioned, governed, and revoked with precision. Without Dormant Account Detection &amp; Management, compromised credentials provide persistent access — the entry point in over 80% of confirmed breaches.</t>
  </si>
  <si>
    <t xml:space="preserve">No dormant account detection. A manual review in March 2026 found 27 accounts unused for more than 90 days; no recurring process was established afterwards.</t>
  </si>
  <si>
    <t xml:space="preserve">One-off review spreadsheet (March 2026) — Tier 2, not repeated.</t>
  </si>
  <si>
    <t xml:space="preserve">CIS Controls v8.5|PCI DSS 8.3.7|ISO 27001</t>
  </si>
  <si>
    <t xml:space="preserve">Machine Identity &amp; Service Account Management ensures that governance and lifecycle management of all non-human identities. Service account register maintained; least-privilege applied; no shared credentials; rotation &lt;=90 days.</t>
  </si>
  <si>
    <t xml:space="preserve">Reduces identity compromise and privilege escalation risk by ensuring access rights are provisioned, governed, and revoked with precision. Without Machine Identity &amp; Service Account Management, compromised credentials provide persistent access — the entry point in over 80% of confirmed breaches.</t>
  </si>
  <si>
    <t xml:space="preserve">Service accounts are created ad hoc, have non-expiring credentials and are not inventoried or owned.</t>
  </si>
  <si>
    <t xml:space="preserve">AWS IAM credential report showing keys older than 24 months — Tier 1.</t>
  </si>
  <si>
    <t xml:space="preserve">CIS Controls v8.5|DORA Art.9|ISO 27001</t>
  </si>
  <si>
    <t xml:space="preserve">API Key &amp; Secrets Management ensures that centralised secrets management for api keys, credentials, and certificates. Secrets vault deployed; no hardcoded credentials in code; rotation automated; scanning for exposed secrets active.</t>
  </si>
  <si>
    <t xml:space="preserve">Reduces identity compromise and privilege escalation risk by ensuring access rights are provisioned, governed, and revoked with precision. Without API Key &amp; Secrets Management, compromised credentials provide persistent access — the entry point in over 80% of confirmed breaches.</t>
  </si>
  <si>
    <t xml:space="preserve">No secrets management platform. API keys and database credentials are held in environment files and GitHub Actions secrets, with no rotation policy.</t>
  </si>
  <si>
    <t xml:space="preserve">GitHub Actions secrets listing and .env sample — Tier 2.</t>
  </si>
  <si>
    <t xml:space="preserve">OWASP API|NIST SSDF|CIS Controls v8</t>
  </si>
  <si>
    <t xml:space="preserve">Zero Trust Architecture (ZTA) Implementation ensures that continuous verification model eliminating implicit trust. ZTA principles adopted: verify explicitly, least-privilege, assume breach; identity-based access enforced.</t>
  </si>
  <si>
    <t xml:space="preserve">Reduces identity compromise and privilege escalation risk by ensuring access rights are provisioned, governed, and revoked with precision. Without Zero Trust Architecture (ZTA) Implementation, compromised credentials provide persistent access — the entry point in over 80% of confirmed breaches.</t>
  </si>
  <si>
    <t xml:space="preserve">No zero trust architecture. The internal network remains flat and implicitly trusted.</t>
  </si>
  <si>
    <t xml:space="preserve">NIST SP 800-207|DORA Art.9|NIS2|FedRAMP</t>
  </si>
  <si>
    <t xml:space="preserve">Data Protection</t>
  </si>
  <si>
    <t xml:space="preserve">Encryption at Rest — Sensitive Data ensures that strong encryption applied to all sensitive data in storage across all environments. AES-256 encryption at rest for all Confidential and Restricted data; encryption verified quarterly; formal key management.</t>
  </si>
  <si>
    <t xml:space="preserve">Reduces data exfiltration and regulatory breach risk by ensuring sensitive data is encrypted, monitored, and protected at rest and in transit. Without Encryption at Rest — Sensitive Data, a single network interception or storage compromise exposes data and triggers mandatory breach notification.</t>
  </si>
  <si>
    <t xml:space="preserve">Encryption at rest is enabled by default on RDS and S3 through AWS-managed keys. Coverage has not been verified across all data stores and the two on-premises file servers are unencrypted.</t>
  </si>
  <si>
    <t xml:space="preserve">AWS Config encryption compliance report — Tier 1, cloud only.</t>
  </si>
  <si>
    <t xml:space="preserve">GDPR Art.32|HIPAA S164.312|PCI DSS 3.4|DORA</t>
  </si>
  <si>
    <t xml:space="preserve">Encryption in Transit — TLS Enforcement ensures that tls 1.2 and above enforced for all data in transit with certificate lifecycle management. TLS 1.</t>
  </si>
  <si>
    <t xml:space="preserve">Reduces data exfiltration and regulatory breach risk by ensuring sensitive data is encrypted, monitored, and protected at rest and in transit. Without Encryption in Transit — TLS Enforcement, a single network interception or storage compromise exposes data and triggers mandatory breach notification.</t>
  </si>
  <si>
    <t xml:space="preserve">TLS 1.2 is enforced on all external endpoints through Cloudflare and the AWS load balancers, with weak ciphers disabled and configuration verified in the 2026 penetration test.</t>
  </si>
  <si>
    <t xml:space="preserve">Cloudflare TLS configuration export and SSL Labs A rating confirmed in pentest report — Tier 1, independently validated.</t>
  </si>
  <si>
    <t xml:space="preserve">NIS2|DORA|PCI DSS 4.2|GDPR Art.32</t>
  </si>
  <si>
    <t xml:space="preserve">Data Loss Prevention (DLP) — Email ensures that dlp controls on email to prevent exfiltration of sensitive data. DLP policy active on email gateway; sensitive data patterns (PII, PAN, PHI) detected; blocking and quarantine active.</t>
  </si>
  <si>
    <t xml:space="preserve">Reduces data exfiltration and regulatory breach risk by ensuring sensitive data is encrypted, monitored, and protected at rest and in transit. Without Data Loss Prevention (DLP) — Email, a single network interception or storage compromise exposes data and triggers mandatory breach notification.</t>
  </si>
  <si>
    <t xml:space="preserve">No email DLP. Microsoft 365 E3 provides the capability but no policies have been configured.</t>
  </si>
  <si>
    <t xml:space="preserve">Microsoft Purview policy list — empty. Tier 1.</t>
  </si>
  <si>
    <t xml:space="preserve">GDPR Art.32|HIPAA|PCI DSS 4.2.2|ISO 27001</t>
  </si>
  <si>
    <t xml:space="preserve">Data Loss Prevention (DLP) — Endpoint ensures that dlp controls on endpoints to prevent data exfiltration via removable media. DLP agent deployed on &gt;=95% of managed endpoints; USB blocking enforced; shadow copy prevented.</t>
  </si>
  <si>
    <t xml:space="preserve">Reduces data exfiltration and regulatory breach risk by ensuring sensitive data is encrypted, monitored, and protected at rest and in transit. Without Data Loss Prevention (DLP) — Endpoint, a single network interception or storage compromise exposes data and triggers mandatory breach notification.</t>
  </si>
  <si>
    <t xml:space="preserve">No endpoint DLP. Data can be copied to removable media and personal cloud storage without restriction.</t>
  </si>
  <si>
    <t xml:space="preserve">GDPR Art.32|HIPAA S164.312|PCI DSS</t>
  </si>
  <si>
    <t xml:space="preserve">Data Loss Prevention (DLP) — Cloud &amp; SaaS ensures that dlp controls integrated with cloud platforms and saas. Cloud DLP active on M365/Google Workspace/cloud storage; sensitive data in collaboration tools detected.</t>
  </si>
  <si>
    <t xml:space="preserve">Reduces data exfiltration and regulatory breach risk by ensuring sensitive data is encrypted, monitored, and protected at rest and in transit. Without Data Loss Prevention (DLP) — Cloud &amp; SaaS, a single network interception or storage compromise exposes data and triggers mandatory breach notification.</t>
  </si>
  <si>
    <t xml:space="preserve">No cloud or SaaS DLP, and no CASB through which to apply it.</t>
  </si>
  <si>
    <t xml:space="preserve">GDPR Art.32|HIPAA|CASBs|ISO 27001</t>
  </si>
  <si>
    <t xml:space="preserve">Data Masking &amp; Pseudonymisation ensures that sensitive data masked or pseudonymised in non-production environments and analytics pipelines. Non-production environments use masked data; PII pseudonymised where possible; re-identification risk assessed.</t>
  </si>
  <si>
    <t xml:space="preserve">Reduces data exfiltration and regulatory breach risk by ensuring sensitive data is encrypted, monitored, and protected at rest and in transit. Without Data Masking &amp; Pseudonymisation, a single network interception or storage compromise exposes data and triggers mandatory breach notification.</t>
  </si>
  <si>
    <t xml:space="preserve">No masking or pseudonymisation. Production data, including full customer records, is copied into the staging environment for testing.</t>
  </si>
  <si>
    <t xml:space="preserve">Staging database record sample confirming production data — Tier 2.</t>
  </si>
  <si>
    <t xml:space="preserve">GDPR Art.25|HIPAA S164.514|PCI DSS 3.3</t>
  </si>
  <si>
    <t xml:space="preserve">Payment Card Data (PAN) Protection ensures that pan rendered unreadable throughout the cde with tokenisation or truncation. PAN storage prohibited except where essential; tokenisation or encryption with truncation displayed; scope minimised.</t>
  </si>
  <si>
    <t xml:space="preserve">Reduces data exfiltration and regulatory breach risk by ensuring sensitive data is encrypted, monitored, and protected at rest and in transit. Without Payment Card Data (PAN) Protection, a single network interception or storage compromise exposes data and triggers mandatory breach notification.</t>
  </si>
  <si>
    <t xml:space="preserve">PAN is tokenised through the acquiring bank's gateway for wallet transactions, so most card data does not reach Acacia systems. However, the merchant portal exports settlement files containing truncated PAN to an unencrypted internal share, and this flow is undocumented.</t>
  </si>
  <si>
    <t xml:space="preserve">Settlement file sample and share permissions — Tier 2, sample-tested.</t>
  </si>
  <si>
    <t xml:space="preserve">PCI DSS 3.3-3.5|PA-DSS</t>
  </si>
  <si>
    <t xml:space="preserve">Backup — Architecture &amp; Immutability ensures that backup architecture with immutable copies following the 3-2-1-1 rule. 3-2-1-1 backup rule: 3 copies, 2 media types, 1 off-site, 1 immutable/air-gapped; ransomware protection active.</t>
  </si>
  <si>
    <t xml:space="preserve">Reduces data exfiltration and regulatory breach risk by ensuring sensitive data is encrypted, monitored, and protected at rest and in transit. Without Backup — Architecture &amp; Immutability, a single network interception or storage compromise exposes data and triggers mandatory breach notification.</t>
  </si>
  <si>
    <t xml:space="preserve">Veeam backs up nightly to Amazon S3 with 30-day retention. Backups are not immutable, no object lock is applied, and the backup account uses the same credentials as the primary AWS environment.</t>
  </si>
  <si>
    <t xml:space="preserve">Veeam job configuration and S3 bucket policy export — Tier 1.</t>
  </si>
  <si>
    <t xml:space="preserve">DORA Art.12|NIS2|HIPAA S164.308|ISO 22301</t>
  </si>
  <si>
    <t xml:space="preserve">Backup — Restoration Testing ensures that regular backup restoration testing with documented rto/rpo achievement. Restoration test quarterly for critical systems; RTO/RPO validated; test results documented and board-reported.</t>
  </si>
  <si>
    <t xml:space="preserve">Reduces data exfiltration and regulatory breach risk by ensuring sensitive data is encrypted, monitored, and protected at rest and in transit. Without Backup — Restoration Testing, a single network interception or storage compromise exposes data and triggers mandatory breach notification.</t>
  </si>
  <si>
    <t xml:space="preserve">Restores are performed only in response to failures. No scheduled restoration testing, and no documented successful full restore.</t>
  </si>
  <si>
    <t xml:space="preserve">Freshservice tickets showing three ad hoc restores in 2026 — Tier 2.</t>
  </si>
  <si>
    <t xml:space="preserve">DORA Art.12|ISO 22301|HIPAA|NIS2</t>
  </si>
  <si>
    <t xml:space="preserve">Email Security — DMARC, DKIM, SPF ensures that anti-spoofing email authentication controls enforced for all domains. DMARC policy at p=reject; DKIM and SPF published for all sending domains; DMARC reporting monitored.</t>
  </si>
  <si>
    <t xml:space="preserve">Reduces data exfiltration and regulatory breach risk by ensuring sensitive data is encrypted, monitored, and protected at rest and in transit. Without Email Security — DMARC, DKIM, SPF, a single network interception or storage compromise exposes data and triggers mandatory breach notification.</t>
  </si>
  <si>
    <t xml:space="preserve">SPF and DKIM are published for the primary domain. DMARC exists at p=none and has never been advanced to quarantine or reject; two secondary domains have no records at all.</t>
  </si>
  <si>
    <t xml:space="preserve">DNS record export for all three domains — Tier 1.</t>
  </si>
  <si>
    <t xml:space="preserve">NIS2|DORA|ISO 27001|CIS Controls v8.9</t>
  </si>
  <si>
    <t xml:space="preserve">Email Security — Anti-Phishing &amp; Sandboxing ensures that advanced email threat protection with attachment sandboxing and link rewriting. Email security gateway with sandboxing; URL rewriting and real-time detonation; impersonation protection active.</t>
  </si>
  <si>
    <t xml:space="preserve">Reduces data exfiltration and regulatory breach risk by ensuring sensitive data is encrypted, monitored, and protected at rest and in transit. Without Email Security — Anti-Phishing &amp; Sandboxing, a single network interception or storage compromise exposes data and triggers mandatory breach notification.</t>
  </si>
  <si>
    <t xml:space="preserve">Exchange Online Protection is active as bundled with E3. No sandboxing or advanced anti-phishing, which is what allowed the November 2025 BEC email to reach the Finance mailbox.</t>
  </si>
  <si>
    <t xml:space="preserve">EOP configuration export and BEC incident ticket — Tier 2.</t>
  </si>
  <si>
    <t xml:space="preserve">NIS2|ISO 27001|CIS Controls v8.9|DORA</t>
  </si>
  <si>
    <t xml:space="preserve">Cryptographic Standards &amp; Key Lifecycle ensures that defined cryptographic standards with formal key lifecycle management. Cryptographic standards document published; NIST-approved algorithms enforced; key rotation schedule; HSM for critical keys.</t>
  </si>
  <si>
    <t xml:space="preserve">Reduces data exfiltration and regulatory breach risk by ensuring sensitive data is encrypted, monitored, and protected at rest and in transit. Without Cryptographic Standards &amp; Key Lifecycle, a single network interception or storage compromise exposes data and triggers mandatory breach notification.</t>
  </si>
  <si>
    <t xml:space="preserve">No cryptographic standard. Algorithm and key length choices are made per project, and there is no key lifecycle or rotation process outside AWS defaults.</t>
  </si>
  <si>
    <t xml:space="preserve">NIST SP 800-57|GDPR Art.32|ISO 27001 A.10|PCI DSS</t>
  </si>
  <si>
    <t xml:space="preserve">Endpoint Security</t>
  </si>
  <si>
    <t xml:space="preserve">Endpoint Detection &amp; Response (EDR) ensures that behavioural edr deployed across all managed endpoints with real-time telemetry. EDR coverage &gt;=99% of managed endpoints; behavioural detection active; automated containment configured; SIEM-integrated.</t>
  </si>
  <si>
    <t xml:space="preserve">Reduces endpoint compromise risk by ensuring devices are hardened, monitored, and protected against known and behavioural threats. Without Endpoint Detection &amp; Response (EDR), endpoints remain the most accessible attack surface for ransomware, credential theft, and lateral movement.</t>
  </si>
  <si>
    <t xml:space="preserve">Sophos Intercept X is deployed to 91% of Windows endpoints. Server coverage is partial, macOS devices in the Lagos office are unmanaged, and the console is monitored during office hours only.</t>
  </si>
  <si>
    <t xml:space="preserve">Sophos Central deployment report, August 2026 — Tier 1.</t>
  </si>
  <si>
    <t xml:space="preserve">CIS Controls v8.13|NIS2|DORA Art.9|ISO 27001</t>
  </si>
  <si>
    <t xml:space="preserve">Endpoint Hardening &amp; CIS Benchmark Compliance ensures that cis benchmark-based hardening applied and continuously validated across all endpoint types. CIS Benchmark applied to all endpoint classes; compliance scanned monthly; deviations remediated within 30 days.</t>
  </si>
  <si>
    <t xml:space="preserve">Reduces endpoint compromise risk by ensuring devices are hardened, monitored, and protected against known and behavioural threats. Without Endpoint Hardening &amp; CIS Benchmark Compliance, endpoints remain the most accessible attack surface for ransomware, credential theft, and lateral movement.</t>
  </si>
  <si>
    <t xml:space="preserve">No hardening baseline. Endpoints are built from a standard image that has never been benchmarked against CIS or any equivalent.</t>
  </si>
  <si>
    <t xml:space="preserve">Build image documentation — no benchmark reference. Tier 3.</t>
  </si>
  <si>
    <t xml:space="preserve">CIS Controls v8.4|ISO 27001|NIST SP 800-70</t>
  </si>
  <si>
    <t xml:space="preserve">Patch Management — Critical &amp; High Vulnerabilities ensures that critical and high-severity vulnerabilities patched within defined slas across all systems. Critical patches deployed within 72h; High within 7 days; CISA KEV tracked; &gt;=98% compliance reported monthly.</t>
  </si>
  <si>
    <t xml:space="preserve">Reduces endpoint compromise risk by ensuring devices are hardened, monitored, and protected against known and behavioural threats. Without Patch Management — Critical &amp; High Vulnerabilities, endpoints remain the most accessible attack surface for ransomware, credential theft, and lateral movement.</t>
  </si>
  <si>
    <t xml:space="preserve">Critical and high patches are applied through Windows Update and a monthly maintenance window. There is no SLA, no measurement of compliance, and servers are patched less consistently than endpoints.</t>
  </si>
  <si>
    <t xml:space="preserve">Freshservice change records for monthly windows, January–August 2026 — Tier 2.</t>
  </si>
  <si>
    <t xml:space="preserve">Patch Management — Medium &amp; Low Vulnerabilities ensures that medium and low-severity vulnerabilities patched within defined slas. Medium within 30 days; Low within 90 days; exception process for deferred patches; compensating controls documented.</t>
  </si>
  <si>
    <t xml:space="preserve">Reduces endpoint compromise risk by ensuring devices are hardened, monitored, and protected against known and behavioural threats. Without Patch Management — Medium &amp; Low Vulnerabilities, endpoints remain the most accessible attack surface for ransomware, credential theft, and lateral movement.</t>
  </si>
  <si>
    <t xml:space="preserve">Medium and low vulnerabilities are not tracked or remediated.</t>
  </si>
  <si>
    <t xml:space="preserve">CIS Controls v8.7|ISO 27001|NIST SP 800-40</t>
  </si>
  <si>
    <t xml:space="preserve">End-of-Life (EOL) Software &amp; OS Management ensures that automated detection and mandatory retirement of eol and unsupported software. Zero EOL software in production target; automated detection; migration plan with owner for all EOL assets.</t>
  </si>
  <si>
    <t xml:space="preserve">Reduces endpoint compromise risk by ensuring devices are hardened, monitored, and protected against known and behavioural threats. Without End-of-Life (EOL) Software &amp; OS Management, endpoints remain the most accessible attack surface for ransomware, credential theft, and lateral movement.</t>
  </si>
  <si>
    <t xml:space="preserve">Two Windows Server 2012 R2 hosts remain in production supporting a legacy reconciliation tool, out of support since October 2023, with no compensating controls and no migration plan.</t>
  </si>
  <si>
    <t xml:space="preserve">Server inventory extract — Tier 2.</t>
  </si>
  <si>
    <t xml:space="preserve">CIS Controls v8|ISO 27001|CRA Art.13|NIS2</t>
  </si>
  <si>
    <t xml:space="preserve">Application Whitelisting / Allowlisting ensures that application execution control preventing unauthorised software from running. Allowlisting active on servers and high-risk endpoints; admin-only software install on workstations.</t>
  </si>
  <si>
    <t xml:space="preserve">Reduces endpoint compromise risk by ensuring devices are hardened, monitored, and protected against known and behavioural threats. Without Application Whitelisting / Allowlisting, endpoints remain the most accessible attack surface for ransomware, credential theft, and lateral movement.</t>
  </si>
  <si>
    <t xml:space="preserve">No application allowlisting. Users with local administrator rights, which includes the entire engineering team, can install software freely.</t>
  </si>
  <si>
    <t xml:space="preserve">Local administrators group membership export — Tier 1.</t>
  </si>
  <si>
    <t xml:space="preserve">CIS Controls v8.2|NIST SP 800-167|ISO 27001</t>
  </si>
  <si>
    <t xml:space="preserve">Removable Media Controls ensures that usb and removable media usage controlled with dlp enforcement. USB blocked by default on endpoints; exceptions require approval; media used encrypted; DLP monitors removable media.</t>
  </si>
  <si>
    <t xml:space="preserve">Reduces endpoint compromise risk by ensuring devices are hardened, monitored, and protected against known and behavioural threats. Without Removable Media Controls, endpoints remain the most accessible attack surface for ransomware, credential theft, and lateral movement.</t>
  </si>
  <si>
    <t xml:space="preserve">No removable media controls. USB storage is unrestricted on all endpoints.</t>
  </si>
  <si>
    <t xml:space="preserve">Sophos policy configuration showing device control disabled — Tier 1.</t>
  </si>
  <si>
    <t xml:space="preserve">PCI DSS 9.8|ISO 27001 A.8.11|HIPAA|NIS2</t>
  </si>
  <si>
    <t xml:space="preserve">Mobile Device Management (MDM) ensures that mdm controlling all corporate and byod mobile devices accessing corporate data. MDM coverage &gt;=99% corporate mobile devices; BYOD enrolled or restricted; remote wipe capability; encryption enforced.</t>
  </si>
  <si>
    <t xml:space="preserve">Reduces endpoint compromise risk by ensuring devices are hardened, monitored, and protected against known and behavioural threats. Without Mobile Device Management (MDM), endpoints remain the most accessible attack surface for ransomware, credential theft, and lateral movement.</t>
  </si>
  <si>
    <t xml:space="preserve">Intune enrolment is enforced for company-issued mobile devices with a PIN and remote wipe. Personal devices access corporate email without enrolment or conditional access.</t>
  </si>
  <si>
    <t xml:space="preserve">Intune device compliance report — 63 managed devices, Tier 1.</t>
  </si>
  <si>
    <t xml:space="preserve">ISO 27001 A.8.1|HIPAA S164.312|CIS Controls v8</t>
  </si>
  <si>
    <t xml:space="preserve">Network Security</t>
  </si>
  <si>
    <t xml:space="preserve">Network Segmentation — Zone Architecture ensures that network zone architecture separating corporate, dmz, production, and guest environments. Zone architecture documented and implemented; firewalls between zones; trust levels enforced; annual validation.</t>
  </si>
  <si>
    <t xml:space="preserve">Reduces lateral movement and network compromise risk by ensuring traffic is segmented, filtered, and monitored between zones. Without Network Segmentation — Zone Architecture, a single perimeter breach enables unrestricted internal movement to crown-jewel assets.</t>
  </si>
  <si>
    <t xml:space="preserve">The internal network is flat. Servers, workstations, the guest network and the payment reconciliation systems share the same broadcast domain across both offices.</t>
  </si>
  <si>
    <t xml:space="preserve">FortiGate interface and VLAN configuration export — Tier 1.</t>
  </si>
  <si>
    <t xml:space="preserve">CIS Controls v8.12|NIS2|DORA|PCI DSS 1.3</t>
  </si>
  <si>
    <t xml:space="preserve">Network Microsegmentation (Cloud &amp; Data Centre) ensures that east-west traffic microsegmentation in cloud and data centre to limit lateral movement. Microsegmentation deployed in cloud and DC; workload-level policies; lateral movement blocked by default.</t>
  </si>
  <si>
    <t xml:space="preserve">Reduces lateral movement and network compromise risk by ensuring traffic is segmented, filtered, and monitored between zones. Without Network Microsegmentation (Cloud &amp; Data Centre), a single perimeter breach enables unrestricted internal movement to crown-jewel assets.</t>
  </si>
  <si>
    <t xml:space="preserve">No microsegmentation. AWS security groups are permissive, with several allowing 0.0.0.0/0 on administrative ports.</t>
  </si>
  <si>
    <t xml:space="preserve">AWS security group export showing 7 open administrative rules — Tier 1.</t>
  </si>
  <si>
    <t xml:space="preserve">NIST SP 800-207|NIS2|ISO 27001|CIS Controls</t>
  </si>
  <si>
    <t xml:space="preserve">CDE Network Segmentation Validation ensures that annual validation of pci dss cde segmentation effectiveness. CDE segmentation confirmed annually by QSA or penetration test; scope creep detection; segmentation controls documented.</t>
  </si>
  <si>
    <t xml:space="preserve">Reduces lateral movement and network compromise risk by ensuring traffic is segmented, filtered, and monitored between zones. Without CDE Network Segmentation Validation, a single perimeter breach enables unrestricted internal movement to crown-jewel assets.</t>
  </si>
  <si>
    <t xml:space="preserve">CDE segmentation does not exist, so segmentation validation testing has never been possible. This keeps the entire estate in PCI scope.</t>
  </si>
  <si>
    <t xml:space="preserve">None. Follows directly from ID-12 and PR-34.</t>
  </si>
  <si>
    <t xml:space="preserve">PCI DSS 1.3.2|PCI DSS 11.4.6</t>
  </si>
  <si>
    <t xml:space="preserve">NGFW &amp; Firewall Rule Management ensures that next-generation firewall deployed with regular rule reviews and drift prevention. NGFW deployed; rules reviewed annually; unauthorised rules alerted; default-deny inbound; change-managed.</t>
  </si>
  <si>
    <t xml:space="preserve">Reduces lateral movement and network compromise risk by ensuring traffic is segmented, filtered, and monitored between zones. Without NGFW &amp; Firewall Rule Management, a single perimeter breach enables unrestricted internal movement to crown-jewel assets.</t>
  </si>
  <si>
    <t xml:space="preserve">FortiGate firewalls are in place at both offices with a default-deny inbound posture. The rule base has never been reviewed, contains rules with no documented owner or business justification, and change control is informal.</t>
  </si>
  <si>
    <t xml:space="preserve">FortiGate rule base export, 214 rules, 38 with no comment — Tier 1.</t>
  </si>
  <si>
    <t xml:space="preserve">CIS Controls v8.12|PCI DSS 1.2|ISO 27001 A.8.20</t>
  </si>
  <si>
    <t xml:space="preserve">Web Application Firewall (WAF) ensures that waf protecting all internet-facing web applications and apis. WAF in blocking mode for all internet-facing applications; OWASP Top 10 rule set; alerts reviewed.</t>
  </si>
  <si>
    <t xml:space="preserve">Reduces lateral movement and network compromise risk by ensuring traffic is segmented, filtered, and monitored between zones. Without Web Application Firewall (WAF), a single perimeter breach enables unrestricted internal movement to crown-jewel assets.</t>
  </si>
  <si>
    <t xml:space="preserve">Cloudflare WAF protects the merchant portal in monitoring mode. The consumer wallet API sits behind the load balancer with no WAF, and no rules are tuned or enforced.</t>
  </si>
  <si>
    <t xml:space="preserve">Cloudflare WAF configuration showing detection-only mode — Tier 1.</t>
  </si>
  <si>
    <t xml:space="preserve">OWASP Top 10|PCI DSS 6.4|NIS2|ISO 27001</t>
  </si>
  <si>
    <t xml:space="preserve">Zero Trust Network Access (ZTNA) ensures that ztna replacing or augmenting vpn for remote access to corporate applications. ZTNA deployed for remote workforce; legacy VPN being phased out or restricted; identity-aware access enforced.</t>
  </si>
  <si>
    <t xml:space="preserve">Reduces lateral movement and network compromise risk by ensuring traffic is segmented, filtered, and monitored between zones. Without Zero Trust Network Access (ZTNA), a single perimeter breach enables unrestricted internal movement to crown-jewel assets.</t>
  </si>
  <si>
    <t xml:space="preserve">No ZTNA. Remote access is provided by a shared-credential SSL VPN into the flat internal network.</t>
  </si>
  <si>
    <t xml:space="preserve">FortiGate VPN configuration — Tier 1.</t>
  </si>
  <si>
    <t xml:space="preserve">SASE Architecture ensures that secure access service edge convergence of network and security services. SASE framework adopted or roadmap active; SWG and CASB and ZTNA integrated; cloud-delivered security enforced.</t>
  </si>
  <si>
    <t xml:space="preserve">Reduces lateral movement and network compromise risk by ensuring traffic is segmented, filtered, and monitored between zones. Without SASE Architecture, a single perimeter breach enables unrestricted internal movement to crown-jewel assets.</t>
  </si>
  <si>
    <t xml:space="preserve">No SASE architecture and no plan to adopt one.</t>
  </si>
  <si>
    <t xml:space="preserve">Gartner SASE|NIST CSF PR.AC|NIS2</t>
  </si>
  <si>
    <t xml:space="preserve">Protective DNS &amp; DNS Security ensures that dns security blocking malicious domains and preventing dns-based attacks. Protective DNS deployed for all users on-network and off-network; DNSSEC enforced for owned domains.</t>
  </si>
  <si>
    <t xml:space="preserve">Reduces lateral movement and network compromise risk by ensuring traffic is segmented, filtered, and monitored between zones. Without Protective DNS &amp; DNS Security, a single perimeter breach enables unrestricted internal movement to crown-jewel assets.</t>
  </si>
  <si>
    <t xml:space="preserve">No protective DNS. Endpoints resolve through the ISP resolver with no filtering or logging.</t>
  </si>
  <si>
    <t xml:space="preserve">FortiGate DNS configuration — Tier 1.</t>
  </si>
  <si>
    <t xml:space="preserve">NCSC PDNS|CIS Controls v8.9|NIS2|DORA</t>
  </si>
  <si>
    <t xml:space="preserve">Egress Filtering &amp; Allowlisting ensures that outbound traffic filtered to permitted destinations only. Egress filtering active; allowlist-based outbound proxy; unknown destinations blocked; DNS exfiltration detection active.</t>
  </si>
  <si>
    <t xml:space="preserve">Reduces lateral movement and network compromise risk by ensuring traffic is segmented, filtered, and monitored between zones. Without Egress Filtering &amp; Allowlisting, a single perimeter breach enables unrestricted internal movement to crown-jewel assets.</t>
  </si>
  <si>
    <t xml:space="preserve">No egress filtering. Outbound traffic is unrestricted from both the office networks and the AWS VPCs.</t>
  </si>
  <si>
    <t xml:space="preserve">Security group and firewall egress rules showing any-any — Tier 1.</t>
  </si>
  <si>
    <t xml:space="preserve">CIS Controls v8.9|ISO 27001|NIS2|MITRE ATT&amp;CK</t>
  </si>
  <si>
    <t xml:space="preserve">Network Intrusion Prevention (IPS) ensures that inline intrusion prevention detecting and blocking network attacks in real time. IPS deployed in-line at internet boundary and critical segments; signature and behavioural detection; tuned.</t>
  </si>
  <si>
    <t xml:space="preserve">Reduces lateral movement and network compromise risk by ensuring traffic is segmented, filtered, and monitored between zones. Without Network Intrusion Prevention (IPS), a single perimeter breach enables unrestricted internal movement to crown-jewel assets.</t>
  </si>
  <si>
    <t xml:space="preserve">FortiGate IPS is licensed and enabled with the default profile on the internet-facing interface. Signatures update automatically, but nothing consumes the alerts and no tuning has been performed.</t>
  </si>
  <si>
    <t xml:space="preserve">FortiGate IPS profile configuration and alert counts — Tier 1.</t>
  </si>
  <si>
    <t xml:space="preserve">ISO 27001 A.8.20|NIS2|DORA|PCI DSS 11.5</t>
  </si>
  <si>
    <t xml:space="preserve">Remote Administration Security ensures that secure protocols and jump servers enforced for all remote system administration. SSH/RDP only via jump server or PAM; no direct internet RDP/SSH; privileged session recorded; MFA required.</t>
  </si>
  <si>
    <t xml:space="preserve">Reduces lateral movement and network compromise risk by ensuring traffic is segmented, filtered, and monitored between zones. Without Remote Administration Security, a single perimeter breach enables unrestricted internal movement to crown-jewel assets.</t>
  </si>
  <si>
    <t xml:space="preserve">Remote administration uses RDP and SSH directly from the VPN with shared credentials and no jump host, session recording or approval.</t>
  </si>
  <si>
    <t xml:space="preserve">Firewall rules permitting RDP from the VPN pool — Tier 1.</t>
  </si>
  <si>
    <t xml:space="preserve">CIS Controls v8.12|PCI DSS 8.2|NIS2|DORA</t>
  </si>
  <si>
    <t xml:space="preserve">Wireless Network Security ensures that enterprise wireless security with guest network isolation and rogue ap detection. WPA3 or WPA2-Enterprise enforced; guest network isolated; rogue AP detection active; SSID inventory maintained.</t>
  </si>
  <si>
    <t xml:space="preserve">Reduces lateral movement and network compromise risk by ensuring traffic is segmented, filtered, and monitored between zones. Without Wireless Network Security, a single perimeter breach enables unrestricted internal movement to crown-jewel assets.</t>
  </si>
  <si>
    <t xml:space="preserve">Corporate wireless uses WPA2-Enterprise authenticated against Entra ID. The guest network uses a shared pre-shared key changed annually and is not isolated from the corporate VLAN.</t>
  </si>
  <si>
    <t xml:space="preserve">Wireless controller configuration export — Tier 1.</t>
  </si>
  <si>
    <t xml:space="preserve">PCI DSS 11.2|CIS Controls v8.6|ISO 27001 A.8.20</t>
  </si>
  <si>
    <t xml:space="preserve">OT/ICS Network Security ensures that dedicated ot/ics network security controls with it/ot separation enforced. IT/OT boundary firewall; unidirectional gateways for critical OT; OT traffic monitored; remote access to OT controlled.</t>
  </si>
  <si>
    <t xml:space="preserve">Reduces lateral movement and network compromise risk by ensuring traffic is segmented, filtered, and monitored between zones. Without OT/ICS Network Security, a single perimeter breach enables unrestricted internal movement to crown-jewel assets.</t>
  </si>
  <si>
    <t xml:space="preserve">IEC 62443|NIS2|DORA|NERC CIP</t>
  </si>
  <si>
    <t xml:space="preserve">Application Security</t>
  </si>
  <si>
    <t xml:space="preserve">Secure SDLC — Security Requirements ensures that security requirements defined and validated at the design phase of all development projects. Security requirements mandatory in all project phases; threat modelling for significant features; CISO sign-off for high-risk.</t>
  </si>
  <si>
    <t xml:space="preserve">Reduces application-layer vulnerability risk by ensuring code is securely developed, tested, and deployed. Without Secure SDLC — Security Requirements, vulnerabilities introduced during development reach production — 60% of breaches involve application layer weaknesses.</t>
  </si>
  <si>
    <t xml:space="preserve">Security requirements are not defined at the start of development. Requirements are functional only, and security is considered at release if at all.</t>
  </si>
  <si>
    <t xml:space="preserve">Jira epic templates — no security requirement fields. Tier 2.</t>
  </si>
  <si>
    <t xml:space="preserve">OWASP ASVS|NIST SSDF|ISO 27001 A.8.25</t>
  </si>
  <si>
    <t xml:space="preserve">Secure SDLC — Static Analysis (SAST) ensures that sast integrated in ci/cd pipeline blocking releases with critical findings. SAST in CI/CD; critical and high findings block merge; false-positive management; trend reporting.</t>
  </si>
  <si>
    <t xml:space="preserve">Reduces application-layer vulnerability risk by ensuring code is securely developed, tested, and deployed. Without Secure SDLC — Static Analysis (SAST), vulnerabilities introduced during development reach production — 60% of breaches involve application layer weaknesses.</t>
  </si>
  <si>
    <t xml:space="preserve">GitHub's built-in code scanning is enabled on the two main repositories and runs on pull requests. Findings are advisory, do not block merge, and the backlog of open alerts has grown steadily since enablement.</t>
  </si>
  <si>
    <t xml:space="preserve">GitHub code scanning alerts — 61 open, oldest 14 months. Tier 1.</t>
  </si>
  <si>
    <t xml:space="preserve">OWASP ASVS|NIST SSDF|CRA Art.13|PCI DSS 6.2</t>
  </si>
  <si>
    <t xml:space="preserve">Secure SDLC — Software Composition Analysis (SCA) ensures that sca scanning all open-source components for known vulnerabilities and licence issues. SCA in CI/CD; critical OSS CVEs block build; SBOM generated; licence violations flagged.</t>
  </si>
  <si>
    <t xml:space="preserve">Reduces application-layer vulnerability risk by ensuring code is securely developed, tested, and deployed. Without Secure SDLC — Software Composition Analysis (SCA), vulnerabilities introduced during development reach production — 60% of breaches involve application layer weaknesses.</t>
  </si>
  <si>
    <t xml:space="preserve">Dependabot is enabled and raises pull requests for vulnerable dependencies. Uptake is inconsistent and there is no SLA for merging security updates.</t>
  </si>
  <si>
    <t xml:space="preserve">Dependabot alert history — 23 open, 9 critical. Tier 1.</t>
  </si>
  <si>
    <t xml:space="preserve">NIST SSDF|CRA Art.13|OWASP|Executive Order 14028</t>
  </si>
  <si>
    <t xml:space="preserve">Secure SDLC — Dynamic Analysis (DAST) ensures that dast scanning internet-facing applications before every release. DAST run pre-release for all internet-facing apps; scheduled DAST quarterly; critical findings remediated before release.</t>
  </si>
  <si>
    <t xml:space="preserve">Reduces application-layer vulnerability risk by ensuring code is securely developed, tested, and deployed. Without Secure SDLC — Dynamic Analysis (DAST), vulnerabilities introduced during development reach production — 60% of breaches involve application layer weaknesses.</t>
  </si>
  <si>
    <t xml:space="preserve">No DAST. Dynamic testing occurs only within the annual penetration test.</t>
  </si>
  <si>
    <t xml:space="preserve">OWASP ASVS|NIST SSDF|PCI DSS 6.2|NIS2</t>
  </si>
  <si>
    <t xml:space="preserve">Secure SDLC — Release Security Sign-Off ensures that security sign-off gate mandatory before production release of significant changes. Named security approval required for all production releases meeting risk threshold; sign-off documented.</t>
  </si>
  <si>
    <t xml:space="preserve">Reduces application-layer vulnerability risk by ensuring code is securely developed, tested, and deployed. Without Secure SDLC — Release Security Sign-Off, vulnerabilities introduced during development reach production — 60% of breaches involve application layer weaknesses.</t>
  </si>
  <si>
    <t xml:space="preserve">No security sign-off at release. Deployment requires only a passing functional test suite.</t>
  </si>
  <si>
    <t xml:space="preserve">GitHub Actions release workflow — no security gate. Tier 1.</t>
  </si>
  <si>
    <t xml:space="preserve">ISO 27001 A.8.25|NIST SSDF|SOX|PCI DSS</t>
  </si>
  <si>
    <t xml:space="preserve">API Security — Inventory &amp; Gateway ensures that complete api inventory with gateway-enforced authentication, rate limiting, and schema validation. API inventory maintained; API gateway enforcing authentication and authorisation, rate limiting, schema validation for all public APIs.</t>
  </si>
  <si>
    <t xml:space="preserve">Reduces application-layer vulnerability risk by ensuring code is securely developed, tested, and deployed. Without API Security — Inventory &amp; Gateway, vulnerabilities introduced during development reach production — 60% of breaches involve application layer weaknesses.</t>
  </si>
  <si>
    <t xml:space="preserve">No API inventory and no gateway. The wallet exposes endpoints that are documented in Confluence by convention only, and several undocumented endpoints were identified in the 2026 penetration test.</t>
  </si>
  <si>
    <t xml:space="preserve">Pentest report finding 4.2 — Tier 1, independent.</t>
  </si>
  <si>
    <t xml:space="preserve">OWASP API Top 10|NIS2|ISO 27001|CIS Controls</t>
  </si>
  <si>
    <t xml:space="preserve">Container Security — Image Scanning ensures that container images scanned before deployment with critical vulnerability blocking. Container image scanning in CI/CD; critical CVEs block deployment; image signing enforced; approved base images only.</t>
  </si>
  <si>
    <t xml:space="preserve">Reduces application-layer vulnerability risk by ensuring code is securely developed, tested, and deployed. Without Container Security — Image Scanning, vulnerabilities introduced during development reach production — 60% of breaches involve application layer weaknesses.</t>
  </si>
  <si>
    <t xml:space="preserve">Container images are built in GitHub Actions and pushed to ECR without scanning.</t>
  </si>
  <si>
    <t xml:space="preserve">GitHub Actions build workflow — no scan step. Tier 1.</t>
  </si>
  <si>
    <t xml:space="preserve">NIST SP 800-190|CIS Docker|OCI|ISO 27001</t>
  </si>
  <si>
    <t xml:space="preserve">Container Security — Runtime Protection ensures that runtime security monitoring for container workloads detecting anomalous behaviour. Runtime protection deployed; privilege escalation and anomalous syscalls alerted; read-only filesystems enforced.</t>
  </si>
  <si>
    <t xml:space="preserve">Reduces application-layer vulnerability risk by ensuring code is securely developed, tested, and deployed. Without Container Security — Runtime Protection, vulnerabilities introduced during development reach production — 60% of breaches involve application layer weaknesses.</t>
  </si>
  <si>
    <t xml:space="preserve">No container runtime protection.</t>
  </si>
  <si>
    <t xml:space="preserve">NIST SP 800-190|CIS Kubernetes|ISO 27001</t>
  </si>
  <si>
    <t xml:space="preserve">Secrets Exposure Prevention in Code ensures that automated prevention and detection of secrets hardcoded in source code. Pre-commit hooks scanning for secrets; repository scanning daily; exposed secrets alerted and rotated within 4h.</t>
  </si>
  <si>
    <t xml:space="preserve">Reduces application-layer vulnerability risk by ensuring code is securely developed, tested, and deployed. Without Secrets Exposure Prevention in Code, vulnerabilities introduced during development reach production — 60% of breaches involve application layer weaknesses.</t>
  </si>
  <si>
    <t xml:space="preserve">No secret scanning in the pipeline. A historical AWS access key was found committed to a repository during the 2026 penetration test and rotated afterwards.</t>
  </si>
  <si>
    <t xml:space="preserve">Pentest report finding 2.1 and the subsequent rotation ticket — Tier 1.</t>
  </si>
  <si>
    <t xml:space="preserve">NIST SSDF|CIS Controls v8|GitHub ASPM|OWASP</t>
  </si>
  <si>
    <t xml:space="preserve">Payment Page &amp; Script Integrity ensures that script integrity controls preventing skimming attacks on payment pages. CSP headers enforcing script allowlist; SRI for all scripts; payment page change detection active.</t>
  </si>
  <si>
    <t xml:space="preserve">Reduces application-layer vulnerability risk by ensuring code is securely developed, tested, and deployed. Without Payment Page &amp; Script Integrity, vulnerabilities introduced during development reach production — 60% of breaches involve application layer weaknesses.</t>
  </si>
  <si>
    <t xml:space="preserve">No payment page script integrity controls. The merchant checkout page loads third-party scripts without integrity attributes or a content security policy, which is a direct PCI DSS v4 requirement.</t>
  </si>
  <si>
    <t xml:space="preserve">Checkout page source review — Tier 2.</t>
  </si>
  <si>
    <t xml:space="preserve">PCI DSS 6.4.3|OWASP|CRA</t>
  </si>
  <si>
    <t xml:space="preserve">Software Supply Chain Security ensures that end-to-end software supply chain security from development to deployment. Signed commits enforced; provenance attestation (SLSA Level 2+); build reproducibility; dependency pinning.</t>
  </si>
  <si>
    <t xml:space="preserve">Reduces application-layer vulnerability risk by ensuring code is securely developed, tested, and deployed. Without Software Supply Chain Security, vulnerabilities introduced during development reach production — 60% of breaches involve application layer weaknesses.</t>
  </si>
  <si>
    <t xml:space="preserve">No software supply chain security controls. Build provenance is not attested and dependencies are not verified beyond Dependabot alerts.</t>
  </si>
  <si>
    <t xml:space="preserve">SLSA Framework|NIST SSDF|CRA Art.13|EO 14028</t>
  </si>
  <si>
    <t xml:space="preserve">Threat Modelling Programme ensures that systematic threat modelling conducted for all significant applications and architectural changes. Threat modelling methodology adopted (STRIDE/PASTA); conducted at design phase; findings tracked.</t>
  </si>
  <si>
    <t xml:space="preserve">Reduces application-layer vulnerability risk by ensuring code is securely developed, tested, and deployed. Without Threat Modelling Programme, vulnerabilities introduced during development reach production — 60% of breaches involve application layer weaknesses.</t>
  </si>
  <si>
    <t xml:space="preserve">No threat modelling. No design has been formally assessed for threats, including the consumer wallet launched in 2024.</t>
  </si>
  <si>
    <t xml:space="preserve">OWASP Threat Dragon|NIST SP 800-154|ISO 27001</t>
  </si>
  <si>
    <t xml:space="preserve">Cloud Security</t>
  </si>
  <si>
    <t xml:space="preserve">Cloud Security Posture Management (CSPM) ensures that continuous cloud security posture assessment across all csps with auto-remediation. CSPM deployed across all CSPs; benchmark compliance &gt;=90% (CIS Cloud); critical findings auto-remediated or alerted within 4h.</t>
  </si>
  <si>
    <t xml:space="preserve">Reduces cloud misconfiguration and entitlement risk by ensuring cloud environments are continuously monitored against security baselines. Without Cloud Security Posture Management (CSPM), cloud misconfigurations — the leading cause of cloud breaches — remain undetected until exploited.</t>
  </si>
  <si>
    <t xml:space="preserve">No CSPM tooling. Cloud misconfiguration is discovered incidentally or during the annual penetration test.</t>
  </si>
  <si>
    <t xml:space="preserve">CSA CCM|ISO 27017|CIS Cloud Benchmarks|DORA</t>
  </si>
  <si>
    <t xml:space="preserve">Cloud Infrastructure Entitlement Management (CIEM) ensures that cloud iam entitlement analysis preventing over-privileged identities. CIEM deployed; unused permissions auto-revoked; privilege escalation paths detected; cloud IAM reviewed quarterly.</t>
  </si>
  <si>
    <t xml:space="preserve">Reduces cloud misconfiguration and entitlement risk by ensuring cloud environments are continuously monitored against security baselines. Without Cloud Infrastructure Entitlement Management (CIEM), cloud misconfigurations — the leading cause of cloud breaches — remain undetected until exploited.</t>
  </si>
  <si>
    <t xml:space="preserve">No CIEM. AWS IAM entitlements have grown organically, and several roles carry wildcard administrative permissions.</t>
  </si>
  <si>
    <t xml:space="preserve">IAM policy export showing 4 roles with Action:* — Tier 1.</t>
  </si>
  <si>
    <t xml:space="preserve">CSA CCM|ISO 27017|CIS Controls|DORA Art.9</t>
  </si>
  <si>
    <t xml:space="preserve">Cloud Shared Responsibility Matrix ensures that documented shared responsibility model for each csp with coverage gaps identified. Shared responsibility matrix per CSP; gap analysis completed; owner assigned for each security layer.</t>
  </si>
  <si>
    <t xml:space="preserve">Reduces cloud misconfiguration and entitlement risk by ensuring cloud environments are continuously monitored against security baselines. Without Cloud Shared Responsibility Matrix, cloud misconfigurations — the leading cause of cloud breaches — remain undetected until exploited.</t>
  </si>
  <si>
    <t xml:space="preserve">No shared responsibility matrix. The boundary between AWS obligations and Acacia obligations has not been documented, and several bank questionnaire answers assumed AWS coverage incorrectly.</t>
  </si>
  <si>
    <t xml:space="preserve">Bank questionnaire responses (Oct 2025) — Tier 2.</t>
  </si>
  <si>
    <t xml:space="preserve">ISO 27017|CSA CCM|ISO 27001</t>
  </si>
  <si>
    <t xml:space="preserve">Cloud Native Security Controls (AWS/Azure/GCP) ensures that csp-native security services deployed and configured to benchmark. AWS Security Hub/Azure Defender/GCP Security Command Centre active and configured; findings actioned.</t>
  </si>
  <si>
    <t xml:space="preserve">Reduces cloud misconfiguration and entitlement risk by ensuring cloud environments are continuously monitored against security baselines. Without Cloud Native Security Controls (AWS/Azure/GCP), cloud misconfigurations — the leading cause of cloud breaches — remain undetected until exploited.</t>
  </si>
  <si>
    <t xml:space="preserve">Some AWS native controls are enabled — CloudTrail is on in the primary region and GuardDuty was activated in April 2026. Neither is enabled in af-south-1, and no alerts are routed to anyone.</t>
  </si>
  <si>
    <t xml:space="preserve">AWS CloudTrail and GuardDuty configuration, single region — Tier 1.</t>
  </si>
  <si>
    <t xml:space="preserve">CIS Cloud Benchmarks|CSA CCM|NIST SP 800-53</t>
  </si>
  <si>
    <t xml:space="preserve">Cloud Key Management &amp; HSM ensures that centralised cloud key management with hsm-backed keys for sensitive workloads. Cloud KMS deployed; customer-managed keys for sensitive data; HSM-backed keys for critical cryptography; key rotation automated.</t>
  </si>
  <si>
    <t xml:space="preserve">Reduces cloud misconfiguration and entitlement risk by ensuring cloud environments are continuously monitored against security baselines. Without Cloud Key Management &amp; HSM, cloud misconfigurations — the leading cause of cloud breaches — remain undetected until exploited.</t>
  </si>
  <si>
    <t xml:space="preserve">AWS KMS manages keys for encrypted services using AWS-managed keys. No customer-managed keys, no HSM, and no documented key lifecycle.</t>
  </si>
  <si>
    <t xml:space="preserve">KMS key listing — all AWS-managed. Tier 1.</t>
  </si>
  <si>
    <t xml:space="preserve">NIST SP 800-57|ISO 27001 A.10|PCI DSS 3.6</t>
  </si>
  <si>
    <t xml:space="preserve">FedRAMP Compliance (where applicable) ensures that fedramp authorisation obtained and maintained for us federal cloud workloads. FedRAMP ATO current; continuous monitoring programme active; 3PAO assessments on schedule.</t>
  </si>
  <si>
    <t xml:space="preserve">Reduces cloud misconfiguration and entitlement risk by ensuring cloud environments are continuously monitored against security baselines. Without FedRAMP Compliance (where applicable), cloud misconfigurations — the leading cause of cloud breaches — remain undetected until exploited.</t>
  </si>
  <si>
    <t xml:space="preserve">FedRAMP|NIST SP 800-53|FedRAMP Rev5</t>
  </si>
  <si>
    <t xml:space="preserve">Data Residency &amp; Sovereignty Controls ensures that enforced data residency controls ensuring data remains within required geographic regions. Residency policies enforced via cloud region controls; data location confirmed; cross-region replication restricted.</t>
  </si>
  <si>
    <t xml:space="preserve">Reduces cloud misconfiguration and entitlement risk by ensuring cloud environments are continuously monitored against security baselines. Without Data Residency &amp; Sovereignty Controls, cloud misconfigurations — the leading cause of cloud breaches — remain undetected until exploited.</t>
  </si>
  <si>
    <t xml:space="preserve">EU merchant data is held in eu-west-1 by design and Nigerian data in af-south-1. The arrangement is intentional but undocumented, and there is no technical control preventing data being written to the wrong region.</t>
  </si>
  <si>
    <t xml:space="preserve">AWS region configuration; no policy artefact. Tier 3.</t>
  </si>
  <si>
    <t xml:space="preserve">GDPR Art.44|DORA|Sector regulations</t>
  </si>
  <si>
    <t xml:space="preserve">SaaS Security &amp; CASB ensures that casb enforcing dlp, access control, and threat protection for all sanctioned saas. CASB deployed covering all sanctioned SaaS; shadow IT detected; DLP policies enforced; session controls active.</t>
  </si>
  <si>
    <t xml:space="preserve">Reduces cloud misconfiguration and entitlement risk by ensuring cloud environments are continuously monitored against security baselines. Without SaaS Security &amp; CASB, cloud misconfigurations — the leading cause of cloud breaches — remain undetected until exploited.</t>
  </si>
  <si>
    <t xml:space="preserve">No CASB and no SaaS security posture management. Sanctioned SaaS is configured on defaults.</t>
  </si>
  <si>
    <t xml:space="preserve">CSA CCM|ISO 27017|GDPR Art.28|ISO 27001</t>
  </si>
  <si>
    <t xml:space="preserve">Cloud Configuration Drift Prevention ensures that automated detection and prevention of cloud configuration drift from approved baselines. IaC enforced (Terraform/CloudFormation); drift detection alerts within 15 minutes; non-compliant configs auto-remediated.</t>
  </si>
  <si>
    <t xml:space="preserve">Reduces cloud misconfiguration and entitlement risk by ensuring cloud environments are continuously monitored against security baselines. Without Cloud Configuration Drift Prevention, cloud misconfigurations — the leading cause of cloud breaches — remain undetected until exploited.</t>
  </si>
  <si>
    <t xml:space="preserve">No drift detection. Infrastructure is partly managed in Terraform and partly changed by hand in the console, and the two have diverged.</t>
  </si>
  <si>
    <t xml:space="preserve">Terraform plan output showing 30+ unmanaged changes — Tier 1.</t>
  </si>
  <si>
    <t xml:space="preserve">CIS Cloud Benchmarks|DORA Art.8|NIS2</t>
  </si>
  <si>
    <t xml:space="preserve">Container Orchestration Security (Kubernetes) ensures that kubernetes and container orchestration platform security hardened to cis benchmark. CIS Kubernetes benchmark applied; network policies enforced; RBAC hardened; secrets not in environment variables.</t>
  </si>
  <si>
    <t xml:space="preserve">Reduces cloud misconfiguration and entitlement risk by ensuring cloud environments are continuously monitored against security baselines. Without Container Orchestration Security (Kubernetes), cloud misconfigurations — the leading cause of cloud breaches — remain undetected until exploited.</t>
  </si>
  <si>
    <t xml:space="preserve">EKS runs with default settings. No pod security standards, no network policies and no benchmark applied.</t>
  </si>
  <si>
    <t xml:space="preserve">EKS cluster configuration — Tier 1.</t>
  </si>
  <si>
    <t xml:space="preserve">CIS Kubernetes|NIST SP 800-190|ISO 27001</t>
  </si>
  <si>
    <t xml:space="preserve">Cloud Workload Protection Platform (CWPP) ensures that runtime protection for cloud workloads including vms, containers, and serverless functions. CWPP deployed covering all workload types; EDR-equivalent for cloud VMs; serverless function monitoring active.</t>
  </si>
  <si>
    <t xml:space="preserve">Reduces cloud misconfiguration and entitlement risk by ensuring cloud environments are continuously monitored against security baselines. Without Cloud Workload Protection Platform (CWPP), cloud misconfigurations — the leading cause of cloud breaches — remain undetected until exploited.</t>
  </si>
  <si>
    <t xml:space="preserve">No cloud workload protection. EC2 instances and containers carry no runtime agent.</t>
  </si>
  <si>
    <t xml:space="preserve">CSA CCM|ISO 27017|NIS2|DORA</t>
  </si>
  <si>
    <t xml:space="preserve">AI/ML Security</t>
  </si>
  <si>
    <t xml:space="preserve">Prompt Injection Prevention ensures that technical controls preventing prompt injection attacks on llm and genai systems. Input validation and sanitisation on all LLM interfaces; system prompt hardening; injection detection active.</t>
  </si>
  <si>
    <t xml:space="preserve">Reduces AI-specific attack risk by ensuring AI system inputs, outputs, and infrastructure are protected and monitored. Without Prompt Injection Prevention, AI systems become attack surfaces for prompt injection, data poisoning, and model extraction — threats for which conventional controls provide no coverage.</t>
  </si>
  <si>
    <t xml:space="preserve">OWASP LLM Top 10 (LLM01)|EU AI Act|NIST AI RMF</t>
  </si>
  <si>
    <t xml:space="preserve">AI Model Access Control &amp; RBAC ensures that role-based access control for ai model interfaces and inference endpoints. RBAC on all AI model APIs; authentication required; audit log of all model interactions; no anonymous access.</t>
  </si>
  <si>
    <t xml:space="preserve">Reduces AI-specific attack risk by ensuring AI system inputs, outputs, and infrastructure are protected and monitored. Without AI Model Access Control &amp; RBAC, AI systems become attack surfaces for prompt injection, data poisoning, and model extraction — threats for which conventional controls provide no coverage.</t>
  </si>
  <si>
    <t xml:space="preserve">NIST AI RMF|EU AI Act Art.9|ISO 27001</t>
  </si>
  <si>
    <t xml:space="preserve">AI Output Monitoring &amp; Content Filtering ensures that monitoring and filtering of ai system outputs to prevent harmful or sensitive content. Output filtering active on all public-facing AI; harmful content detection; sensitive data in outputs detected.</t>
  </si>
  <si>
    <t xml:space="preserve">Reduces AI-specific attack risk by ensuring AI system inputs, outputs, and infrastructure are protected and monitored. Without AI Output Monitoring &amp; Content Filtering, AI systems become attack surfaces for prompt injection, data poisoning, and model extraction — threats for which conventional controls provide no coverage.</t>
  </si>
  <si>
    <t xml:space="preserve">OWASP LLM Top 10 (LLM02)|EU AI Act Art.13|GDPR</t>
  </si>
  <si>
    <t xml:space="preserve">Adversarial AI Testing ensures that regular adversarial testing of ai models including prompt injection, evasion, and extraction attacks. Adversarial testing programme; annual red team of high-risk AI systems; findings drive model hardening.</t>
  </si>
  <si>
    <t xml:space="preserve">Reduces AI-specific attack risk by ensuring AI system inputs, outputs, and infrastructure are protected and monitored. Without Adversarial AI Testing, AI systems become attack surfaces for prompt injection, data poisoning, and model extraction — threats for which conventional controls provide no coverage.</t>
  </si>
  <si>
    <t xml:space="preserve">OWASP LLM Top 10|NIST AI RMF MEASURE|EU AI Act</t>
  </si>
  <si>
    <t xml:space="preserve">Physical &amp; Human Security</t>
  </si>
  <si>
    <t xml:space="preserve">Physical Access Control ensures that physical access controls at all locations with logging and regular review. Keycard/biometric access to all facilities; access log retained &gt;=90 days; quarterly review; CCTV at entry points.</t>
  </si>
  <si>
    <t xml:space="preserve">Reduces human-factor and physical access risk by ensuring people and premises controls are enforced and routinely evidenced. Without Physical Access Control, the most accessible attack vector — social engineering and physical intrusion — remains unmitigated regardless of technical control investment.</t>
  </si>
  <si>
    <t xml:space="preserve">Both offices use badge access with a staffed reception. Badges are issued by Facilities without a formal approval workflow, the access list has never been reviewed, and terminated staff badges were found active during fieldwork.</t>
  </si>
  <si>
    <t xml:space="preserve">Badge system access list cross-checked against HR leavers — Tier 2, sample-tested.</t>
  </si>
  <si>
    <t xml:space="preserve">ISO 27001 A.7.2|HIPAA S164.310|PCI DSS 9.1</t>
  </si>
  <si>
    <t xml:space="preserve">Clean Desk &amp; Screen Lock Policy ensures that clean desk and screen lock enforced to prevent visual and physical data exposure. Clean desk policy enforced; screen lock within 5 minutes; policy compliance spot-checked monthly.</t>
  </si>
  <si>
    <t xml:space="preserve">Reduces human-factor and physical access risk by ensuring people and premises controls are enforced and routinely evidenced. Without Clean Desk &amp; Screen Lock Policy, the most accessible attack vector — social engineering and physical intrusion — remains unmitigated regardless of technical control investment.</t>
  </si>
  <si>
    <t xml:space="preserve">Screen lock is enforced by Intune policy at 15 minutes. Clean desk expectations are stated in the onboarding deck but not enforced, and unattended documents including settlement reports were observed during the site walkthrough.</t>
  </si>
  <si>
    <t xml:space="preserve">Intune configuration profile plus fieldwork observation notes — Tier 2.</t>
  </si>
  <si>
    <t xml:space="preserve">ISO 27001 A.7.7|HIPAA S164.310|PCI DSS 9.4.2</t>
  </si>
  <si>
    <t xml:space="preserve">Security Awareness Training — Annual ensures that annual security awareness training mandatory for all staff with completion tracking. Training completion &gt;=95% annually; includes phishing, social engineering, and regulatory obligations.</t>
  </si>
  <si>
    <t xml:space="preserve">Reduces human-factor and physical access risk by ensuring people and premises controls are enforced and routinely evidenced. Without Security Awareness Training — Annual, the most accessible attack vector — social engineering and physical intrusion — remains unmitigated regardless of technical control investment.</t>
  </si>
  <si>
    <t xml:space="preserve">Security awareness content is delivered as part of HR onboarding. There is no annual refresh, so 78% of current staff have received no security training in the last 12 months.</t>
  </si>
  <si>
    <t xml:space="preserve">HR onboarding records — Tier 2.</t>
  </si>
  <si>
    <t xml:space="preserve">NIS2 Art.21|DORA Art.13|ISO 27001 A.6.3|HIPAA</t>
  </si>
  <si>
    <t xml:space="preserve">Role-Specific Security Training ensures that specialised security training for high-risk roles: developers, admins, privileged users, board. Developer security training; admin privileged use training; board cyber briefing annually; completion tracked.</t>
  </si>
  <si>
    <t xml:space="preserve">Reduces human-factor and physical access risk by ensuring people and premises controls are enforced and routinely evidenced. Without Role-Specific Security Training, the most accessible attack vector — social engineering and physical intrusion — remains unmitigated regardless of technical control investment.</t>
  </si>
  <si>
    <t xml:space="preserve">No role-specific training. Engineers receive no secure development training and Finance received no additional training after the BEC attempt.</t>
  </si>
  <si>
    <t xml:space="preserve">ISO 27001 A.6.3|NIS2|DORA Art.13|SOX</t>
  </si>
  <si>
    <t xml:space="preserve">Phishing Simulation Programme ensures that regular phishing simulations to measure and improve staff resilience. Phishing simulations monthly for random sample; failure rate tracked; repeat clickers receive targeted training.</t>
  </si>
  <si>
    <t xml:space="preserve">Reduces human-factor and physical access risk by ensuring people and premises controls are enforced and routinely evidenced. Without Phishing Simulation Programme, the most accessible attack vector — social engineering and physical intrusion — remains unmitigated regardless of technical control investment.</t>
  </si>
  <si>
    <t xml:space="preserve">No phishing simulation programme, despite phishing being the vector of the November 2025 incident.</t>
  </si>
  <si>
    <t xml:space="preserve">CIS Controls v8.17|NIS2|ISO 27001|DORA</t>
  </si>
  <si>
    <t xml:space="preserve">AI Literacy &amp; Security Training ensures that workforce training on ai-specific risks including prompt injection, deepfakes, and data hygiene. AI security training module deployed; all staff trained annually; high-risk roles receive advanced training.</t>
  </si>
  <si>
    <t xml:space="preserve">Reduces human-factor and physical access risk by ensuring people and premises controls are enforced and routinely evidenced. Without AI Literacy &amp; Security Training, the most accessible attack vector — social engineering and physical intrusion — remains unmitigated regardless of technical control investment.</t>
  </si>
  <si>
    <t xml:space="preserve">Staff use ChatGPT and similar assistants for work, confirmed in interviews, with no acceptable use guidance and no training on data disclosure risk.</t>
  </si>
  <si>
    <t xml:space="preserve">None. Usage confirmed by interview across three departments.</t>
  </si>
  <si>
    <t xml:space="preserve">EU AI Act Art.26|NIST AI RMF|ISO 42001</t>
  </si>
  <si>
    <t xml:space="preserve">Data Subject Rights — Process &amp; Fulfilment ensures that operational process to fulfil all data subject rights requests within regulatory timelines. DSAR process documented; tracked workflow; SLA: GDPR 30 days, CCPA 45 days; fulfilment rate &gt;=99%.</t>
  </si>
  <si>
    <t xml:space="preserve">Reduces human-factor and physical access risk by ensuring people and premises controls are enforced and routinely evidenced. Without Data Subject Rights — Process &amp; Fulfilment, the most accessible attack vector — social engineering and physical intrusion — remains unmitigated regardless of technical control investment.</t>
  </si>
  <si>
    <t xml:space="preserve">No data subject rights process. Requests are handled ad hoc by Legal, with no intake route, no tracking and no assurance of the 30-day GDPR deadline.</t>
  </si>
  <si>
    <t xml:space="preserve">Two requests handled by email in 2026, no register — Tier 2.</t>
  </si>
  <si>
    <t xml:space="preserve">GDPR Art.15-22|CCPA|PDPA</t>
  </si>
  <si>
    <t xml:space="preserve">Personnel Security — Background Screening ensures that pre-employment screening appropriate to role sensitivity. Background screening policy; checks conducted pre-hire for all roles; enhanced screening for privileged/sensitive roles.</t>
  </si>
  <si>
    <t xml:space="preserve">Reduces human-factor and physical access risk by ensuring people and premises controls are enforced and routinely evidenced. Without Personnel Security — Background Screening, the most accessible attack vector — social engineering and physical intrusion — remains unmitigated regardless of technical control investment.</t>
  </si>
  <si>
    <t xml:space="preserve">Background screening covers identity and reference checks for all staff. Criminal record and credit checks are performed for Finance roles only, and no screening is applied to contractors with production access.</t>
  </si>
  <si>
    <t xml:space="preserve">HR screening records, sample of 12 — Tier 2, sample-tested.</t>
  </si>
  <si>
    <t xml:space="preserve">ISO 27001 A.6.1|HIPAA S164.308|PCI DSS 12.6</t>
  </si>
  <si>
    <t xml:space="preserve">Security by Default — Product Configuration ensures that products and services shipped with security-hardened configurations by default. Default config is secure; unnecessary features disabled; CIS benchmark applied; customers cannot easily weaken defaults.</t>
  </si>
  <si>
    <t xml:space="preserve">Reduces human-factor and physical access risk by ensuring people and premises controls are enforced and routinely evidenced. Without Security by Default — Product Configuration, the most accessible attack vector — social engineering and physical intrusion — remains unmitigated regardless of technical control investment.</t>
  </si>
  <si>
    <t xml:space="preserve">No secure-by-default product configuration standard. The merchant portal ships with permissive defaults, and new merchant accounts are created without MFA enforced.</t>
  </si>
  <si>
    <t xml:space="preserve">Merchant onboarding default configuration — Tier 2.</t>
  </si>
  <si>
    <t xml:space="preserve">CRA Art.13|NIST SP 800-70|ISO 27001 A.8.25</t>
  </si>
  <si>
    <t xml:space="preserve">NIS2 Supply Chain Security Obligations ensures that nis2 art.21 supply chain security measures applied to all critical suppliers. Supply chain security measures documented per NIS2 Art.</t>
  </si>
  <si>
    <t xml:space="preserve">Reduces human-factor and physical access risk by ensuring people and premises controls are enforced and routinely evidenced. Without NIS2 Supply Chain Security Obligations, the most accessible attack vector — social engineering and physical intrusion — remains unmitigated regardless of technical control investment.</t>
  </si>
  <si>
    <t xml:space="preserve">NIS2 Art.21</t>
  </si>
  <si>
    <t xml:space="preserve">  📡  DETECT — Monitoring, Detection &amp; Threat Intelligence  ·  22 Controls  ·  Domain Weight: 14%</t>
  </si>
  <si>
    <t xml:space="preserve">SIEM &amp; Logging</t>
  </si>
  <si>
    <t xml:space="preserve">SIEM — Log Ingestion &amp; Coverage ensures that centralised log collection with comprehensive coverage across all critical asset classes. SIEM ingesting &gt;=95% of critical assets; all cloud, endpoint, network, and application sources included.</t>
  </si>
  <si>
    <t xml:space="preserve">Reduces undetected breach risk by ensuring log data is comprehensively collected, protected, and retained. Without SIEM — Log Ingestion &amp; Coverage, threat actors operate undetected within dwell times that average 207 days, and regulatory log retention requirements cannot be satisfied.</t>
  </si>
  <si>
    <t xml:space="preserve">No SIEM. Logs remain in their source systems — CloudWatch, M365 audit log, FortiGate local storage — with no aggregation and no correlation.</t>
  </si>
  <si>
    <t xml:space="preserve">PCI DSS 10.2|DORA Art.17|SOX|HIPAA|NIS2</t>
  </si>
  <si>
    <t xml:space="preserve">SIEM — Use Case Library &amp; Threat Coverage ensures that mitre att&amp;ck-aligned detection use case library with regular coverage assessments. &gt;=50 active detection use cases; MITRE ATT&amp;CK coverage &gt;=70% of relevant tactics; gap assessment quarterly.</t>
  </si>
  <si>
    <t xml:space="preserve">Reduces undetected breach risk by ensuring log data is comprehensively collected, protected, and retained. Without SIEM — Use Case Library &amp; Threat Coverage, threat actors operate undetected within dwell times that average 207 days, and regulatory log retention requirements cannot be satisfied.</t>
  </si>
  <si>
    <t xml:space="preserve">No detection use cases, as there is no platform on which to build them.</t>
  </si>
  <si>
    <t xml:space="preserve">MITRE ATT&amp;CK|NIS2|DORA Art.17|ISO 27001</t>
  </si>
  <si>
    <t xml:space="preserve">SIEM — Log Integrity &amp; Tamper Protection ensures that tamper-protected logs with immutability and chain-of-custody guarantees. Log forwarding to immutable storage within 1h; tamper detection active; log retention &gt;=12 months.</t>
  </si>
  <si>
    <t xml:space="preserve">Reduces undetected breach risk by ensuring log data is comprehensively collected, protected, and retained. Without SIEM — Log Integrity &amp; Tamper Protection, threat actors operate undetected within dwell times that average 207 days, and regulatory log retention requirements cannot be satisfied.</t>
  </si>
  <si>
    <t xml:space="preserve">No log integrity controls. FortiGate logs are held locally on the appliance and are writable; CloudTrail log file validation is not enabled.</t>
  </si>
  <si>
    <t xml:space="preserve">CloudTrail configuration — validation disabled. Tier 1.</t>
  </si>
  <si>
    <t xml:space="preserve">PCI DSS 10.5|SOX|GDPR Art.32|DORA Art.17</t>
  </si>
  <si>
    <t xml:space="preserve">SIEM — Compliance Monitoring Use Cases ensures that dedicated siem use cases for regulatory compliance monitoring and evidence generation. Compliance-specific use cases for each applicable regulation; auto-evidence generation for audits.</t>
  </si>
  <si>
    <t xml:space="preserve">Reduces undetected breach risk by ensuring log data is comprehensively collected, protected, and retained. Without SIEM — Compliance Monitoring Use Cases, threat actors operate undetected within dwell times that average 207 days, and regulatory log retention requirements cannot be satisfied.</t>
  </si>
  <si>
    <t xml:space="preserve">No compliance monitoring use cases for PCI DSS or GDPR.</t>
  </si>
  <si>
    <t xml:space="preserve">PCI DSS 10|SOX|HIPAA|DORA Art.17|NIS2</t>
  </si>
  <si>
    <t xml:space="preserve">Log Retention &amp; Archival Management ensures that log retention meeting all regulatory requirements with automated archival and retrieval. Retention schedule per log type meeting highest applicable requirement; automated archival; retrieval tested within 48h.</t>
  </si>
  <si>
    <t xml:space="preserve">Reduces undetected breach risk by ensuring log data is comprehensively collected, protected, and retained. Without Log Retention &amp; Archival Management, threat actors operate undetected within dwell times that average 207 days, and regulatory log retention requirements cannot be satisfied.</t>
  </si>
  <si>
    <t xml:space="preserve">Log retention is whatever each platform provides by default — 90 days in M365 and CloudWatch, roughly 14 days on the FortiGate before rotation. This is below the 12 months PCI DSS requires, and there is no archival.</t>
  </si>
  <si>
    <t xml:space="preserve">Platform retention settings export — Tier 1.</t>
  </si>
  <si>
    <t xml:space="preserve">PCI DSS 10.7|HIPAA S164.312|SOX|DORA Art.17</t>
  </si>
  <si>
    <t xml:space="preserve">Telemetry Coverage Management ensures that continuous measurement and improvement of telemetry coverage across all asset classes. Telemetry gap analysis monthly; uncovered assets tracked; new assets auto-onboarded to logging within 24h.</t>
  </si>
  <si>
    <t xml:space="preserve">Reduces undetected breach risk by ensuring log data is comprehensively collected, protected, and retained. Without Telemetry Coverage Management, threat actors operate undetected within dwell times that average 207 days, and regulatory log retention requirements cannot be satisfied.</t>
  </si>
  <si>
    <t xml:space="preserve">Telemetry coverage has never been assessed. Nobody can state which assets produce security-relevant logs.</t>
  </si>
  <si>
    <t xml:space="preserve">NIST CSF DE.CM|NIS2|DORA Art.17</t>
  </si>
  <si>
    <t xml:space="preserve">Detection Health Monitoring ensures that automated monitoring of detection pipeline health to ensure alerting is functioning. Detection pipeline health dashboard; broken rules alerted within 1h; weekly health review.</t>
  </si>
  <si>
    <t xml:space="preserve">Reduces undetected breach risk by ensuring log data is comprehensively collected, protected, and retained. Without Detection Health Monitoring, threat actors operate undetected within dwell times that average 207 days, and regulatory log retention requirements cannot be satisfied.</t>
  </si>
  <si>
    <t xml:space="preserve">No detection health monitoring.</t>
  </si>
  <si>
    <t xml:space="preserve">NIS2|DORA Art.17|ISO 27001</t>
  </si>
  <si>
    <t xml:space="preserve">SOC Operations</t>
  </si>
  <si>
    <t xml:space="preserve">SOC Operations — Triage &amp; Investigation ensures that 24/7 or defined-hours soc with structured alert triage and investigation capability. SOC coverage aligned to risk (24/7 for critical); P1 alert response within 15min; investigation runbooks current.</t>
  </si>
  <si>
    <t xml:space="preserve">Reduces dwell time and incident escalation risk by ensuring alerts are triaged, investigated, and contained within defined SLAs. Without SOC Operations — Triage &amp; Investigation, detection events go uninvestigated and regulatory notification timelines (NIS2: 24h, DORA: 4h) cannot be met.</t>
  </si>
  <si>
    <t xml:space="preserve">No SOC and no triage process. Sophos console alerts are reviewed during office hours by whoever is available, with no queue, no severity model and no investigation record.</t>
  </si>
  <si>
    <t xml:space="preserve">Sophos alert console — no ticketing integration. Tier 3.</t>
  </si>
  <si>
    <t xml:space="preserve">NIS2 Art.21|DORA Art.17|ISO 27001|CIS Controls</t>
  </si>
  <si>
    <t xml:space="preserve">NIS2 Significant Incident Classification ensures that defined criteria and tooling to classify nis2 significant incidents triggering notification obligations. NIS2 incident classification criteria documented; automated detection of qualifying events; 24h early warning capability.</t>
  </si>
  <si>
    <t xml:space="preserve">Reduces dwell time and incident escalation risk by ensuring alerts are triaged, investigated, and contained within defined SLAs. Without NIS2 Significant Incident Classification, detection events go uninvestigated and regulatory notification timelines (NIS2: 24h, DORA: 4h) cannot be met.</t>
  </si>
  <si>
    <t xml:space="preserve">NIS2 Art.23</t>
  </si>
  <si>
    <t xml:space="preserve">DORA Major Incident Classification ensures that dora-compliant major ict incident classification with quantitative threshold monitoring. DORA major incident criteria documented; automated threshold monitoring; 4h initial report capability.</t>
  </si>
  <si>
    <t xml:space="preserve">Reduces dwell time and incident escalation risk by ensuring alerts are triaged, investigated, and contained within defined SLAs. Without DORA Major Incident Classification, detection events go uninvestigated and regulatory notification timelines (NIS2: 24h, DORA: 4h) cannot be met.</t>
  </si>
  <si>
    <t xml:space="preserve">DORA Art.19</t>
  </si>
  <si>
    <t xml:space="preserve">Threat Detection</t>
  </si>
  <si>
    <t xml:space="preserve">Threat Intelligence Integration ensures that operationalised threat intelligence integrated with detection and response. TI feeds integrated with SIEM; IOC blocking automated; TI-driven use case development.</t>
  </si>
  <si>
    <t xml:space="preserve">Reduces attacker dwell time by ensuring specific threat patterns are detected before they achieve their objective. Without Threat Intelligence Integration, entire attack categories operate undetected — generating no alerts, no containment, and no notification trigger until damage is done.</t>
  </si>
  <si>
    <t xml:space="preserve">No threat intelligence integration. The Security Analyst follows a regional fraud mailing list, but nothing feeds any control.</t>
  </si>
  <si>
    <t xml:space="preserve">MITRE ATT&amp;CK|NIS2|ISO 27001|DORA Art.17</t>
  </si>
  <si>
    <t xml:space="preserve">User &amp; Entity Behaviour Analytics (UEBA) ensures that ueba detecting anomalous user and entity behaviour indicative of compromise or insider threat. UEBA deployed; baseline established per user/entity; anomaly scoring active; insider risk integration.</t>
  </si>
  <si>
    <t xml:space="preserve">Reduces attacker dwell time by ensuring specific threat patterns are detected before they achieve their objective. Without User &amp; Entity Behaviour Analytics (UEBA), entire attack categories operate undetected — generating no alerts, no containment, and no notification trigger until damage is done.</t>
  </si>
  <si>
    <t xml:space="preserve">No UEBA.</t>
  </si>
  <si>
    <t xml:space="preserve">ISO 27001|NIS2|DORA Art.9|NIST SP 800-53</t>
  </si>
  <si>
    <t xml:space="preserve">Network Detection &amp; Response (NDR) ensures that network traffic analysis detecting lateral movement, c2, and data exfiltration. NDR deployed on internal network; ML-based traffic analysis; east-west traffic monitored; C2 detection active.</t>
  </si>
  <si>
    <t xml:space="preserve">Reduces attacker dwell time by ensuring specific threat patterns are detected before they achieve their objective. Without Network Detection &amp; Response (NDR), entire attack categories operate undetected — generating no alerts, no containment, and no notification trigger until damage is done.</t>
  </si>
  <si>
    <t xml:space="preserve">No network detection and response. East-west traffic on the flat network is entirely unobserved.</t>
  </si>
  <si>
    <t xml:space="preserve">Cloud Detection &amp; Response ensures that cloud-native threat detection covering all csps with workload and control plane monitoring. Cloud detection active for all CSPs; control plane logging; anomaly detection.</t>
  </si>
  <si>
    <t xml:space="preserve">Reduces attacker dwell time by ensuring specific threat patterns are detected before they achieve their objective. Without Cloud Detection &amp; Response, entire attack categories operate undetected — generating no alerts, no containment, and no notification trigger until damage is done.</t>
  </si>
  <si>
    <t xml:space="preserve">GuardDuty was enabled in eu-west-1 in April 2026 and generates findings. No alerting is configured, nobody has a defined responsibility to review it, and af-south-1 has no coverage.</t>
  </si>
  <si>
    <t xml:space="preserve">GuardDuty findings console — 46 unreviewed findings since April. Tier 1.</t>
  </si>
  <si>
    <t xml:space="preserve">CSA CCM|NIS2|DORA Art.17|ISO 27017</t>
  </si>
  <si>
    <t xml:space="preserve">Privacy Event Detection ensures that detection of privacy-relevant events including unauthorised access to personal data and bulk exports. Privacy use cases in SIEM; DLP alerts integrated; bulk export detection; personal data access anomalies alerted.</t>
  </si>
  <si>
    <t xml:space="preserve">Reduces attacker dwell time by ensuring specific threat patterns are detected before they achieve their objective. Without Privacy Event Detection, entire attack categories operate undetected — generating no alerts, no containment, and no notification trigger until damage is done.</t>
  </si>
  <si>
    <t xml:space="preserve">No privacy event detection. Unauthorised access to personal data would not be detected.</t>
  </si>
  <si>
    <t xml:space="preserve">GDPR Art.33|HIPAA S164.308|NIS2|DORA</t>
  </si>
  <si>
    <t xml:space="preserve">SOX Financial System Monitoring ensures that monitoring of financial systems for change, access, and data integrity events. All in-scope financial systems monitored; privileged access alerted; change detection active; logs to immutable storage.</t>
  </si>
  <si>
    <t xml:space="preserve">Reduces attacker dwell time by ensuring specific threat patterns are detected before they achieve their objective. Without SOX Financial System Monitoring, entire attack categories operate undetected — generating no alerts, no containment, and no notification trigger until damage is done.</t>
  </si>
  <si>
    <t xml:space="preserve">SOX S404|PCI DSS 10|ISO 27001</t>
  </si>
  <si>
    <t xml:space="preserve">Dark Web &amp; Exposure Monitoring ensures that continuous dark web and credential exposure monitoring with alerting. Dark web monitoring service active; credential breach alerts within 24h; leaked code/data monitoring.</t>
  </si>
  <si>
    <t xml:space="preserve">Reduces attacker dwell time by ensuring specific threat patterns are detected before they achieve their objective. Without Dark Web &amp; Exposure Monitoring, entire attack categories operate undetected — generating no alerts, no containment, and no notification trigger until damage is done.</t>
  </si>
  <si>
    <t xml:space="preserve">No dark web or credential exposure monitoring, despite consumer wallet credentials being an obvious target.</t>
  </si>
  <si>
    <t xml:space="preserve">NIS2|ISO 27001|GDPR Art.33</t>
  </si>
  <si>
    <t xml:space="preserve">AI-Specific Threat Detection ensures that detection capability for ai-specific threats including model poisoning and prompt injection attempts. AI threat detection use cases in SIEM; prompt injection attempts logged and alerted; model API abuse detected.</t>
  </si>
  <si>
    <t xml:space="preserve">Reduces attacker dwell time by ensuring specific threat patterns are detected before they achieve their objective. Without AI-Specific Threat Detection, entire attack categories operate undetected — generating no alerts, no containment, and no notification trigger until damage is done.</t>
  </si>
  <si>
    <t xml:space="preserve">No detection for AI-related threats such as credential or data disclosure through third-party assistants.</t>
  </si>
  <si>
    <t xml:space="preserve">OWASP LLM Top 10|EU AI Act|NIST AI RMF</t>
  </si>
  <si>
    <t xml:space="preserve">Metrics &amp; Reporting</t>
  </si>
  <si>
    <t xml:space="preserve">Detection Validation — Purple Team Exercises ensures that regular purple team exercises validating detection capability against real attack techniques. Purple team annually; MITRE ATT&amp;CK-based scenarios; detection gaps fed to engineering backlog.</t>
  </si>
  <si>
    <t xml:space="preserve">Reduces detection programme degradation risk by ensuring detection effectiveness is continuously measured, evidenced, and improved. Without Detection Validation — Purple Team Exercises, the detection programme operates without feedback, allowing coverage gaps and false-negative rates to grow unnoticed.</t>
  </si>
  <si>
    <t xml:space="preserve">No purple team or detection validation activity.</t>
  </si>
  <si>
    <t xml:space="preserve">MITRE ATT&amp;CK|NIS2|DORA|ISO 27001</t>
  </si>
  <si>
    <t xml:space="preserve">Security Metrics &amp; KPIs — Detection Domain ensures that defined kpis for the detection domain with automated measurement and trending. MTTD, alert volume, false-positive rate, use-case coverage measured; monthly trend report.</t>
  </si>
  <si>
    <t xml:space="preserve">Reduces detection programme degradation risk by ensuring detection effectiveness is continuously measured, evidenced, and improved. Without Security Metrics &amp; KPIs — Detection Domain, the detection programme operates without feedback, allowing coverage gaps and false-negative rates to grow unnoticed.</t>
  </si>
  <si>
    <t xml:space="preserve">No detection metrics. Mean time to detect is unknown and unmeasurable in the current architecture.</t>
  </si>
  <si>
    <t xml:space="preserve">NIST CSF DE|ISO 27004|CIS Controls v8</t>
  </si>
  <si>
    <t xml:space="preserve">Security Dashboard &amp; Visibility ensures that executive and operational security dashboards providing real-time visibility. CISO dashboard: overall posture, active threats, key metrics; board dashboard: risk summary; refreshed daily.</t>
  </si>
  <si>
    <t xml:space="preserve">Reduces detection programme degradation risk by ensuring detection effectiveness is continuously measured, evidenced, and improved. Without Security Dashboard &amp; Visibility, the detection programme operates without feedback, allowing coverage gaps and false-negative rates to grow unnoticed.</t>
  </si>
  <si>
    <t xml:space="preserve">No security dashboard. Management receives no recurring visibility of security posture.</t>
  </si>
  <si>
    <t xml:space="preserve">ISO 27001|DORA Art.6|NIS2|COBIT 2019</t>
  </si>
  <si>
    <t xml:space="preserve">Vulnerability Scanner Integration ensures that vulnerability scanner feeds integrated with siem for correlated threat detection. Vuln scanner integrated with SIEM; vulnerability and threat correlation active; exploited vulnerabilities prioritised.</t>
  </si>
  <si>
    <t xml:space="preserve">Reduces detection programme degradation risk by ensuring detection effectiveness is continuously measured, evidenced, and improved. Without Vulnerability Scanner Integration, the detection programme operates without feedback, allowing coverage gaps and false-negative rates to grow unnoticed.</t>
  </si>
  <si>
    <t xml:space="preserve">Scanner output is not integrated with anything. Results are read from PDF reports and re-keyed into a spreadsheet.</t>
  </si>
  <si>
    <t xml:space="preserve">Findings tracker spreadsheet — Tier 2.</t>
  </si>
  <si>
    <t xml:space="preserve">CIS Controls v8.7|NIS2|DORA|PCI DSS 11.3</t>
  </si>
  <si>
    <t xml:space="preserve">  🚨  RESPOND — Incident Management &amp; Regulatory Notification  ·  16 Controls  ·  Domain Weight: 11%</t>
  </si>
  <si>
    <t xml:space="preserve">Incident Response</t>
  </si>
  <si>
    <t xml:space="preserve">Incident Response Plan (IRP) ensures that documented, board-approved irp tested within the last 12 months. IRP current (under 12 months); board-approved; aligned to NIS2/DORA notification timelines; roles and contacts current.</t>
  </si>
  <si>
    <t xml:space="preserve">Reduces breach impact and recovery cost by ensuring the organisation can contain, investigate, and communicate incidents within regulatory timelines. Without Incident Response Plan (IRP), incident response is improvised — extending dwell time, increasing data loss, and triggering regulatory fine exposure for notification failures.</t>
  </si>
  <si>
    <t xml:space="preserve">An incident response plan was drafted in 2024 as part of the bank questionnaire response. It names roles that no longer exist, has never been approved, and no one interviewed had read it.</t>
  </si>
  <si>
    <t xml:space="preserve">Draft IRP v0.4 (2024), unapproved — Tier 2.</t>
  </si>
  <si>
    <t xml:space="preserve">NIS2 Art.21|DORA Art.17-18|ISO 27001 A.5.26</t>
  </si>
  <si>
    <t xml:space="preserve">Evidence Preservation &amp; Chain of Custody ensures that forensic evidence preservation process maintaining chain of custody for all security incidents. Evidence preservation procedure documented; forensic imaging capability; chain-of-custody log; legal hold process.</t>
  </si>
  <si>
    <t xml:space="preserve">Reduces breach impact and recovery cost by ensuring the organisation can contain, investigate, and communicate incidents within regulatory timelines. Without Evidence Preservation &amp; Chain of Custody, incident response is improvised — extending dwell time, increasing data loss, and triggering regulatory fine exposure for notification failures.</t>
  </si>
  <si>
    <t xml:space="preserve">No evidence preservation or chain of custody procedure. During the November 2025 BEC incident the affected mailbox was remediated before any evidence was captured.</t>
  </si>
  <si>
    <t xml:space="preserve">BEC incident ticket showing remediation before collection — Tier 2.</t>
  </si>
  <si>
    <t xml:space="preserve">ISO 27001|GDPR Art.33|HIPAA|SOX|PCI DSS 12.10.7</t>
  </si>
  <si>
    <t xml:space="preserve">Third-Party Incident Coordination ensures that process for coordinating incident response with third parties, cloud providers, and law enforcement. Third-party IR contacts maintained; cloud provider escalation path documented; law enforcement notification procedure.</t>
  </si>
  <si>
    <t xml:space="preserve">Reduces breach impact and recovery cost by ensuring the organisation can contain, investigate, and communicate incidents within regulatory timelines. Without Third-Party Incident Coordination, incident response is improvised — extending dwell time, increasing data loss, and triggering regulatory fine exposure for notification failures.</t>
  </si>
  <si>
    <t xml:space="preserve">No third-party incident coordination arrangements. Notification obligations and contact routes for the acquiring bank and cloud providers are not documented.</t>
  </si>
  <si>
    <t xml:space="preserve">DORA Art.28|NIS2|GDPR Art.33|ISO 27001</t>
  </si>
  <si>
    <t xml:space="preserve">Cyber Insurance Engagement &amp; Claim Management ensures that defined process for cyber insurance notification, engagement, and claim management. Insurer notification process documented; pre-breach consultation active; panel firms approved; claim process rehearsed.</t>
  </si>
  <si>
    <t xml:space="preserve">Reduces breach impact and recovery cost by ensuring the organisation can contain, investigate, and communicate incidents within regulatory timelines. Without Cyber Insurance Engagement &amp; Claim Management, incident response is improvised — extending dwell time, increasing data loss, and triggering regulatory fine exposure for notification failures.</t>
  </si>
  <si>
    <t xml:space="preserve">A cyber insurance policy is in place, renewed annually. Nobody outside Finance knows the notification requirements or the claim process, and the policy has never been tested against a scenario.</t>
  </si>
  <si>
    <t xml:space="preserve">Cyber policy schedule 2026 — Tier 2.</t>
  </si>
  <si>
    <t xml:space="preserve">DORA Art.6|NIS2|Cyber Insurance policy</t>
  </si>
  <si>
    <t xml:space="preserve">Playbooks</t>
  </si>
  <si>
    <t xml:space="preserve">Incident Playbooks — Ransomware ensures that specific, tested playbook for ransomware incident response including isolation and recovery. Ransomware playbook current and tested in tabletop; isolation procedures documented; ransom payment policy defined.</t>
  </si>
  <si>
    <t xml:space="preserve">Reduces response time and error rate for specific incident types by ensuring pre-approved, tested response procedures are ready before an incident occurs. Without Incident Playbooks — Ransomware, critical decisions are made under pressure without documented process — extending containment time and increasing legal and regulatory risk.</t>
  </si>
  <si>
    <t xml:space="preserve">No ransomware playbook, which is the most likely material scenario given flat networking and mutable backups.</t>
  </si>
  <si>
    <t xml:space="preserve">NIS2|DORA Art.17|ISO 27001|FBI guidance</t>
  </si>
  <si>
    <t xml:space="preserve">Incident Playbooks — Data Breach ensures that specific playbook for personal data breach response including regulatory notification workflow. Data breach playbook covers: contain, assess, notify (72h GDPR), communicate; DPA decision tree included.</t>
  </si>
  <si>
    <t xml:space="preserve">Reduces response time and error rate for specific incident types by ensuring pre-approved, tested response procedures are ready before an incident occurs. Without Incident Playbooks — Data Breach, critical decisions are made under pressure without documented process — extending containment time and increasing legal and regulatory risk.</t>
  </si>
  <si>
    <t xml:space="preserve">No data breach playbook, despite GDPR exposure through EU merchants.</t>
  </si>
  <si>
    <t xml:space="preserve">GDPR Art.33-34|HIPAA S164.400|NIS2|PCI DSS 12.10</t>
  </si>
  <si>
    <t xml:space="preserve">Incident Playbooks — Business Email Compromise ensures that bec-specific playbook covering payment reversal, email quarantine, and law enforcement. BEC playbook covers: detect, contain, bank notification (wire recall), law enforcement (FBI IC3); tested.</t>
  </si>
  <si>
    <t xml:space="preserve">Reduces response time and error rate for specific incident types by ensuring pre-approved, tested response procedures are ready before an incident occurs. Without Incident Playbooks — Business Email Compromise, critical decisions are made under pressure without documented process — extending containment time and increasing legal and regulatory risk.</t>
  </si>
  <si>
    <t xml:space="preserve">An informal BEC procedure emerged from the November 2025 incident — verify payment changes by callback to a known number. It is communicated verbally within Finance and is not documented or applied elsewhere.</t>
  </si>
  <si>
    <t xml:space="preserve">Confirmed by interview with Finance Director and two staff — Tier 3.</t>
  </si>
  <si>
    <t xml:space="preserve">ISO 27001|FBI IC3|NIS2</t>
  </si>
  <si>
    <t xml:space="preserve">Incident Playbooks — Cloud Security Incident ensures that cloud-specific incident response playbook covering csp coordination and workload isolation. Cloud IR playbook per CSP; isolation procedures for cloud workloads; CSP escalation contacts current; tested.</t>
  </si>
  <si>
    <t xml:space="preserve">Reduces response time and error rate for specific incident types by ensuring pre-approved, tested response procedures are ready before an incident occurs. Without Incident Playbooks — Cloud Security Incident, critical decisions are made under pressure without documented process — extending containment time and increasing legal and regulatory risk.</t>
  </si>
  <si>
    <t xml:space="preserve">No cloud incident playbook.</t>
  </si>
  <si>
    <t xml:space="preserve">ISO 27017|NIS2|DORA|CSA CCM</t>
  </si>
  <si>
    <t xml:space="preserve">Regulatory Notification</t>
  </si>
  <si>
    <t xml:space="preserve">NIS2 Three-Stage Notification Process ensures that nis2-compliant notification process with 24h/72h/1-month stages for significant incidents. Notification process documented per NIS2 Art.</t>
  </si>
  <si>
    <t xml:space="preserve">Reduces regulatory enforcement risk by ensuring notification obligations are met within mandated timelines. Without NIS2 Three-Stage Notification Process, organisations face maximum fine exposure from notification failures that are independent of the underlying incident — NIS2 (€10M), DORA (executive liability), GDPR (€20M or 4% revenue).</t>
  </si>
  <si>
    <t xml:space="preserve">DORA Major Incident Reporting Process ensures that dora-compliant ict major incident reporting with 4h/72h/1-month stages for eu financial entities. DORA reporting process documented; templates for each stage; competent authority contacts current; EBA portal familiar.</t>
  </si>
  <si>
    <t xml:space="preserve">Reduces regulatory enforcement risk by ensuring notification obligations are met within mandated timelines. Without DORA Major Incident Reporting Process, organisations face maximum fine exposure from notification failures that are independent of the underlying incident — NIS2 (€10M), DORA (executive liability), GDPR (€20M or 4% revenue).</t>
  </si>
  <si>
    <t xml:space="preserve">GDPR Breach Notification Process ensures that gdpr 72-hour supervisory authority notification process with data subject communication plan. GDPR breach notification process: within 72h to SA; data subject notification assessment; cross-border lead DPA identified.</t>
  </si>
  <si>
    <t xml:space="preserve">Reduces regulatory enforcement risk by ensuring notification obligations are met within mandated timelines. Without GDPR Breach Notification Process, organisations face maximum fine exposure from notification failures that are independent of the underlying incident — NIS2 (€10M), DORA (executive liability), GDPR (€20M or 4% revenue).</t>
  </si>
  <si>
    <t xml:space="preserve">No GDPR breach notification process. The 72-hour obligation is known to Legal but there is no decision procedure, no supervisory authority contact and no notification template.</t>
  </si>
  <si>
    <t xml:space="preserve">GDPR Art.33-34</t>
  </si>
  <si>
    <t xml:space="preserve">Breach Materiality &amp; Regulatory Decision Tree ensures that structured decision tree determining notification obligations for each applicable regulation. Decision tree documented per regulation; threshold criteria clear; legal review integrated; within 4h materiality assessment SLA.</t>
  </si>
  <si>
    <t xml:space="preserve">Reduces regulatory enforcement risk by ensuring notification obligations are met within mandated timelines. Without Breach Materiality &amp; Regulatory Decision Tree, organisations face maximum fine exposure from notification failures that are independent of the underlying incident — NIS2 (€10M), DORA (executive liability), GDPR (€20M or 4% revenue).</t>
  </si>
  <si>
    <t xml:space="preserve">No materiality or regulatory decision tree. Whether an event requires notification would be decided from first principles under time pressure.</t>
  </si>
  <si>
    <t xml:space="preserve">GDPR|NIS2|DORA|HIPAA|PCI DSS</t>
  </si>
  <si>
    <t xml:space="preserve">Testing &amp; Improvement</t>
  </si>
  <si>
    <t xml:space="preserve">Tabletop Exercises — Technical ensures that technical tabletop exercises simulating realistic incident scenarios. Technical tabletop annually covering ransomware/breach scenario; findings tracked to IRP updates.</t>
  </si>
  <si>
    <t xml:space="preserve">Reduces recurrence risk and improves response confidence by ensuring incident response capability is regularly tested, reviewed, and updated. Without Tabletop Exercises — Technical, the first real test of incident response occurs during an actual breach — the highest-cost environment for identifying capability gaps.</t>
  </si>
  <si>
    <t xml:space="preserve">No technical tabletop exercises have been conducted.</t>
  </si>
  <si>
    <t xml:space="preserve">NIS2|DORA Art.26|ISO 27001|HIPAA</t>
  </si>
  <si>
    <t xml:space="preserve">Tabletop Exercises — Executive ensures that executive-level tabletop exercises testing board and senior management decision-making. Executive tabletop annually; board-level scenario; crisis comms and regulatory decisions tested.</t>
  </si>
  <si>
    <t xml:space="preserve">Reduces recurrence risk and improves response confidence by ensuring incident response capability is regularly tested, reviewed, and updated. Without Tabletop Exercises — Executive, the first real test of incident response occurs during an actual breach — the highest-cost environment for identifying capability gaps.</t>
  </si>
  <si>
    <t xml:space="preserve">No executive tabletop exercises. The management team has never rehearsed a cyber crisis.</t>
  </si>
  <si>
    <t xml:space="preserve">NIS2 Art.20|DORA Art.5|ISO 27001</t>
  </si>
  <si>
    <t xml:space="preserve">Post-Incident Review &amp; Lessons Learned ensures that structured post-incident review process with lessons learned integrated into controls. PIR conducted within 5 days after all P1/P2 incidents; root cause documented; control improvements tracked.</t>
  </si>
  <si>
    <t xml:space="preserve">Reduces recurrence risk and improves response confidence by ensuring incident response capability is regularly tested, reviewed, and updated. Without Post-Incident Review &amp; Lessons Learned, the first real test of incident response occurs during an actual breach — the highest-cost environment for identifying capability gaps.</t>
  </si>
  <si>
    <t xml:space="preserve">A post-incident review was held after the November 2025 BEC attempt and produced the MFA rollout, which was completed. The review was not documented, no other actions were tracked, and no process exists for future incidents.</t>
  </si>
  <si>
    <t xml:space="preserve">MFA rollout project record as the surviving output — Tier 2.</t>
  </si>
  <si>
    <t xml:space="preserve">ISO 27001 A.5.26|NIS2|DORA Art.17|HIPAA</t>
  </si>
  <si>
    <t xml:space="preserve">Regulatory Investigation Management ensures that process for managing regulatory investigations and enforcement actions. Regulatory investigation response process; outside counsel engaged; evidence preservation on receipt of inquiry.</t>
  </si>
  <si>
    <t xml:space="preserve">Reduces recurrence risk and improves response confidence by ensuring incident response capability is regularly tested, reviewed, and updated. Without Regulatory Investigation Management, the first real test of incident response occurs during an actual breach — the highest-cost environment for identifying capability gaps.</t>
  </si>
  <si>
    <t xml:space="preserve">No regulatory investigation management process.</t>
  </si>
  <si>
    <t xml:space="preserve">GDPR|NIS2|DORA|FCA|SEC regulations</t>
  </si>
  <si>
    <t xml:space="preserve">  ♻️  RECOVER — Resilience, Continuity &amp; Validation  ·  17 Controls  ·  Domain Weight: 10%</t>
  </si>
  <si>
    <t xml:space="preserve">Business Continuity</t>
  </si>
  <si>
    <t xml:space="preserve">Business Continuity Plan (BCP) ensures that board-approved bcp covering all critical services with defined rto/rpo and tested recovery procedures. BCP approved by board; all critical services included; RTO/RPO assigned; roles and contacts current; under 12 months old.</t>
  </si>
  <si>
    <t xml:space="preserve">Reduces operational disruption impact by ensuring critical services can be maintained or rapidly restored following a cyber incident. Without Business Continuity Plan (BCP), recovery is improvised — extending downtime, multiplying financial impact, and creating secondary regulatory exposure from BCP/DRP obligations under DORA Art.11, ISO 22301, and HIPAA.</t>
  </si>
  <si>
    <t xml:space="preserve">The BCP dates from 2019 and describes the pre-cloud on-premises estate. It has not been revised since the 2022 AWS migration and is materially inaccurate.</t>
  </si>
  <si>
    <t xml:space="preserve">BCP document v1.0 (2019) — Tier 2, superseded by the estate it describes.</t>
  </si>
  <si>
    <t xml:space="preserve">Disaster Recovery Plan (DRP) ensures that technically detailed drp aligned to bcp with system-level recovery procedures. DRP covers all critical systems; recovery sequences documented; technical runbooks current; linked to BCP.</t>
  </si>
  <si>
    <t xml:space="preserve">Reduces operational disruption impact by ensuring critical services can be maintained or rapidly restored following a cyber incident. Without Disaster Recovery Plan (DRP), recovery is improvised — extending downtime, multiplying financial impact, and creating secondary regulatory exposure from BCP/DRP obligations under DORA Art.11, ISO 22301, and HIPAA.</t>
  </si>
  <si>
    <t xml:space="preserve">No disaster recovery plan for the current architecture. af-south-1 is provisioned as a DR region but holds no configured workloads and no documented failover procedure.</t>
  </si>
  <si>
    <t xml:space="preserve">AWS af-south-1 resource listing — empty except networking. Tier 1.</t>
  </si>
  <si>
    <t xml:space="preserve">ISO 22301|DORA Art.11-12|HIPAA S164.308</t>
  </si>
  <si>
    <t xml:space="preserve">Recovery Time Objective (RTO) Validation ensures that rto targets tested and validated for all critical systems annually. RTO tested annually for all critical systems; actual vs target documented; failures drive improvement.</t>
  </si>
  <si>
    <t xml:space="preserve">Reduces operational disruption impact by ensuring critical services can be maintained or rapidly restored following a cyber incident. Without Recovery Time Objective (RTO) Validation, recovery is improvised — extending downtime, multiplying financial impact, and creating secondary regulatory exposure from BCP/DRP obligations under DORA Art.11, ISO 22301, and HIPAA.</t>
  </si>
  <si>
    <t xml:space="preserve">RTO has never been defined or validated for any service.</t>
  </si>
  <si>
    <t xml:space="preserve">Recovery Point Objective (RPO) Validation ensures that rpo targets tested through actual restoration to confirm data recovery within objective. RPO validated through restoration test annually; backup currency confirmed; gaps remediated.</t>
  </si>
  <si>
    <t xml:space="preserve">Reduces operational disruption impact by ensuring critical services can be maintained or rapidly restored following a cyber incident. Without Recovery Point Objective (RPO) Validation, recovery is improvised — extending downtime, multiplying financial impact, and creating secondary regulatory exposure from BCP/DRP obligations under DORA Art.11, ISO 22301, and HIPAA.</t>
  </si>
  <si>
    <t xml:space="preserve">RPO is implicitly 24 hours through the nightly Veeam schedule. It has not been agreed with the business, tested, or checked against what settlement operations could actually tolerate.</t>
  </si>
  <si>
    <t xml:space="preserve">Veeam job schedule — Tier 1, implied rather than defined.</t>
  </si>
  <si>
    <t xml:space="preserve">Crisis Communications Plan ensures that pre-prepared crisis communications plan for business continuity events. Crisis comms plan documented; stakeholder communication templates prepared; spokesperson designated; quarterly review.</t>
  </si>
  <si>
    <t xml:space="preserve">Reduces operational disruption impact by ensuring critical services can be maintained or rapidly restored following a cyber incident. Without Crisis Communications Plan, recovery is improvised — extending downtime, multiplying financial impact, and creating secondary regulatory exposure from BCP/DRP obligations under DORA Art.11, ISO 22301, and HIPAA.</t>
  </si>
  <si>
    <t xml:space="preserve">No crisis communications plan. There are no pre-agreed holding statements, no defined spokesperson and no route to notify merchants or consumers at scale.</t>
  </si>
  <si>
    <t xml:space="preserve">ISO 22301|DORA Art.14|NIS2</t>
  </si>
  <si>
    <t xml:space="preserve">Disaster Recovery</t>
  </si>
  <si>
    <t xml:space="preserve">Recovery Testing — Full System Failover ensures that annual full failover test of critical systems with documented results and rto achievement. Full failover test annually for each critical system; results documented; RTO/RPO achievement recorded.</t>
  </si>
  <si>
    <t xml:space="preserve">Reduces recovery time and data loss by ensuring technical recovery procedures are documented, tested, and validated against defined RTO/RPO targets. Without Recovery Testing — Full System Failover, recovery from ransomware, infrastructure failure, or physical disaster is unplanned — and DORA Art.12 evidence of tested recovery cannot be produced.</t>
  </si>
  <si>
    <t xml:space="preserve">Full system failover has never been tested. The DR region has never carried production traffic.</t>
  </si>
  <si>
    <t xml:space="preserve">DORA Art.11|ISO 22301|HIPAA|NIS2</t>
  </si>
  <si>
    <t xml:space="preserve">DORA Threat-Led Penetration Testing (TLPT) ensures that dora tlpt conducted per regulatory timeline for in-scope eu financial entities. TLPT conducted per DORA Art.</t>
  </si>
  <si>
    <t xml:space="preserve">Reduces recovery time and data loss by ensuring technical recovery procedures are documented, tested, and validated against defined RTO/RPO targets. Without DORA Threat-Led Penetration Testing (TLPT), recovery from ransomware, infrastructure failure, or physical disaster is unplanned — and DORA Art.12 evidence of tested recovery cannot be produced.</t>
  </si>
  <si>
    <t xml:space="preserve">DORA Art.26 (TIBER-EU / CBEST)</t>
  </si>
  <si>
    <t xml:space="preserve">Post-Recovery Control Validation ensures that checklist-driven validation that all security controls are restored and operational after recovery. Post-recovery validation checklist; security control verification before business resumption; CISO sign-off.</t>
  </si>
  <si>
    <t xml:space="preserve">Reduces recovery time and data loss by ensuring technical recovery procedures are documented, tested, and validated against defined RTO/RPO targets. Without Post-Recovery Control Validation, recovery from ransomware, infrastructure failure, or physical disaster is unplanned — and DORA Art.12 evidence of tested recovery cannot be produced.</t>
  </si>
  <si>
    <t xml:space="preserve">No post-recovery control validation procedure.</t>
  </si>
  <si>
    <t xml:space="preserve">DORA Art.12|ISO 22301|PCI DSS 12.10|NIS2</t>
  </si>
  <si>
    <t xml:space="preserve">Privacy Capability Restoration ensures that restoration process for privacy-critical systems including gdpr compliance verification. Privacy systems priority-listed in DRP; GDPR processing controls verified post-recovery; DPO sign-off before resumption.</t>
  </si>
  <si>
    <t xml:space="preserve">Reduces recovery time and data loss by ensuring technical recovery procedures are documented, tested, and validated against defined RTO/RPO targets. Without Privacy Capability Restoration, recovery from ransomware, infrastructure failure, or physical disaster is unplanned — and DORA Art.12 evidence of tested recovery cannot be produced.</t>
  </si>
  <si>
    <t xml:space="preserve">No privacy capability restoration planning. Data subject rights fulfilment during an outage has not been considered.</t>
  </si>
  <si>
    <t xml:space="preserve">GDPR Art.32|DORA Art.12|ISO 22301</t>
  </si>
  <si>
    <t xml:space="preserve">AI Model Integrity Validation (Post-Recovery) ensures that validation of ai model integrity and behaviour following any recovery or restore operation. AI model integrity checks post-recovery; adversarial test of restored models; output validation before re-enabling.</t>
  </si>
  <si>
    <t xml:space="preserve">Reduces recovery time and data loss by ensuring technical recovery procedures are documented, tested, and validated against defined RTO/RPO targets. Without AI Model Integrity Validation (Post-Recovery), recovery from ransomware, infrastructure failure, or physical disaster is unplanned — and DORA Art.12 evidence of tested recovery cannot be produced.</t>
  </si>
  <si>
    <t xml:space="preserve">NIST AI RMF|EU AI Act|ISO 42001</t>
  </si>
  <si>
    <t xml:space="preserve">CDE Recovery &amp; PCI Compliance Re-validation ensures that pci dss cde security controls verified and compliant before resuming card processing post-incident. CDE recovery checklist; compliance re-validation before card processing resumed; QSA notification for major incidents.</t>
  </si>
  <si>
    <t xml:space="preserve">Reduces recovery time and data loss by ensuring technical recovery procedures are documented, tested, and validated against defined RTO/RPO targets. Without CDE Recovery &amp; PCI Compliance Re-validation, recovery from ransomware, infrastructure failure, or physical disaster is unplanned — and DORA Art.12 evidence of tested recovery cannot be produced.</t>
  </si>
  <si>
    <t xml:space="preserve">No CDE recovery or PCI re-validation procedure. Since the CDE is unscoped, recovery cannot be bounded.</t>
  </si>
  <si>
    <t xml:space="preserve">PCI DSS 12.10|PCI DSS A3</t>
  </si>
  <si>
    <t xml:space="preserve">Resilience Testing</t>
  </si>
  <si>
    <t xml:space="preserve">Continuity Testing — Tabletop &amp; Simulation ensures that regular business continuity tabletop exercises and simulated failover tests. Tabletop annually; full simulation bi-annually; executive participation in major test; results drive plan updates.</t>
  </si>
  <si>
    <t xml:space="preserve">Reduces the risk of untested recovery assumptions by ensuring continuity capability is validated before it is needed. Without Continuity Testing — Tabletop &amp; Simulation, recovery plans that look credible on paper fail in execution — the most expensive way to discover capability gaps.</t>
  </si>
  <si>
    <t xml:space="preserve">No continuity tabletop or simulation exercises.</t>
  </si>
  <si>
    <t xml:space="preserve">ISO 22301|DORA Art.11|HIPAA|NIS2</t>
  </si>
  <si>
    <t xml:space="preserve">Lessons Learned — Continuity Programme Integration ensures that systematic integration of incident and test learnings into bcp/drp improvements. Lessons-learned process for all DR tests and major incidents; BCP/DRP updated within 30 days; trend analysis.</t>
  </si>
  <si>
    <t xml:space="preserve">Reduces the risk of untested recovery assumptions by ensuring continuity capability is validated before it is needed. Without Lessons Learned — Continuity Programme Integration, recovery plans that look credible on paper fail in execution — the most expensive way to discover capability gaps.</t>
  </si>
  <si>
    <t xml:space="preserve">No mechanism to feed lessons learned into the continuity programme, as no exercises or invocations have occurred.</t>
  </si>
  <si>
    <t xml:space="preserve">ISO 22301|DORA Art.11|NIS2</t>
  </si>
  <si>
    <t xml:space="preserve">Business Service Recovery Validation ensures that end-to-end business service restoration testing covering dependencies and integrations. Business service recovery tested end-to-end (not just technical components); stakeholder sign-off; integration dependencies verified.</t>
  </si>
  <si>
    <t xml:space="preserve">Reduces the risk of untested recovery assumptions by ensuring continuity capability is validated before it is needed. Without Business Service Recovery Validation, recovery plans that look credible on paper fail in execution — the most expensive way to discover capability gaps.</t>
  </si>
  <si>
    <t xml:space="preserve">No business service recovery validation. Recovery is assumed from infrastructure availability rather than confirmed at the service level.</t>
  </si>
  <si>
    <t xml:space="preserve">ISO 22301|DORA Art.12|NIS2</t>
  </si>
  <si>
    <t xml:space="preserve">Recovery Metrics — RTO/RPO Achievement Tracking ensures that longitudinal tracking of rto/rpo achievement across all tests and real incidents. RTO/RPO achievement rate tracked over time; trend analysis; targets revised based on test results; board-reported.</t>
  </si>
  <si>
    <t xml:space="preserve">Reduces the risk of untested recovery assumptions by ensuring continuity capability is validated before it is needed. Without Recovery Metrics — RTO/RPO Achievement Tracking, recovery plans that look credible on paper fail in execution — the most expensive way to discover capability gaps.</t>
  </si>
  <si>
    <t xml:space="preserve">No recovery metrics. RTO and RPO achievement is not tracked because neither is defined.</t>
  </si>
  <si>
    <t xml:space="preserve">Operational Technology (OT) Continuity ensures that ot/ics-specific business continuity covering manual fallback and production safety. OT manual fallback procedures documented; production safety validation included in BCP; OT staff trained.</t>
  </si>
  <si>
    <t xml:space="preserve">Reduces the risk of untested recovery assumptions by ensuring continuity capability is validated before it is needed. Without Operational Technology (OT) Continuity, recovery plans that look credible on paper fail in execution — the most expensive way to discover capability gaps.</t>
  </si>
  <si>
    <t xml:space="preserve">IEC 62443|NIS2|DORA|Sector regulations</t>
  </si>
  <si>
    <t xml:space="preserve">Recovery Metrics</t>
  </si>
  <si>
    <t xml:space="preserve">Supplier Resilience Assessment ensures that annual assessment of critical supplier resilience and recovery capability. Supplier resilience assessments for top-10 critical suppliers; RTO requirements contractual; audit rights exercised.</t>
  </si>
  <si>
    <t xml:space="preserve">Reduces recovery programme degradation risk by ensuring recovery performance is continuously tracked, evidenced, and improved. Without Supplier Resilience Assessment, RTO/RPO achievements are unmeasured — making it impossible to demonstrate programme improvement to boards, regulators, or cyber insurers.</t>
  </si>
  <si>
    <t xml:space="preserve">No supplier resilience assessment. Concentration risk on AWS and on the single acquiring bank connection has never been evaluated.</t>
  </si>
  <si>
    <t xml:space="preserve">DORA Art.28|ISO 22301|NIS2 Art.21</t>
  </si>
  <si>
    <t xml:space="preserve">NUCLEUS SYSTEMS  |  NS-CMMF v1.0  —  EVIDENCE REGISTER</t>
  </si>
  <si>
    <t xml:space="preserve">Centralised evidence tracking across all controls  ·  Status lifecycle: Current / Expiring / Expired / Requested</t>
  </si>
  <si>
    <t xml:space="preserve">📌  Log each evidence artefact. Reference the Control ID to link to domain sheets. Update Status as evidence ages.</t>
  </si>
  <si>
    <t xml:space="preserve">Ctrl ID</t>
  </si>
  <si>
    <t xml:space="preserve">Evidence Guidance and Examples</t>
  </si>
  <si>
    <t xml:space="preserve">Evidence Description</t>
  </si>
  <si>
    <t xml:space="preserve">Document / Artefact Name</t>
  </si>
  <si>
    <t xml:space="preserve">Version/Date</t>
  </si>
  <si>
    <t xml:space="preserve">Evidence Tier
▼ Select</t>
  </si>
  <si>
    <t xml:space="preserve">Collection Date</t>
  </si>
  <si>
    <t xml:space="preserve">Expiry Date</t>
  </si>
  <si>
    <t xml:space="preserve">GV-001</t>
  </si>
  <si>
    <t xml:space="preserve">GV</t>
  </si>
  <si>
    <t xml:space="preserve">Provide evidence that a named security leader exists with formal mandate and board access. (Signed CISO appointment letter or job description with reporting line | Board resolution approving the CISO role | Quarterly board meeting minutes showing CISO attendance and security update)</t>
  </si>
  <si>
    <t xml:space="preserve">Not available — control not implemented</t>
  </si>
  <si>
    <t xml:space="preserve">—</t>
  </si>
  <si>
    <t xml:space="preserve">Tier 4 — Attestation Only</t>
  </si>
  <si>
    <t xml:space="preserve">📋 Requested</t>
  </si>
  <si>
    <t xml:space="preserve">GV-002</t>
  </si>
  <si>
    <t xml:space="preserve">Provide the board-approved multi-year cybersecurity strategy and evidence of annual review. (Board-approved cybersecurity strategy document dated within 12 months | Board meeting minutes recording strategy approval | Annual strategy review presentation with gap-to-plan commentary)</t>
  </si>
  <si>
    <t xml:space="preserve">GV-003</t>
  </si>
  <si>
    <t xml:space="preserve">Provide evidence that a security budget is formally approved and tracked against risk indicators. (Board-approved security budget line item in annual financial plan | Quarterly budget-vs-actual spend report | Finance sign-off email or board resolution approving security investment)</t>
  </si>
  <si>
    <t xml:space="preserve">FY2026 IT budget spreadsheet showing security tooling embedded in general IT lines</t>
  </si>
  <si>
    <t xml:space="preserve">As held at fieldwork</t>
  </si>
  <si>
    <t xml:space="preserve">Tier 2 — Documentary / Sample-Tested</t>
  </si>
  <si>
    <t xml:space="preserve">✅ Current</t>
  </si>
  <si>
    <t xml:space="preserve">GV-004</t>
  </si>
  <si>
    <t xml:space="preserve">Provide an org chart showing security roles, responsibilities, reporting lines, and named backups. (Current security team org chart with role titles and reporting relationships | RACI matrix for security functions | HR system export showing security role assignments)</t>
  </si>
  <si>
    <t xml:space="preserve">GV-005</t>
  </si>
  <si>
    <t xml:space="preserve">Provide evidence of regular board/audit committee engagement with cybersecurity risk and investment. (Board risk committee meeting minutes with cyber agenda item dated within 90 days | Board cyber reporting pack | Audit committee terms of reference referencing cybersecurity oversight)</t>
  </si>
  <si>
    <t xml:space="preserve">Board minutes 2025–2026 sampled</t>
  </si>
  <si>
    <t xml:space="preserve">Interview record, 31/08/2026</t>
  </si>
  <si>
    <t xml:space="preserve">Tier 3 — Interview Only</t>
  </si>
  <si>
    <t xml:space="preserve">⚠️ Expiring</t>
  </si>
  <si>
    <t xml:space="preserve">GV-006</t>
  </si>
  <si>
    <t xml:space="preserve">Provide the master security policy and at least two domain policies showing version control and review dates. (Master information security policy with version number and board approval date | Domain policy (e.g. Access Control Policy) reviewed within 12 months | Policy document library index showing all active policies with review status)</t>
  </si>
  <si>
    <t xml:space="preserve">Information Security Policy v1.2 (2021), unreviewed since issue</t>
  </si>
  <si>
    <t xml:space="preserve">GV-007</t>
  </si>
  <si>
    <t xml:space="preserve">Provide evidence that all staff have acknowledged the security policy within the required cycle. (LMS or HR system completion report showing ≥95% policy attestation | Policy acknowledgement records with employee signatures | Non-compliance escalation log showing follow-up actions taken)</t>
  </si>
  <si>
    <t xml:space="preserve">Onboarding acknowledgement forms for 2026 joiners held in HR files</t>
  </si>
  <si>
    <t xml:space="preserve">GV-008</t>
  </si>
  <si>
    <t xml:space="preserve">Provide the exception register and at least two examples of formal exceptions with named owners and expiry dates. (Active policy exception register extract showing owner, risk acceptance, and expiry | Completed exception request form with CISO approval | Exception review meeting minutes showing periodic review of open exceptions)</t>
  </si>
  <si>
    <t xml:space="preserve">GV-009</t>
  </si>
  <si>
    <t xml:space="preserve">Provide the baseline security standard for at least one asset class (endpoint, cloud, or network). (CIS Benchmark hardening standard document for endpoints with version and approval date | Cloud security baseline configuration standard | Network device hardening standard showing approved minimum configuration)</t>
  </si>
  <si>
    <t xml:space="preserve">Informal build checklist held on a shared drive; no version control</t>
  </si>
  <si>
    <t xml:space="preserve">GV-010</t>
  </si>
  <si>
    <t xml:space="preserve">Provide the register of all applicable regulations with control mappings and named owners. (Regulatory obligation register listing all applicable laws/regulations with article references | Control-to-regulation mapping matrix | Named owner assignments per regulatory obligation with review date)</t>
  </si>
  <si>
    <t xml:space="preserve">None consolidated. Bank questionnaire response (Oct 2025) used as a proxy</t>
  </si>
  <si>
    <t xml:space="preserve">GV-011</t>
  </si>
  <si>
    <t xml:space="preserve">Provide evidence of an active process to monitor and assess regulatory changes. (Subscription confirmation to regulatory update service (e.g. ENISA, ICO, FCA alerts) | Impact assessment completed for a recent regulatory change | Regulatory change meeting minutes or email thread showing assessment and action planning)</t>
  </si>
  <si>
    <t xml:space="preserve">GV-012</t>
  </si>
  <si>
    <t xml:space="preserve">Provide evidence that minimum security standards are embedded in vendor contracts. (Sample vendor contract with security schedule or annex attached | Standard security questionnaire used for vendor onboarding | Vendor contract checklist confirming security requirements included)</t>
  </si>
  <si>
    <t xml:space="preserve">Sample of five supplier contracts reviewed</t>
  </si>
  <si>
    <t xml:space="preserve">GV-013</t>
  </si>
  <si>
    <t xml:space="preserve">Provide evidence that cyber risk appears on the enterprise risk register with shared taxonomy. (Enterprise risk register extract showing cyber risk entries | Risk committee meeting minutes with CISO attendance | Shared risk taxonomy document showing cybersecurity risk categories)</t>
  </si>
  <si>
    <t xml:space="preserve">Corporate risk register (Q2 2026)</t>
  </si>
  <si>
    <t xml:space="preserve">GV-014</t>
  </si>
  <si>
    <t xml:space="preserve">Provide the board-approved risk appetite statement with quantified thresholds. (Board-approved risk appetite statement document | Risk tolerance threshold table with named escalation triggers | Board or risk committee minutes approving the risk appetite statement)</t>
  </si>
  <si>
    <t xml:space="preserve">GV-015</t>
  </si>
  <si>
    <t xml:space="preserve">Provide the active risk register and evidence of recent board reporting. (Risk register extract dated within 30 days | Board or risk committee risk report from last quarter | Risk owner assignment records showing named accountability per risk)</t>
  </si>
  <si>
    <t xml:space="preserve">Pentest findings tracker (Excel, last updated March 2026)</t>
  </si>
  <si>
    <t xml:space="preserve">GV-016</t>
  </si>
  <si>
    <t xml:space="preserve">Provide at least one quantified cyber risk scenario expressed in financial terms. (FAIR analysis or equivalent financial risk scenario (e.g. ransomware impact = £X) | Cyber risk quantification report from specialist tool | Risk quantification methodology document and output summary)</t>
  </si>
  <si>
    <t xml:space="preserve">GV-017</t>
  </si>
  <si>
    <t xml:space="preserve">Provide the TPRM policy and the vendor risk register showing tiered classification. (TPRM policy document with version and approval date | Vendor risk register showing tier classification | Annual TPRM programme review report or CISO sign-off)</t>
  </si>
  <si>
    <t xml:space="preserve">GV-018</t>
  </si>
  <si>
    <t xml:space="preserve">Provide evidence that at least one critical vendor was security-assessed within the last 12 months. (Completed vendor security assessment questionnaire for a Tier 1 vendor | Security assessment report with findings and remediation plan | Evidence of right-to-audit exercise or on-site vendor security review)</t>
  </si>
  <si>
    <t xml:space="preserve">Single completed questionnaire for the core banking provider (2025)</t>
  </si>
  <si>
    <t xml:space="preserve">GV-019</t>
  </si>
  <si>
    <t xml:space="preserve">Provide a vendor contract extract showing embedded security requirements. (Executed vendor contract with security schedule or data processing annex | Standard security contractual schedule template | Contract review checklist confirming security obligations included)</t>
  </si>
  <si>
    <t xml:space="preserve">AWS and Microsoft standard terms on file</t>
  </si>
  <si>
    <t xml:space="preserve">GV-020</t>
  </si>
  <si>
    <t xml:space="preserve">Provide the sub-processor or fourth-party register with risk profile and review evidence. (GDPR sub-processor register with controller-processor relationship documented | Fourth-party dependency map for critical vendors | Annual sub-processor review sign-off or updated register)</t>
  </si>
  <si>
    <t xml:space="preserve">GV-021</t>
  </si>
  <si>
    <t xml:space="preserve">Provide the DORA-mandated ICT third-party service provider register with Art.28 contract terms confirmed. (DORA TPSP critical register extract with service type, ICT functions, and contract status | Contract review confirming DORA Art.28-30 terms included | DORA Oversight Register submission confirmation or internal ICT TPSP report)</t>
  </si>
  <si>
    <t xml:space="preserve">Control not applicable — auto-excluded by scoping profile.</t>
  </si>
  <si>
    <t xml:space="preserve">⬛ N/A</t>
  </si>
  <si>
    <t xml:space="preserve">GV-022</t>
  </si>
  <si>
    <t xml:space="preserve">Provide evidence of SBOM generation and open-source component governance. (SBOM file (CycloneDX or SPDX format) for a production release | SCA tool scan report showing dependency risk status | Open-source usage policy with approval process for new components)</t>
  </si>
  <si>
    <t xml:space="preserve">package.json and requirements.txt files in GitHub reviewed</t>
  </si>
  <si>
    <t xml:space="preserve">GV-023</t>
  </si>
  <si>
    <t xml:space="preserve">Provide evidence that critical supplier BCP/DRP requirements are contractually imposed and evidenced. (Vendor contract clause requiring annual BCP/DRP evidence | Critical supplier BCP document reviewed within 12 months | Supplier resilience assessment report or questionnaire response)</t>
  </si>
  <si>
    <t xml:space="preserve">GV-024</t>
  </si>
  <si>
    <t xml:space="preserve">Provide evidence of a designated and empowered privacy function. (DPO appointment letter or contract showing independence | DPA notification/registration confirming DPO designation | CISO/DPO reporting structure showing privacy function authority)</t>
  </si>
  <si>
    <t xml:space="preserve">Job description for Legal &amp; Compliance Counsel</t>
  </si>
  <si>
    <t xml:space="preserve">GV-025</t>
  </si>
  <si>
    <t xml:space="preserve">Provide the ROPA extract covering at least 90% of personal data processing activities. (ROPA extract in GDPR Art.30-compliant format with processing activities listed | ROPA completeness review report with gap count | DPO sign-off confirming ROPA currency dated within 12 months)</t>
  </si>
  <si>
    <t xml:space="preserve">GV-026</t>
  </si>
  <si>
    <t xml:space="preserve">Provide at least one completed DPIA for a high-risk processing activity. (Completed DPIA document for a high-risk processing activity | DPIA mandatory triggers register | DPO sign-off on completed DPIA with outcome recorded)</t>
  </si>
  <si>
    <t xml:space="preserve">GV-027</t>
  </si>
  <si>
    <t xml:space="preserve">Provide evidence that all international personal data transfers have an identified legal basis. (Transfer mapping register showing all cross-border flows and legal basis | Executed Standard Contractual Clauses (SCCs) for a third-country transfer | Adequacy decision reliance record or BCR documentation)</t>
  </si>
  <si>
    <t xml:space="preserve">None. Data residency assumed from AWS region selection only. Tier 3</t>
  </si>
  <si>
    <t xml:space="preserve">GV-028</t>
  </si>
  <si>
    <t xml:space="preserve">Provide evidence of a planned audit programme and recent completed audit. (Annual internal audit plan approved by audit committee | ISO 27001 or SOC 2 Type II certification (must be current) | Internal audit report from last 12 months with findings and management response)</t>
  </si>
  <si>
    <t xml:space="preserve">Pentest report (2025)</t>
  </si>
  <si>
    <t xml:space="preserve">ID-029</t>
  </si>
  <si>
    <t xml:space="preserve">ID</t>
  </si>
  <si>
    <t xml:space="preserve">Provide the CMDB extract and evidence of automated discovery validating completeness. (CMDB export showing all managed hardware assets with lifecycle status | Automated discovery scan report confirming ≥98% coverage | CMDB completeness audit report from last 90 days)</t>
  </si>
  <si>
    <t xml:space="preserve">Freshservice asset export (August 2026), 312 records</t>
  </si>
  <si>
    <t xml:space="preserve">ID-030</t>
  </si>
  <si>
    <t xml:space="preserve">Provide a software inventory extract showing all applications, versions, and EOL status. (Software asset inventory export covering all production systems | EOL/unsupported software flagging report | Software inventory reconciliation against CMDB dated within 30 days)</t>
  </si>
  <si>
    <t xml:space="preserve">Sophos console screenshots</t>
  </si>
  <si>
    <t xml:space="preserve">ID-031</t>
  </si>
  <si>
    <t xml:space="preserve">Provide evidence of automated cloud asset discovery across all CSPs in use. (CSPM tool report showing cloud asset inventory for all CSPs | Cloud asset discovery scan output (AWS Config, Azure Inventory, GCP Asset Inventory) | Unmanaged/unregistered resource alert log from CSPM tool)</t>
  </si>
  <si>
    <t xml:space="preserve">AWS resource tag report (August 2026) showing 41% of resources untagged</t>
  </si>
  <si>
    <t xml:space="preserve">System-generated, 31/08/2026</t>
  </si>
  <si>
    <t xml:space="preserve">Tier 1 — Automated / Independent</t>
  </si>
  <si>
    <t xml:space="preserve">ID-032</t>
  </si>
  <si>
    <t xml:space="preserve">Provide evidence of SaaS discovery covering sanctioned and shadow applications. (CASB or SaaS discovery tool report showing all detected applications | Shadow IT risk assessment register | Monthly SaaS discovery output with unsanctioned application alert log)</t>
  </si>
  <si>
    <t xml:space="preserve">ID-033</t>
  </si>
  <si>
    <t xml:space="preserve">Provide an SBOM for at least one production release in a standard format. (SBOM file in CycloneDX or SPDX format for a named production release | CI/CD pipeline configuration showing SBOM generation step | SBOM publication record confirming delivery to customers within 5 days of release)</t>
  </si>
  <si>
    <t xml:space="preserve">ID-034</t>
  </si>
  <si>
    <t xml:space="preserve">Provide current network diagrams showing all zones, segments, and critical path dependencies. (Network diagram dated within 90 days showing all network zones | Architecture diagram showing critical dependencies and data flows | Network change management log confirming diagram currency)</t>
  </si>
  <si>
    <t xml:space="preserve">Visio network diagram dated 2022</t>
  </si>
  <si>
    <t xml:space="preserve">ID-035</t>
  </si>
  <si>
    <t xml:space="preserve">Provide evidence that all assets have lifecycle status tracked with EOL alerting. (CMDB extract showing lifecycle status (active/EOL/planned retirement) per asset class | EOL alert notification from asset management tool | EOL migration plan with owner and target dates for assets within 12 months of support end)</t>
  </si>
  <si>
    <t xml:space="preserve">ID-036</t>
  </si>
  <si>
    <t xml:space="preserve">Provide the data classification scheme and evidence of technical enforcement. (Data classification policy with tier definitions (Public/Internal/Confidential/Restricted) | Technical classification labels applied in document management system | DLP policy configuration showing classification-based enforcement rules)</t>
  </si>
  <si>
    <t xml:space="preserve">ID-037</t>
  </si>
  <si>
    <t xml:space="preserve">Provide sensitive data discovery scan results showing coverage and classification status. (DLP or data discovery tool scan report showing sensitive data locations | Scan coverage report confirming ≥95% of data stores scanned | Unclassified data alert log with remediation actions)</t>
  </si>
  <si>
    <t xml:space="preserve">ID-038</t>
  </si>
  <si>
    <t xml:space="preserve">Provide data flow diagrams covering all internal and cross-border personal data flows. (Data flow diagram showing all personal data movements between systems | Third-party data transfer register | GDPR transfer impact assessment or cross-border transfer log with legal basis confirmed)</t>
  </si>
  <si>
    <t xml:space="preserve">ID-039</t>
  </si>
  <si>
    <t xml:space="preserve">Provide the retention schedule and evidence of automated or verified deletion. (Retention schedule document listing retention periods per data class | Automated deletion confirmation report or audit log | Verified disposal certificate from data destruction vendor for decommissioned media)</t>
  </si>
  <si>
    <t xml:space="preserve">Database record counts confirming retention since inception</t>
  </si>
  <si>
    <t xml:space="preserve">ID-040</t>
  </si>
  <si>
    <t xml:space="preserve">Provide the PCI DSS CDE scope document and annual validation evidence. (CDE scope diagram showing all systems processing, transmitting, or storing PANs | Annual CDE scope validation sign-off by QSA or internal security team | Network segmentation test report confirming CDE isolation)</t>
  </si>
  <si>
    <t xml:space="preserve">SAQ D submission (2025)</t>
  </si>
  <si>
    <t xml:space="preserve">ID-041</t>
  </si>
  <si>
    <t xml:space="preserve">Provide the BIA document covering all critical services with RTO/RPO and financial impact. (BIA document dated within 12 months covering all critical business services | RTO/RPO assignment table per service | BIA financial impact quantification approved by CFO or business owners)</t>
  </si>
  <si>
    <t xml:space="preserve">ID-042</t>
  </si>
  <si>
    <t xml:space="preserve">Provide the most recent threat landscape assessment aligned to the organisation's sector. (Annual threat landscape report with sector-specific threat intelligence | MITRE ATT&amp;CK threat profile for the organisation's sector | Executive threat intelligence briefing delivered to board in last 12 months)</t>
  </si>
  <si>
    <t xml:space="preserve">None documented. Tier 3</t>
  </si>
  <si>
    <t xml:space="preserve">ID-043</t>
  </si>
  <si>
    <t xml:space="preserve">Provide vulnerability scan results and evidence of SLA adherence for critical/high findings. (Authenticated vulnerability scan report from last 30 days | SLA compliance report showing Critical ≤72h and High ≤7d remediation rates | CISA KEV tracking log showing exploitation risk prioritisation)</t>
  </si>
  <si>
    <t xml:space="preserve">OpenVAS scan reports for June–August 2026, external assets only</t>
  </si>
  <si>
    <t xml:space="preserve">ID-044</t>
  </si>
  <si>
    <t xml:space="preserve">Provide the most recent penetration test report and evidence of finding remediation. (External penetration test report from an accredited firm dated within 12 months | Finding remediation tracker showing critical/high closure within 30 days | Retesting evidence confirming critical findings resolved)</t>
  </si>
  <si>
    <t xml:space="preserve">Independent pentest reports 2024, 2025 and 2026 with findings tracker</t>
  </si>
  <si>
    <t xml:space="preserve">ID-045</t>
  </si>
  <si>
    <t xml:space="preserve">Provide continuous monitoring output for critical suppliers with any score degradation alerts. (Security ratings platform report covering top 20 critical suppliers | Score degradation alert and response log | Monthly supplier security posture summary report)</t>
  </si>
  <si>
    <t xml:space="preserve">ID-046</t>
  </si>
  <si>
    <t xml:space="preserve">Provide the crown-jewel asset register with enhanced controls applied. (Crown-jewel asset register with business criticality rating and enhanced control mapping | Annual business owner review sign-off | Enhanced control application evidence for Tier 1 assets)</t>
  </si>
  <si>
    <t xml:space="preserve">ID-047</t>
  </si>
  <si>
    <t xml:space="preserve">Provide ITGC documentation for all in-scope financial systems with annual assessment evidence. (ITGC design and operating effectiveness documentation for named in-scope systems | External auditor management letter referencing ITGC assessment | ITGC remediation plan for findings identified in last assessment)</t>
  </si>
  <si>
    <t xml:space="preserve">ID-048</t>
  </si>
  <si>
    <t xml:space="preserve">Provide the formal HIPAA risk analysis document covering all ePHI systems. (HIPAA risk analysis report covering all ePHI systems in scope | Risk management plan linked to risk analysis findings | HIPAA risk analysis review evidence showing annual refresh)</t>
  </si>
  <si>
    <t xml:space="preserve">ID-049</t>
  </si>
  <si>
    <t xml:space="preserve">Provide the security KPI/KRI library and evidence of automated measurement and board reporting. (Security metrics dashboard with at least 10 defined KPIs/KRIs | Automated metrics report from security tooling | Board security metrics report from last quarter showing trend data)</t>
  </si>
  <si>
    <t xml:space="preserve">ID-050</t>
  </si>
  <si>
    <t xml:space="preserve">Provide the red team exercise report and evidence that findings drove detection engineering improvements. (Red team exercise report from last 12 months with scope and methodology | Detection gap findings mapped to MITRE ATT&amp;CK techniques | Detection engineering backlog items linked to red team findings)</t>
  </si>
  <si>
    <t xml:space="preserve">PR-051</t>
  </si>
  <si>
    <t xml:space="preserve">PR</t>
  </si>
  <si>
    <t xml:space="preserve">Provide MFA coverage report showing ≥99% of all user accounts enrolled. (Identity platform MFA enrollment report showing % covered by account type | MFA exception register with compensating controls | MFA enforcement policy configuration screenshot from identity provider)</t>
  </si>
  <si>
    <t xml:space="preserve">Entra ID authentication methods report, August 2026</t>
  </si>
  <si>
    <t xml:space="preserve">PR-052</t>
  </si>
  <si>
    <t xml:space="preserve">Provide evidence that 100% of privileged accounts use FIDO2/hardware token MFA. (Hardware token or FIDO2 enrollment report for all admin/privileged accounts | Configuration evidence showing SMS/OTP disabled for privileged roles | PAM or identity platform screenshot confirming phishing-resistant MFA enforced)</t>
  </si>
  <si>
    <t xml:space="preserve">Entra ID conditional access policy export</t>
  </si>
  <si>
    <t xml:space="preserve">PR-053</t>
  </si>
  <si>
    <t xml:space="preserve">Provide evidence that PAM is deployed with credential vaulting, session recording, and JIT access active. (PAM solution deployment report showing privileged account coverage | Session recording activation confirmation and sample recording log | JIT access workflow configuration and sample approval log)</t>
  </si>
  <si>
    <t xml:space="preserve">Password manager vault membership list</t>
  </si>
  <si>
    <t xml:space="preserve">PR-054</t>
  </si>
  <si>
    <t xml:space="preserve">Provide evidence of automated role-based access provisioning with manager approval within SLA. (Access provisioning workflow configuration showing manager approval gate | SLA compliance report showing ≤1 business day provisioning time | Sample joiner provisioning ticket with timestamps and approvals)</t>
  </si>
  <si>
    <t xml:space="preserve">Freshservice joiner tickets, sample of 15 from 2026</t>
  </si>
  <si>
    <t xml:space="preserve">PR-055</t>
  </si>
  <si>
    <t xml:space="preserve">Provide evidence that role changes trigger access updates within defined SLA. (HR system role change notification and access update workflow linkage | SLA compliance report showing access updated within 24h (privileged) / 3 days (standard) | Sample mover ticket showing old access removed and new access granted with timestamps)</t>
  </si>
  <si>
    <t xml:space="preserve">Sample of 6 transferred staff</t>
  </si>
  <si>
    <t xml:space="preserve">PR-056</t>
  </si>
  <si>
    <t xml:space="preserve">Provide evidence that all access is revoked within SLA on employee departure. (HR offboarding trigger and identity platform deprovisioning workflow linkage | Privileged access revocation log showing ≤1h revocation | Leaver audit showing zero accounts with active access 48h post-departure)</t>
  </si>
  <si>
    <t xml:space="preserve">Entra ID disabled-account report cross-checked against HR leaver list</t>
  </si>
  <si>
    <t xml:space="preserve">PR-057</t>
  </si>
  <si>
    <t xml:space="preserve">Provide the most recent access certification results with manager sign-off and removals actioned. (Access certification report showing completion date, certifier, and outcome per account | Manager certification records for in-scope systems | Access removal actioned report confirming removals completed within 5 days)</t>
  </si>
  <si>
    <t xml:space="preserve">PR-058</t>
  </si>
  <si>
    <t xml:space="preserve">Provide SSO coverage report showing application federation status. (Identity provider application catalog showing SSO-enabled vs non-SSO applications | SSO coverage percentage report | Federation configuration evidence (SAML 2.0/OIDC) for a named application)</t>
  </si>
  <si>
    <t xml:space="preserve">Entra ID enterprise applications list, 4 of 11 in-scope applications federated</t>
  </si>
  <si>
    <t xml:space="preserve">PR-059</t>
  </si>
  <si>
    <t xml:space="preserve">Provide the SoD matrix and conflict detection report with remediation evidence. (SoD matrix for critical financial or privileged access combinations | Automated SoD conflict detection report from GRC or IAM tool | SoD conflict remediation log showing conflicts resolved within 30 days)</t>
  </si>
  <si>
    <t xml:space="preserve">GitHub branch protection settings showing no required reviewers on the release branch</t>
  </si>
  <si>
    <t xml:space="preserve">PR-060</t>
  </si>
  <si>
    <t xml:space="preserve">Provide the dormant account detection report and automated disabling evidence. (Dormant account scan report showing accounts inactive beyond 45 days | Automated disable workflow trigger confirmation | Service account quarterly review sign-off with dormant accounts remediated)</t>
  </si>
  <si>
    <t xml:space="preserve">One-off review spreadsheet (March 2026)</t>
  </si>
  <si>
    <t xml:space="preserve">PR-061</t>
  </si>
  <si>
    <t xml:space="preserve">Provide the service account register and evidence of least-privilege, rotation, and no-shared-credentials enforcement. (Service account register with named owner and purpose per account | Credential rotation log showing ≤90 day rotation compliance | Configuration evidence showing no shared credentials between service accounts)</t>
  </si>
  <si>
    <t xml:space="preserve">AWS IAM credential report showing keys older than 24 months</t>
  </si>
  <si>
    <t xml:space="preserve">PR-062</t>
  </si>
  <si>
    <t xml:space="preserve">Provide evidence of a secrets vault deployment with no hardcoded credentials. (Secrets vault deployment report showing coverage | Repository scanning tool output confirming zero hardcoded secrets in code | Automated secret rotation log with rotation compliance rate)</t>
  </si>
  <si>
    <t xml:space="preserve">GitHub Actions secrets listing and .env sample</t>
  </si>
  <si>
    <t xml:space="preserve">PR-063</t>
  </si>
  <si>
    <t xml:space="preserve">Provide the ZTA roadmap or architecture document with implementation evidence. (ZTA architecture document showing identity-based access model | Microsegmentation policy configuration evidence | ZTA maturity assessment or NIST SP 800-207 gap analysis with implementation progress)</t>
  </si>
  <si>
    <t xml:space="preserve">PR-064</t>
  </si>
  <si>
    <t xml:space="preserve">Provide encryption verification evidence for all Confidential and Restricted data stores. (Encryption status report showing AES-256 at rest across all sensitive data stores | Key management platform report showing encryption coverage | Quarterly encryption compliance scan report)</t>
  </si>
  <si>
    <t xml:space="preserve">AWS Config encryption compliance report</t>
  </si>
  <si>
    <t xml:space="preserve">PR-065</t>
  </si>
  <si>
    <t xml:space="preserve">Provide TLS configuration reports showing TLS 1.2+ minimum across all endpoints and services. (SSL/TLS scan report (e.g. Qualys SSL Labs or equivalent) confirming TLS 1.2+ only | TLS certificate inventory with expiry dates | Configuration evidence showing TLS 1.0/1.1 disabled on all endpoints)</t>
  </si>
  <si>
    <t xml:space="preserve">Cloudflare TLS configuration export and SSL Labs A rating confirmed in pentest report</t>
  </si>
  <si>
    <t xml:space="preserve">PR-066</t>
  </si>
  <si>
    <t xml:space="preserve">Provide DLP policy configuration and alert/block evidence for email-channel sensitive data. (Email DLP policy configuration showing sensitive data pattern rules (PII, PAN, PHI) | DLP email alert/block log from last 30 days | DLP coverage report confirming email gateway enforcement)</t>
  </si>
  <si>
    <t xml:space="preserve">Microsoft Purview policy list</t>
  </si>
  <si>
    <t xml:space="preserve">PR-067</t>
  </si>
  <si>
    <t xml:space="preserve">Provide DLP agent coverage report for managed endpoints and USB blocking evidence. (DLP agent deployment report showing ≥95% managed endpoint coverage | USB blocking policy configuration evidence | DLP endpoint alert log showing blocked removable media events)</t>
  </si>
  <si>
    <t xml:space="preserve">PR-068</t>
  </si>
  <si>
    <t xml:space="preserve">Provide cloud DLP policy configuration covering M365/Google Workspace/cloud storage. (Cloud DLP policy configuration in M365 Compliance or Google Workspace admin console | CASB DLP policy enforcement report for sanctioned SaaS | Cloud DLP alert log showing sensitive data detection events)</t>
  </si>
  <si>
    <t xml:space="preserve">PR-069</t>
  </si>
  <si>
    <t xml:space="preserve">Provide evidence that non-production environments use masked data. (Data masking tool configuration showing production-to-non-production masking workflow | Non-production environment scan confirming zero PII/PAN in plaintext | Data masking policy with pseudonymisation standards)</t>
  </si>
  <si>
    <t xml:space="preserve">Staging database record sample confirming production data</t>
  </si>
  <si>
    <t xml:space="preserve">PR-070</t>
  </si>
  <si>
    <t xml:space="preserve">Provide evidence that PAN is rendered unreadable with tokenisation or truncation in scope. (Tokenisation platform configuration confirming PAN replaced by tokens | PAN truncation evidence in all cardholder data displays and logs | QSA confirmation that no full PAN is stored, processed, or transmitted in plaintext)</t>
  </si>
  <si>
    <t xml:space="preserve">Settlement file sample and share permissions</t>
  </si>
  <si>
    <t xml:space="preserve">PR-071</t>
  </si>
  <si>
    <t xml:space="preserve">Provide backup architecture documentation confirming 3-2-1-1 compliance with immutable copy. (Backup architecture document showing 3-2-1-1 rule implementation | Immutable/air-gapped backup configuration evidence | Ransomware protection configuration for backup environment (e.g. Object Lock, WORM)</t>
  </si>
  <si>
    <t xml:space="preserve">Veeam job configuration and S3 bucket policy export</t>
  </si>
  <si>
    <t xml:space="preserve">PR-072</t>
  </si>
  <si>
    <t xml:space="preserve">Provide quarterly restoration test results with RTO/RPO achievement documented. (Restoration test report from last quarter showing specific systems, RTO/RPO achieved, and sign-off | Backup restoration test schedule and completion log | Failed restoration exception report with remediation actions)</t>
  </si>
  <si>
    <t xml:space="preserve">Freshservice tickets showing three ad hoc restores in 2026</t>
  </si>
  <si>
    <t xml:space="preserve">PR-073</t>
  </si>
  <si>
    <t xml:space="preserve">Provide DMARC, DKIM, and SPF DNS record configuration evidence for all sending domains. (DMARC record showing p=reject policy for all owned sending domains | DKIM signing configuration confirmation | SPF record validation report covering all sending domains including third-party senders)</t>
  </si>
  <si>
    <t xml:space="preserve">DNS record export for all three domains</t>
  </si>
  <si>
    <t xml:space="preserve">PR-074</t>
  </si>
  <si>
    <t xml:space="preserve">Provide evidence of sandboxing, URL rewriting, and impersonation protection active on email gateway. (Email security gateway configuration showing sandbox and URL detonation enabled | Phishing simulation results showing email gateway catch rate | Blocked attachment and URL quarantine report from last 30 days)</t>
  </si>
  <si>
    <t xml:space="preserve">EOP configuration export and BEC incident ticket</t>
  </si>
  <si>
    <t xml:space="preserve">PR-075</t>
  </si>
  <si>
    <t xml:space="preserve">Provide the cryptographic standards document and key management lifecycle evidence. (Cryptographic standards document showing approved algorithms (AES-256, RSA-4096, SHA-256+) | Key management platform report showing rotation compliance | HSM deployment confirmation for critical encryption keys)</t>
  </si>
  <si>
    <t xml:space="preserve">PR-076</t>
  </si>
  <si>
    <t xml:space="preserve">Provide EDR coverage report showing ≥99% of managed endpoints and behavioural detection active. (EDR management console report showing enrollment percentage by platform | Behavioural detection rule configuration evidence | EDR alert-to-containment SLA compliance report from last 30 days)</t>
  </si>
  <si>
    <t xml:space="preserve">Sophos Central deployment report, August 2026</t>
  </si>
  <si>
    <t xml:space="preserve">PR-077</t>
  </si>
  <si>
    <t xml:space="preserve">Provide CIS Benchmark compliance scan results for all endpoint types. (CIS Benchmark compliance scan report for Windows/macOS/Linux endpoints | Deviations report with remediation actions within 30 days | Hardening standard document showing approved baseline configuration)</t>
  </si>
  <si>
    <t xml:space="preserve">Build image documentation</t>
  </si>
  <si>
    <t xml:space="preserve">PR-078</t>
  </si>
  <si>
    <t xml:space="preserve">Provide patch management SLA compliance report for Critical (≤72h) and High (≤7d) vulnerabilities. (Patch compliance report showing Critical ≤72h and High ≤7d SLA adherence rates | CISA KEV patch status report | Patching exception register with compensating controls for deferred patches)</t>
  </si>
  <si>
    <t xml:space="preserve">Freshservice change records for monthly windows, January–August 2026</t>
  </si>
  <si>
    <t xml:space="preserve">PR-079</t>
  </si>
  <si>
    <t xml:space="preserve">Provide patch management SLA compliance report for Medium (≤30d) and Low (≤90d) vulnerabilities. (Monthly patch compliance report showing Medium and Low SLA adherence rates | Patch exception register with documented risk acceptance | Automated patching job log showing scheduled patching activity)</t>
  </si>
  <si>
    <t xml:space="preserve">PR-080</t>
  </si>
  <si>
    <t xml:space="preserve">Provide the EOL detection report confirming zero EOL software in production. (Software inventory EOL status report showing zero EOL systems in production | EOL exception register with migration plans and timelines | Automated EOL alert notification examples from asset management tool)</t>
  </si>
  <si>
    <t xml:space="preserve">Server inventory extract</t>
  </si>
  <si>
    <t xml:space="preserve">PR-081</t>
  </si>
  <si>
    <t xml:space="preserve">Provide application allowlisting configuration evidence for servers and high-risk endpoints. (Application control policy configuration showing deny-by-default on servers | Allowlist policy for workstations restricting software installation to admin-only | Application control alert log showing blocked unauthorized execution attempts)</t>
  </si>
  <si>
    <t xml:space="preserve">Local administrators group membership export</t>
  </si>
  <si>
    <t xml:space="preserve">PR-082</t>
  </si>
  <si>
    <t xml:space="preserve">Provide USB blocking policy evidence and DLP monitoring of removable media. (Endpoint management policy configuration showing USB blocked by default | DLP removable media alert log | Media exception request and approval log showing authorised encrypted devices only)</t>
  </si>
  <si>
    <t xml:space="preserve">Sophos policy configuration showing device control disabled</t>
  </si>
  <si>
    <t xml:space="preserve">PR-083</t>
  </si>
  <si>
    <t xml:space="preserve">Provide MDM coverage report for corporate and BYOD devices with encryption enforced. (MDM console report showing ≥99% corporate mobile enrollment | Device encryption enforcement policy configuration | Remote wipe test confirmation and BYOD enrollment policy)</t>
  </si>
  <si>
    <t xml:space="preserve">Intune device compliance report</t>
  </si>
  <si>
    <t xml:space="preserve">PR-084</t>
  </si>
  <si>
    <t xml:space="preserve">Provide network zone architecture diagrams and firewall rule evidence showing zone separation. (Network zone diagram showing Corporate, DMZ, Production, and Guest segments | Firewall policy confirming inter-zone access controls | Annual network segmentation validation test report)</t>
  </si>
  <si>
    <t xml:space="preserve">FortiGate interface and VLAN configuration export</t>
  </si>
  <si>
    <t xml:space="preserve">PR-085</t>
  </si>
  <si>
    <t xml:space="preserve">Provide microsegmentation policy configuration for cloud and data centre workloads. (Cloud security group or firewall policy showing workload-level segmentation | East-west traffic policy configuration denying lateral movement by default | Microsegmentation coverage report across cloud and DC environments)</t>
  </si>
  <si>
    <t xml:space="preserve">AWS security group export showing 7 open administrative rules</t>
  </si>
  <si>
    <t xml:space="preserve">PR-086</t>
  </si>
  <si>
    <t xml:space="preserve">Provide annual segmentation test results confirming CDE isolation from out-of-scope networks. (QSA-signed or internal segmentation test report for PCI DSS CDE | Penetration test results confirming CDE isolation | Network diagram with scope boundary clearly delineated and validated)</t>
  </si>
  <si>
    <t xml:space="preserve">PR-087</t>
  </si>
  <si>
    <t xml:space="preserve">Provide NGFW deployment evidence and firewall rule review documentation. (NGFW configuration showing application-layer inspection enabled | Firewall rule review report from last 12 months | Rule optimisation log showing unauthorised or unused rules removed)</t>
  </si>
  <si>
    <t xml:space="preserve">FortiGate rule base export, 214 rules, 38 with no comment</t>
  </si>
  <si>
    <t xml:space="preserve">PR-088</t>
  </si>
  <si>
    <t xml:space="preserve">Provide WAF deployment evidence in blocking mode covering all internet-facing applications. (WAF configuration showing blocking mode active for all internet-facing URLs | OWASP Top 10 rule set activation evidence | WAF alert log from last 30 days showing detected and blocked events)</t>
  </si>
  <si>
    <t xml:space="preserve">Cloudflare WAF configuration showing detection-only mode</t>
  </si>
  <si>
    <t xml:space="preserve">PR-089</t>
  </si>
  <si>
    <t xml:space="preserve">Provide ZTNA deployment evidence showing VPN phase-out or restriction. (ZTNA platform deployment report showing user coverage and application policy | Identity-aware access policy configuration | VPN deprecation plan or configuration showing ZTNA as primary remote access method)</t>
  </si>
  <si>
    <t xml:space="preserve">FortiGate VPN configuration</t>
  </si>
  <si>
    <t xml:space="preserve">PR-090</t>
  </si>
  <si>
    <t xml:space="preserve">Provide SASE framework adoption evidence or active roadmap with SWG/CASB/ZTNA integration. (SASE platform configuration showing SWG, CASB, and ZTNA components integrated | SASE architecture diagram | SASE roadmap with target state, milestones, and board approval)</t>
  </si>
  <si>
    <t xml:space="preserve">PR-091</t>
  </si>
  <si>
    <t xml:space="preserve">Provide protective DNS deployment evidence for all users on and off network. (Protective DNS service configuration (e.g. NCSC PDNS, Cisco Umbrella) showing all users covered | DNSSEC configuration for owned domains | DNS-based block log showing malicious domain blocking events)</t>
  </si>
  <si>
    <t xml:space="preserve">FortiGate DNS configuration</t>
  </si>
  <si>
    <t xml:space="preserve">PR-092</t>
  </si>
  <si>
    <t xml:space="preserve">Provide outbound traffic filtering configuration showing default-deny with allowlist enforcement. (Web proxy or NGFW egress policy showing allowlist-based outbound filtering | Unknown or blocked destination alert log | DNS exfiltration detection rule configuration and alert evidence)</t>
  </si>
  <si>
    <t xml:space="preserve">Security group and firewall egress rules showing any-any</t>
  </si>
  <si>
    <t xml:space="preserve">PR-093</t>
  </si>
  <si>
    <t xml:space="preserve">Provide IPS deployment evidence showing inline placement at internet boundary and key internal segments. (IPS configuration showing inline deployment at perimeter and critical segments | Signature and behavioural detection rule base version | IPS alert log showing detected and blocked intrusion attempts from last 30 days)</t>
  </si>
  <si>
    <t xml:space="preserve">FortiGate IPS profile configuration and alert counts</t>
  </si>
  <si>
    <t xml:space="preserve">PR-094</t>
  </si>
  <si>
    <t xml:space="preserve">Provide evidence that all remote admin access goes through jump server or PAM with MFA. (PAM or jump server access log showing all admin sessions | Configuration evidence showing direct RDP/SSH blocked from internet | MFA enforcement evidence for all remote administration sessions)</t>
  </si>
  <si>
    <t xml:space="preserve">Firewall rules permitting RDP from the VPN pool</t>
  </si>
  <si>
    <t xml:space="preserve">PR-095</t>
  </si>
  <si>
    <t xml:space="preserve">Provide WPA3 or WPA2-Enterprise configuration evidence and rogue AP detection reports. (WLAN controller configuration showing WPA3 or WPA2-Enterprise enforcement | Guest network isolation configuration | Rogue AP detection report from wireless security tool from last 30 days)</t>
  </si>
  <si>
    <t xml:space="preserve">Wireless controller configuration export</t>
  </si>
  <si>
    <t xml:space="preserve">PR-096</t>
  </si>
  <si>
    <t xml:space="preserve">Provide IT/OT boundary firewall configuration and unidirectional gateway evidence for critical OT. (IT/OT boundary firewall policy configuration | Unidirectional gateway (data diode) deployment confirmation | OT remote access policy and session log showing controlled access)</t>
  </si>
  <si>
    <t xml:space="preserve">PR-097</t>
  </si>
  <si>
    <t xml:space="preserve">Provide evidence that security requirements are defined at design phase for all development projects. (Security requirements template used in project initiation documentation | Threat modelling output for a named application | CISO or security review sign-off for a high-risk feature in last 6 months)</t>
  </si>
  <si>
    <t xml:space="preserve">Jira epic templates</t>
  </si>
  <si>
    <t xml:space="preserve">PR-098</t>
  </si>
  <si>
    <t xml:space="preserve">Provide SAST scan results integrated in CI/CD pipeline with critical finding gate evidence. (SAST scan report from CI/CD pipeline showing critical/high findings blocking merge | SAST tool configuration in CI/CD pipeline | False-positive management log and trend report showing finding reduction over time)</t>
  </si>
  <si>
    <t xml:space="preserve">GitHub code scanning alerts</t>
  </si>
  <si>
    <t xml:space="preserve">PR-099</t>
  </si>
  <si>
    <t xml:space="preserve">Provide SCA scan results from CI/CD with critical OSS CVE blocking evidence. (SCA scan report from CI/CD pipeline showing critical CVE blocking build | SBOM generation in CI/CD pipeline configuration | Licence violation flag log showing policy-compliant OSS usage)</t>
  </si>
  <si>
    <t xml:space="preserve">Dependabot alert history</t>
  </si>
  <si>
    <t xml:space="preserve">PR-100</t>
  </si>
  <si>
    <t xml:space="preserve">Provide DAST scan results for internet-facing applications pre-release and on schedule. (DAST scan report for a named production release | Scheduled DAST quarterly scan report | Critical finding remediation evidence before release gate sign-off)</t>
  </si>
  <si>
    <t xml:space="preserve">PR-101</t>
  </si>
  <si>
    <t xml:space="preserve">Provide evidence of named security approval for production releases meeting risk threshold. (Release security sign-off record with security approver name and date | Release management checklist showing security gate | Change management record showing security approval as mandatory step for risk-threshold releases)</t>
  </si>
  <si>
    <t xml:space="preserve">GitHub Actions release workflow</t>
  </si>
  <si>
    <t xml:space="preserve">PR-102</t>
  </si>
  <si>
    <t xml:space="preserve">Provide API inventory and gateway enforcement evidence showing authentication, rate limiting, and schema validation. (API inventory register with risk classification | API gateway configuration showing OAuth/authentication and rate limiting enforced | API security scan report (OWASP API Top 10) for public APIs)</t>
  </si>
  <si>
    <t xml:space="preserve">Pentest report finding 4.2</t>
  </si>
  <si>
    <t xml:space="preserve">PR-103</t>
  </si>
  <si>
    <t xml:space="preserve">Provide container image scan results showing critical CVE blocking in CI/CD. (Container image scan report from CI/CD showing critical vulnerabilities blocking deployment | Image signing configuration evidence | Approved base image register with version control)</t>
  </si>
  <si>
    <t xml:space="preserve">GitHub Actions build workflow</t>
  </si>
  <si>
    <t xml:space="preserve">PR-104</t>
  </si>
  <si>
    <t xml:space="preserve">Provide runtime container security monitoring evidence showing anomalous behaviour detection. (Runtime protection tool deployment report covering all container workloads | Privilege escalation detection alert configuration | Read-only filesystem enforcement configuration in container orchestration policies)</t>
  </si>
  <si>
    <t xml:space="preserve">PR-105</t>
  </si>
  <si>
    <t xml:space="preserve">Provide repository scanning evidence showing zero secrets in code with automated pre-commit hooks. (Repository secrets scanning tool output showing zero exposed secrets | Pre-commit hook configuration blocking secret commit | Exposed secrets incident response log showing rotation within 4h of detection)</t>
  </si>
  <si>
    <t xml:space="preserve">Pentest report finding 2.1 and the subsequent rotation ticket</t>
  </si>
  <si>
    <t xml:space="preserve">PR-106</t>
  </si>
  <si>
    <t xml:space="preserve">Provide CSP header configuration and SRI implementation evidence for all payment pages. (CSP header configuration showing script allowlist enforcement | SRI hash implementation for all third-party scripts | Payment page change detection alert configuration and sample alert)</t>
  </si>
  <si>
    <t xml:space="preserve">Checkout page source review</t>
  </si>
  <si>
    <t xml:space="preserve">PR-107</t>
  </si>
  <si>
    <t xml:space="preserve">Provide signed commit enforcement and SLSA provenance attestation evidence. (Signed commit policy configuration in source control platform | SLSA Level 2+ provenance attestation for a named build | Dependency pinning policy and build reproducibility confirmation)</t>
  </si>
  <si>
    <t xml:space="preserve">PR-108</t>
  </si>
  <si>
    <t xml:space="preserve">Provide threat modelling outputs for at least two applications with findings tracked to closure. (Threat model document (STRIDE/PASTA methodology) for a named application | Threat modelling finding tracker showing risk treatment | SDLC process showing threat modelling as mandatory design-phase activity)</t>
  </si>
  <si>
    <t xml:space="preserve">PR-109</t>
  </si>
  <si>
    <t xml:space="preserve">Provide CSPM deployment evidence showing ≥90% CIS benchmark compliance across all CSPs. (CSPM tool report showing benchmark compliance percentage across all CSPs | Critical misconfiguration auto-remediation log | CSPM coverage report confirming all cloud accounts/subscriptions onboarded)</t>
  </si>
  <si>
    <t xml:space="preserve">PR-110</t>
  </si>
  <si>
    <t xml:space="preserve">Provide CIEM scan results showing unused permissions revoked and privilege escalation paths identified. (CIEM tool report showing over-privileged identities and remediation actions | Unused permission auto-revocation log | Privilege escalation path detection report with remediation evidence)</t>
  </si>
  <si>
    <t xml:space="preserve">IAM policy export showing 4 roles with Action:*</t>
  </si>
  <si>
    <t xml:space="preserve">PR-111</t>
  </si>
  <si>
    <t xml:space="preserve">Provide the shared responsibility matrix for each CSP with coverage gap analysis. (Shared responsibility matrix document per CSP (AWS/Azure/GCP) | Gap analysis identifying customer-owned vs CSP-owned security layers | Named owner assignment for each customer-responsible security layer)</t>
  </si>
  <si>
    <t xml:space="preserve">Bank questionnaire responses (Oct 2025)</t>
  </si>
  <si>
    <t xml:space="preserve">PR-112</t>
  </si>
  <si>
    <t xml:space="preserve">Provide native CSP security service configuration evidence and findings actioned. (AWS Security Hub or Azure Defender or GCP Security Command Centre activation and configuration | Native security finding resolution log | CIS cloud benchmark scan report from native CSP tool)</t>
  </si>
  <si>
    <t xml:space="preserve">AWS CloudTrail and GuardDuty configuration, single region</t>
  </si>
  <si>
    <t xml:space="preserve">PR-113</t>
  </si>
  <si>
    <t xml:space="preserve">Provide cloud KMS deployment evidence with customer-managed keys and automated rotation. (Cloud KMS configuration showing customer-managed keys for sensitive workloads | HSM-backed key configuration for critical cryptography | Key rotation automation log confirming scheduled rotation compliance)</t>
  </si>
  <si>
    <t xml:space="preserve">KMS key listing</t>
  </si>
  <si>
    <t xml:space="preserve">PR-114</t>
  </si>
  <si>
    <t xml:space="preserve">Provide the current FedRAMP ATO and continuous monitoring programme evidence. (FedRAMP ATO letter dated within 12 months | 3PAO assessment report | Continuous monitoring (ConMon) monthly report showing security posture)</t>
  </si>
  <si>
    <t xml:space="preserve">PR-115</t>
  </si>
  <si>
    <t xml:space="preserve">Provide cloud region policy configuration showing data remains in approved geographic regions. (Cloud region policy configuration preventing cross-region replication to unapproved locations | Data location audit confirming residency compliance | CSP compliance report confirming data residency requirements met)</t>
  </si>
  <si>
    <t xml:space="preserve">AWS region configuration; no policy artefact. Tier 3</t>
  </si>
  <si>
    <t xml:space="preserve">PR-116</t>
  </si>
  <si>
    <t xml:space="preserve">Provide CASB deployment evidence covering all sanctioned SaaS with DLP and session controls. (CASB platform deployment report showing sanctioned SaaS coverage | Shadow IT detection report with risk classification | CASB DLP policy enforcement and session control configuration evidence)</t>
  </si>
  <si>
    <t xml:space="preserve">PR-117</t>
  </si>
  <si>
    <t xml:space="preserve">Provide IaC policy enforcement evidence and configuration drift detection logs. (Terraform/CloudFormation policy-as-code configuration showing guardrails enforced | Drift detection alert log from CSPM tool | Auto-remediation job log showing non-compliant config corrected within 15 minutes)</t>
  </si>
  <si>
    <t xml:space="preserve">Terraform plan output showing 30+ unmanaged changes</t>
  </si>
  <si>
    <t xml:space="preserve">PR-118</t>
  </si>
  <si>
    <t xml:space="preserve">Provide CIS Kubernetes benchmark scan results and network policy enforcement evidence. (CIS Kubernetes benchmark scan report showing hardening compliance | Network policy configuration showing workload-to-workload isolation | RBAC policy configuration showing least-privilege role assignments)</t>
  </si>
  <si>
    <t xml:space="preserve">EKS cluster configuration</t>
  </si>
  <si>
    <t xml:space="preserve">PR-119</t>
  </si>
  <si>
    <t xml:space="preserve">Provide CWPP deployment evidence covering all workload types with runtime monitoring active. (CWPP deployment report covering VMs, containers, and serverless functions | Runtime anomaly detection alert log | Serverless function monitoring configuration and alert evidence)</t>
  </si>
  <si>
    <t xml:space="preserve">PR-120</t>
  </si>
  <si>
    <t xml:space="preserve">Provide evidence of input validation and system prompt hardening on LLM interfaces. (Input validation configuration for LLM APIs showing sanitisation rules | System prompt hardening documentation for production AI interfaces | Prompt injection detection alert log from AI security monitoring tool)</t>
  </si>
  <si>
    <t xml:space="preserve">PR-121</t>
  </si>
  <si>
    <t xml:space="preserve">Provide RBAC configuration and access audit log for all AI model APIs. (RBAC policy configuration showing role-based access to AI model endpoints | API access audit log showing authenticated access only | Anonymous access test confirming all model APIs require authentication)</t>
  </si>
  <si>
    <t xml:space="preserve">PR-122</t>
  </si>
  <si>
    <t xml:space="preserve">Provide output filtering configuration and harmful content detection evidence for public-facing AI. (AI output filtering policy configuration for public-facing interfaces | Harmful content detection alert log | Sensitive data detection in AI output log showing PII/confidential data blocked)</t>
  </si>
  <si>
    <t xml:space="preserve">PR-123</t>
  </si>
  <si>
    <t xml:space="preserve">Provide adversarial testing report for high-risk AI systems including injection and extraction tests. (Adversarial AI testing report for named high-risk AI system | Red team AI attack scenario results | Model hardening backlog items linked to adversarial test findings)</t>
  </si>
  <si>
    <t xml:space="preserve">PR-124</t>
  </si>
  <si>
    <t xml:space="preserve">Provide physical access control log and quarterly review evidence. (Access control system log from last 30 days showing entry/exit events | Quarterly access rights review for physical access | CCTV coverage confirmation for all facility entry points)</t>
  </si>
  <si>
    <t xml:space="preserve">Badge system access list cross-checked against HR leavers</t>
  </si>
  <si>
    <t xml:space="preserve">PR-125</t>
  </si>
  <si>
    <t xml:space="preserve">Provide evidence of policy enforcement and spot-check compliance results. (Clean desk policy document with enforcement mechanism | Monthly spot-check compliance report | Screen lock configuration evidence showing auto-lock within 5 minutes)</t>
  </si>
  <si>
    <t xml:space="preserve">Intune configuration profile plus fieldwork observation notes</t>
  </si>
  <si>
    <t xml:space="preserve">PR-126</t>
  </si>
  <si>
    <t xml:space="preserve">Provide training completion report showing ≥95% completion for all staff. (LMS training completion report showing ≥95% completion rate for annual security awareness | Training content scope confirming phishing, social engineering, and regulatory content | Non-completion escalation log showing follow-up actions)</t>
  </si>
  <si>
    <t xml:space="preserve">HR onboarding records</t>
  </si>
  <si>
    <t xml:space="preserve">PR-127</t>
  </si>
  <si>
    <t xml:space="preserve">Provide role-specific training completion records for developer, finance, admin, and board roles. (Developer security training completion certificates or LMS records | Board cyber briefing attendance record | Admin privileged use training completion records)</t>
  </si>
  <si>
    <t xml:space="preserve">PR-128</t>
  </si>
  <si>
    <t xml:space="preserve">Provide monthly phishing simulation results with click rate trend and repeat-clicker remediation. (Phishing simulation platform report showing monthly simulation results and click rate | Click rate trend analysis over last 6 months | Targeted re-training completion records for employees who failed simulations)</t>
  </si>
  <si>
    <t xml:space="preserve">PR-129</t>
  </si>
  <si>
    <t xml:space="preserve">Provide AI security training completion records for all staff with advanced training for high-risk roles. (LMS AI security training completion report for all staff | Advanced AI security training records for high-risk roles | Training content scope showing prompt injection, deepfakes, and AI data hygiene topics)</t>
  </si>
  <si>
    <t xml:space="preserve">None. Usage confirmed by interview across three departments</t>
  </si>
  <si>
    <t xml:space="preserve">PR-130</t>
  </si>
  <si>
    <t xml:space="preserve">Provide the DSAR workflow evidence and SLA compliance report. (DSAR intake and fulfilment workflow documentation | DSAR fulfilment SLA compliance report showing ≥99% within GDPR 30-day or CCPA 45-day timeline | Sample anonymised DSAR ticket showing end-to-end fulfilment with timestamps)</t>
  </si>
  <si>
    <t xml:space="preserve">Two requests handled by email in 2026, no register</t>
  </si>
  <si>
    <t xml:space="preserve">PR-131</t>
  </si>
  <si>
    <t xml:space="preserve">Provide the background screening policy and completion evidence for recent hires. (Background screening policy showing required checks per role type | Screening completion certificate for a sample of recent hires | Enhanced screening confirmation for privileged/sensitive role hires)</t>
  </si>
  <si>
    <t xml:space="preserve">HR screening records, sample of 12</t>
  </si>
  <si>
    <t xml:space="preserve">PR-132</t>
  </si>
  <si>
    <t xml:space="preserve">Provide evidence that products ship with security-hardened default configurations. (Product default configuration specification showing secure defaults | CIS benchmark application to product defaults | Security hardening guide published to customers or internal teams)</t>
  </si>
  <si>
    <t xml:space="preserve">Merchant onboarding default configuration</t>
  </si>
  <si>
    <t xml:space="preserve">PR-133</t>
  </si>
  <si>
    <t xml:space="preserve">Provide evidence that NIS2 Art.21 supply chain security measures are applied to all critical suppliers. (Supply chain security measures policy referencing NIS2 Art.21 requirements | Critical supplier security assessments including NIS2-specific questions | CISO sign-off confirming NIS2 supply chain obligations met for all critical suppliers)</t>
  </si>
  <si>
    <t xml:space="preserve">DE-134</t>
  </si>
  <si>
    <t xml:space="preserve">DE</t>
  </si>
  <si>
    <t xml:space="preserve">Provide SIEM coverage report confirming ≥95% of critical assets are ingesting logs. (SIEM source inventory report showing log sources by asset type and coverage percentage | Asset-to-SIEM onboarding log confirming new assets enrolled within 24h | Weekly coverage gap report with remediation actions)</t>
  </si>
  <si>
    <t xml:space="preserve">DE-135</t>
  </si>
  <si>
    <t xml:space="preserve">Provide the active detection use case library with MITRE ATT&amp;CK coverage mapping. (SIEM use case catalogue listing ≥50 active detection rules | MITRE ATT&amp;CK coverage heatmap showing ≥70% tactic coverage | Quarterly use case gap assessment report)</t>
  </si>
  <si>
    <t xml:space="preserve">DE-136</t>
  </si>
  <si>
    <t xml:space="preserve">Provide log forwarding configuration showing immutable storage within 1 hour and tamper detection active. (SIEM forwarding configuration showing write-once/WORM storage for log archive | Tamper detection rule configuration and alert evidence | Log retention compliance report confirming ≥12 month retention)</t>
  </si>
  <si>
    <t xml:space="preserve">CloudTrail configuration</t>
  </si>
  <si>
    <t xml:space="preserve">DE-137</t>
  </si>
  <si>
    <t xml:space="preserve">Provide compliance-specific SIEM use cases mapped to each applicable regulation. (PCI DSS, HIPAA, SOX, or GDPR compliance monitoring use case list in SIEM | Compliance use case coverage report | Automated compliance evidence generation configuration showing audit-ready output)</t>
  </si>
  <si>
    <t xml:space="preserve">DE-138</t>
  </si>
  <si>
    <t xml:space="preserve">Provide log retention schedule and archival retrieval test evidence. (Log retention policy showing retention periods per log type meeting highest applicable requirement | Automated archival configuration evidence | Log retrieval test confirming recovery within 48h for archived logs)</t>
  </si>
  <si>
    <t xml:space="preserve">Platform retention settings export</t>
  </si>
  <si>
    <t xml:space="preserve">DE-139</t>
  </si>
  <si>
    <t xml:space="preserve">Provide the monthly telemetry gap analysis report and new asset onboarding log. (Monthly telemetry coverage gap analysis report | New asset auto-onboarding log confirming logging within 24h | Uncovered asset register with remediation timelines)</t>
  </si>
  <si>
    <t xml:space="preserve">DE-140</t>
  </si>
  <si>
    <t xml:space="preserve">Provide detection pipeline health dashboard evidence and broken rule alert log. (Detection pipeline health dashboard screenshot | Broken/silenced rule alert log from last 30 days | Weekly health review meeting minutes or report confirming pipeline operational)</t>
  </si>
  <si>
    <t xml:space="preserve">DE-141</t>
  </si>
  <si>
    <t xml:space="preserve">Provide SOC coverage hours confirmation and P1 alert response SLA compliance evidence. (SOC coverage schedule confirming 24/7 or risk-aligned hours | P1 alert-to-response SLA compliance report | SOC investigation runbook library with approval dates)</t>
  </si>
  <si>
    <t xml:space="preserve">Sophos alert console</t>
  </si>
  <si>
    <t xml:space="preserve">DE-142</t>
  </si>
  <si>
    <t xml:space="preserve">Provide the NIS2 incident classification criteria and 24-hour early warning capability evidence. (NIS2 significant incident classification criteria document with multi-criteria thresholds | 24-hour early warning workflow configuration | Tabletop exercise result confirming classification logic tested)</t>
  </si>
  <si>
    <t xml:space="preserve">DE-143</t>
  </si>
  <si>
    <t xml:space="preserve">Provide the DORA major incident classification criteria with automated threshold monitoring. (DORA major incident classification threshold document with quantitative criteria | Automated monitoring rule configuration for DORA thresholds | 4-hour initial report template pre-approved and ready for submission)</t>
  </si>
  <si>
    <t xml:space="preserve">DE-144</t>
  </si>
  <si>
    <t xml:space="preserve">Provide evidence of TI feeds integrated with SIEM and IOC blocking automated. (TI feed configuration in SIEM showing commercial and ISAC feeds active | IOC auto-blocking rule configuration | TI-driven detection use case development log from last 90 days)</t>
  </si>
  <si>
    <t xml:space="preserve">DE-145</t>
  </si>
  <si>
    <t xml:space="preserve">Provide UEBA deployment evidence with baseline established and anomaly scoring active. (UEBA tool deployment report showing user and entity coverage | Baseline establishment confirmation dated at least 30 days post-deployment | UEBA alert log from last 30 days showing behavioural anomaly detections)</t>
  </si>
  <si>
    <t xml:space="preserve">DE-146</t>
  </si>
  <si>
    <t xml:space="preserve">Provide NDR deployment evidence covering internal network with C2 and lateral movement detection. (NDR deployment report showing internal network coverage | C2 detection rule configuration | East-west traffic monitoring alert log from last 30 days)</t>
  </si>
  <si>
    <t xml:space="preserve">DE-147</t>
  </si>
  <si>
    <t xml:space="preserve">Provide cloud detection coverage across all CSPs with control plane logging active. (Cloud detection tool (e.g. Lacework, Prisma Cloud) deployment report across all CSPs | Control plane logging activation confirmation (CloudTrail, Azure Monitor, GCP Cloud Audit Logs) | Cloud detection alert log from last 30 days showing account takeover or exfiltration detection)</t>
  </si>
  <si>
    <t xml:space="preserve">GuardDuty findings console</t>
  </si>
  <si>
    <t xml:space="preserve">DE-148</t>
  </si>
  <si>
    <t xml:space="preserve">Provide privacy-specific SIEM use cases and DLP alert integration evidence. (Privacy detection use case list in SIEM (bulk export, unauthorised access to PII) | DLP alert integration in SIEM showing privacy events | Privacy incident trigger log from last 90 days)</t>
  </si>
  <si>
    <t xml:space="preserve">DE-149</t>
  </si>
  <si>
    <t xml:space="preserve">Provide evidence of all in-scope financial systems monitored for change and access. (SOX-scope financial system monitoring rule configuration in SIEM | Privileged access change detection alert log | Immutable log storage confirmation for financial system audit trails)</t>
  </si>
  <si>
    <t xml:space="preserve">DE-150</t>
  </si>
  <si>
    <t xml:space="preserve">Provide dark web monitoring service output with credential breach and exposed code alerts. (Dark web monitoring service report covering organisation domains and executive identities | Credential breach alert log with response actions | Exposed code or data alert from dark web monitoring from last 90 days)</t>
  </si>
  <si>
    <t xml:space="preserve">DE-151</t>
  </si>
  <si>
    <t xml:space="preserve">Provide SIEM use cases for AI-specific threats and prompt injection detection evidence. (AI threat detection use case list in SIEM | Prompt injection attempt alert log from AI security monitoring | Shadow AI detection alert from CASB or network monitoring tool)</t>
  </si>
  <si>
    <t xml:space="preserve">DE-152</t>
  </si>
  <si>
    <t xml:space="preserve">Provide the most recent purple team exercise report with MITRE ATT&amp;CK coverage and detection gap findings. (Purple team exercise report from last 12 months with MITRE ATT&amp;CK scenarios used | Detection gap analysis mapped to ATT&amp;CK techniques | Detection engineering backlog items created from purple team findings)</t>
  </si>
  <si>
    <t xml:space="preserve">DE-153</t>
  </si>
  <si>
    <t xml:space="preserve">Provide the detection domain KPI report with MTTD, alert volume, false-positive rate, and coverage trends. (Monthly detection metrics report (MTTD, FP rate, coverage %) | Trend analysis over last 6 months | Detection metrics board report from last quarter)</t>
  </si>
  <si>
    <t xml:space="preserve">DE-154</t>
  </si>
  <si>
    <t xml:space="preserve">Provide the operational and board security dashboard screenshots or exports. (CISO operational dashboard showing active threats, alerts, and maturity KPIs | Board security dashboard export from last quarter | Dashboard refresh schedule confirming daily automated update)</t>
  </si>
  <si>
    <t xml:space="preserve">DE-155</t>
  </si>
  <si>
    <t xml:space="preserve">Provide SIEM-integrated vulnerability scan output showing correlated vulnerability and threat data. (Vulnerability scanner SIEM integration configuration | Correlated vulnerability-and-threat detection alert log | Exploited vulnerability prioritisation report combining scan data and threat intelligence)</t>
  </si>
  <si>
    <t xml:space="preserve">Findings tracker spreadsheet</t>
  </si>
  <si>
    <t xml:space="preserve">RS-156</t>
  </si>
  <si>
    <t xml:space="preserve">RS</t>
  </si>
  <si>
    <t xml:space="preserve">Provide the board-approved IRP tested within the last 12 months. (Board-approved IRP document with approval date | NIS2/DORA notification timeline section with pre-approved templates | Most recent IRP tabletop exercise report from last 12 months)</t>
  </si>
  <si>
    <t xml:space="preserve">Draft IRP v0.4 (2024), unapproved</t>
  </si>
  <si>
    <t xml:space="preserve">RS-157</t>
  </si>
  <si>
    <t xml:space="preserve">Provide the evidence preservation procedure and chain of custody log for a recent incident. (Evidence preservation procedure document | Forensic imaging capability confirmation | Chain-of-custody log from a recent incident or exercise)</t>
  </si>
  <si>
    <t xml:space="preserve">BEC incident ticket showing remediation before collection</t>
  </si>
  <si>
    <t xml:space="preserve">RS-158</t>
  </si>
  <si>
    <t xml:space="preserve">Provide third-party IR contact register and cloud provider escalation path documentation. (Third-party IR contact register with current phone numbers and email addresses | Cloud provider escalation path documentation (AWS, Azure, GCP) | Law enforcement notification procedure document with contact details)</t>
  </si>
  <si>
    <t xml:space="preserve">RS-159</t>
  </si>
  <si>
    <t xml:space="preserve">Provide the cyber insurance notification process documentation. (Insurer notification procedure with contact details and timeline | Pre-breach consultation confirmation from insurer | Panel firm approval records and claim management process documentation)</t>
  </si>
  <si>
    <t xml:space="preserve">Cyber policy schedule 2026</t>
  </si>
  <si>
    <t xml:space="preserve">RS-160</t>
  </si>
  <si>
    <t xml:space="preserve">Provide the ransomware playbook with isolation procedures and ransom payment policy tested in tabletop. (Ransomware response playbook with isolation decision tree | Ransom payment policy document with board approval | Tabletop exercise report using ransomware scenario from last 12 months)</t>
  </si>
  <si>
    <t xml:space="preserve">RS-161</t>
  </si>
  <si>
    <t xml:space="preserve">Provide the personal data breach playbook with GDPR 72-hour notification workflow. (Data breach response playbook with GDPR Art.33 notification decision tree | Pre-drafted 72-hour supervisory authority notification template | Tabletop exercise result showing breach classification and notification workflow tested)</t>
  </si>
  <si>
    <t xml:space="preserve">RS-162</t>
  </si>
  <si>
    <t xml:space="preserve">Provide the BEC playbook covering wire recall, email quarantine, and FBI IC3 engagement. (BEC response playbook with 72-hour wire recall window documented | Bank BEC fraud notification contact procedure | FBI IC3 REACT engagement process documentation)</t>
  </si>
  <si>
    <t xml:space="preserve">Confirmed by interview with Finance Director and two staff</t>
  </si>
  <si>
    <t xml:space="preserve">RS-163</t>
  </si>
  <si>
    <t xml:space="preserve">Provide the cloud-specific IR playbook per CSP with isolation procedures and tested contacts. (Cloud IR playbook for each CSP in use | Cloud workload isolation procedure with test evidence | CSP escalation contact record with most recent contact verification date)</t>
  </si>
  <si>
    <t xml:space="preserve">RS-164</t>
  </si>
  <si>
    <t xml:space="preserve">Provide the NIS2 notification process with pre-approved templates for all three stages. (NIS2 Art.23 notification process document with 24h/72h/1-month stage templates | CSIRT and competent authority contact register | Tabletop exercise result confirming notification process tested against NIS2 timelines)</t>
  </si>
  <si>
    <t xml:space="preserve">RS-165</t>
  </si>
  <si>
    <t xml:space="preserve">Provide the DORA reporting process with 4-hour initial notification capability confirmed. (DORA Art.19 major incident reporting process document | Pre-drafted 4-hour initial report template | EBA/EIOPA/ESMA portal access confirmed and 4-hour notification exercise completed)</t>
  </si>
  <si>
    <t xml:space="preserve">RS-166</t>
  </si>
  <si>
    <t xml:space="preserve">Provide the GDPR breach notification process covering 72-hour supervisory authority notification. (GDPR Art.33 breach notification procedure with 72-hour timeline | Lead DPA identification documentation for cross-border incidents | Data subject communication template and DPIA-as-notification decision tree)</t>
  </si>
  <si>
    <t xml:space="preserve">RS-167</t>
  </si>
  <si>
    <t xml:space="preserve">Provide the breach materiality decision tree covering all applicable regulations with ≤4-hour assessment target. (Breach materiality decision tree document covering GDPR/NIS2/DORA/HIPAA/PCI | 4-hour materiality assessment SLA definition | Legal review sign-off on decision tree logic)</t>
  </si>
  <si>
    <t xml:space="preserve">RS-168</t>
  </si>
  <si>
    <t xml:space="preserve">Provide the most recent technical tabletop exercise report with findings tracked to IRP updates. (Technical tabletop exercise report from last 12 months | Attendee list confirming SOC, IT, Legal, and CISO participation | IRP update evidence from tabletop findings within 30 days)</t>
  </si>
  <si>
    <t xml:space="preserve">RS-169</t>
  </si>
  <si>
    <t xml:space="preserve">Provide the executive tabletop exercise report with board-level scenario tested. (Executive tabletop exercise report from last 12 months | Board attendee confirmation record | Crisis communications and regulatory decision-making scenario outcome documentation)</t>
  </si>
  <si>
    <t xml:space="preserve">RS-170</t>
  </si>
  <si>
    <t xml:space="preserve">Provide the post-incident review report from a recent incident with root cause and improvement actions tracked. (PIR report completed within 14 days of a P1/P2 incident | Root cause analysis with five-whys or equivalent methodology | Control improvement tracking log showing PIR actions resolved)</t>
  </si>
  <si>
    <t xml:space="preserve">MFA rollout project record as the surviving output</t>
  </si>
  <si>
    <t xml:space="preserve">RS-171</t>
  </si>
  <si>
    <t xml:space="preserve">Provide the regulatory investigation response process and outside counsel engagement evidence. (Regulatory investigation response process document | Outside counsel retainer confirming cyber/regulatory investigative capability | Evidence preservation on receipt of regulatory inquiry procedure)</t>
  </si>
  <si>
    <t xml:space="preserve">RC-172</t>
  </si>
  <si>
    <t xml:space="preserve">RC</t>
  </si>
  <si>
    <t xml:space="preserve">Provide the board-approved BCP covering all critical services with RTO/RPO assigned. (Board-approved BCP document with approval date | Critical service listing with RTO/RPO assignments | BCP review evidence dated within 12 months)</t>
  </si>
  <si>
    <t xml:space="preserve">BCP document v1.0 (2019)</t>
  </si>
  <si>
    <t xml:space="preserve">RC-173</t>
  </si>
  <si>
    <t xml:space="preserve">Provide the DRP with system-level recovery procedures linked to BCP. (DRP document with technical recovery runbooks for all critical systems | BCP-DRP linkage document showing alignment | DRP review evidence dated within 12 months)</t>
  </si>
  <si>
    <t xml:space="preserve">AWS af-south-1 resource listing</t>
  </si>
  <si>
    <t xml:space="preserve">RC-174</t>
  </si>
  <si>
    <t xml:space="preserve">Provide live RTO test results showing actual vs target for all critical systems. (Annual RTO test report showing actual recovery time vs target for each critical system | RTO achievement rate trend | RTO failure exception report with remediation actions)</t>
  </si>
  <si>
    <t xml:space="preserve">RC-175</t>
  </si>
  <si>
    <t xml:space="preserve">Provide RPO validation evidence from actual restoration testing showing data loss within objective. (Annual RPO validation test confirming maximum data loss measured | CDP (Continuous Data Protection) confirmation for Tier 1 systems | RPO variance report showing gap from target with remediation actions)</t>
  </si>
  <si>
    <t xml:space="preserve">Veeam job schedule</t>
  </si>
  <si>
    <t xml:space="preserve">RC-176</t>
  </si>
  <si>
    <t xml:space="preserve">Provide the crisis communications plan for business continuity events with stakeholder templates. (Crisis communications plan document for non-cyber disruption events | Stakeholder communication tree with contact details | Quarterly review sign-off confirming plan is current)</t>
  </si>
  <si>
    <t xml:space="preserve">RC-177</t>
  </si>
  <si>
    <t xml:space="preserve">Provide annual full failover test results with RTO/RPO achievement documented per system. (Annual full failover test report for each Tier 1 system | RTO/RPO achievement record | Post-failover validation checklist confirming all services restored)</t>
  </si>
  <si>
    <t xml:space="preserve">RC-178</t>
  </si>
  <si>
    <t xml:space="preserve">Provide the DORA TLPT completion evidence with scope approved by competent authority. (DORA Art.26 TLPT completion certificate or regulatory confirmation | Competent authority-approved scope document | TLPT findings remediation evidence confirming material findings addressed)</t>
  </si>
  <si>
    <t xml:space="preserve">RC-179</t>
  </si>
  <si>
    <t xml:space="preserve">Provide the post-recovery security control validation checklist with CISO sign-off. (Post-recovery validation checklist covering encryption, MFA, EDR, and SIEM | CISO sign-off confirming security controls operational before business resumption | Post-recovery validation test result from last recovery exercise)</t>
  </si>
  <si>
    <t xml:space="preserve">RC-180</t>
  </si>
  <si>
    <t xml:space="preserve">Provide the privacy system recovery prioritisation and GDPR compliance verification procedure. (Privacy system priority listing in DRP with recovery sequence | GDPR processing control verification procedure for post-recovery | DPO sign-off process before GDPR processing operations resumed)</t>
  </si>
  <si>
    <t xml:space="preserve">RC-181</t>
  </si>
  <si>
    <t xml:space="preserve">Provide AI model integrity check procedure and post-recovery validation test evidence. (AI model integrity check procedure using cryptographic hash verification | Hash verification test result from last recovery or test | AI output validation test confirming model behaviour within expected parameters post-recovery)</t>
  </si>
  <si>
    <t xml:space="preserve">RC-182</t>
  </si>
  <si>
    <t xml:space="preserve">Provide the CDE recovery checklist and PCI compliance re-validation procedure. (CDE recovery checklist covering all PCI DSS security controls | Compliance re-validation procedure before card processing resumed | QSA notification procedure for major CDE incidents)</t>
  </si>
  <si>
    <t xml:space="preserve">RC-183</t>
  </si>
  <si>
    <t xml:space="preserve">Provide tabletop and simulation test results with executive participation and plan update evidence. (Annual tabletop exercise report with date and attendee list | Bi-annual simulation exercise report | BCP/DRP update evidence from exercise findings within 30 days)</t>
  </si>
  <si>
    <t xml:space="preserve">RC-184</t>
  </si>
  <si>
    <t xml:space="preserve">Provide the lessons-learned process output from DR tests and major incidents with BCP updated. (Lessons-learned register from DR tests and incidents | BCP/DRP update record showing incorporation of lessons within 30 days | Trend analysis report showing common failure modes and programme improvements)</t>
  </si>
  <si>
    <t xml:space="preserve">RC-185</t>
  </si>
  <si>
    <t xml:space="preserve">Provide end-to-end business service recovery test results with stakeholder sign-off. (Business service recovery test report confirming end-to-end service restoration | Integration dependency verification evidence | Business owner sign-off confirming service operationally restored to acceptable state)</t>
  </si>
  <si>
    <t xml:space="preserve">RC-186</t>
  </si>
  <si>
    <t xml:space="preserve">Provide longitudinal RTO/RPO achievement tracking with trend analysis and board reporting. (RTO/RPO achievement tracking dashboard covering all tests and real incidents | Trend analysis over last 12 months | Board resilience performance report from last quarter)</t>
  </si>
  <si>
    <t xml:space="preserve">RC-187</t>
  </si>
  <si>
    <t xml:space="preserve">Provide OT manual fallback procedures and production safety validation evidence in BCP. (OT manual fallback procedures for production operations | OT continuity section of BCP covering safety system independence | OT staff training completion records for manual fallback procedures)</t>
  </si>
  <si>
    <t xml:space="preserve">RC-188</t>
  </si>
  <si>
    <t xml:space="preserve">Provide annual resilience assessment results for top-10 critical suppliers with RTO requirements confirmed. (Annual supplier resilience assessment report for named critical suppliers | RTO requirements in supplier contracts | Audit rights exercise evidence or supplier DR test results)</t>
  </si>
  <si>
    <t xml:space="preserve">📋  EVIDENCE TIER GUIDANCE — NS-CMMF v1.0  |  How to Select and Use the Evidence Tier Column</t>
  </si>
  <si>
    <t xml:space="preserve">The Evidence Tier classifies the quality and independence of the evidence you hold for each control. It is one of the most important fields in this register because it directly affects your maturity scores — the NS-CMMF 5-axis model applies a score reduction or hard ceiling based on the tier selected. Select the highest tier that the evidence you actually have in hand supports, not the tier you intend to achieve.</t>
  </si>
  <si>
    <t xml:space="preserve">EVIDENCE TIER DEFINITIONS — Select the matching tier in Column K for each evidence artefact</t>
  </si>
  <si>
    <t xml:space="preserve">Tier</t>
  </si>
  <si>
    <t xml:space="preserve">Short Label</t>
  </si>
  <si>
    <t xml:space="preserve">Score Impact</t>
  </si>
  <si>
    <t xml:space="preserve">What This Means</t>
  </si>
  <si>
    <t xml:space="preserve">Typical Evidence Examples</t>
  </si>
  <si>
    <t xml:space="preserve">When to Upgrade</t>
  </si>
  <si>
    <t xml:space="preserve">T1</t>
  </si>
  <si>
    <t xml:space="preserve">Full score weight applied</t>
  </si>
  <si>
    <t xml:space="preserve">Evidence produced by a tool or validated by an independent third party. No score reduction. Directly usable in regulatory submissions, M&amp;A due diligence, and board reporting without further qualification.</t>
  </si>
  <si>
    <t xml:space="preserve">ISO 27001 / SOC 2 Type II certificate from accredited body  |  External penetration test from named accredited firm  |  CSPM tool compliance report  |  Third-party vulnerability scan with methodology  |  QSA-signed PCI DSS assessment  |  EDR management console coverage report</t>
  </si>
  <si>
    <t xml:space="preserve">You already hold Tier 1 if the evidence was produced by an independent party or automated tool. Commission external certification or accredited testing to upgrade from Tier 2.</t>
  </si>
  <si>
    <t xml:space="preserve">T2</t>
  </si>
  <si>
    <t xml:space="preserve">Score reduced by 0.3 (all axes)</t>
  </si>
  <si>
    <t xml:space="preserve">Evidence you produced internally or that was reviewed against live configuration during assessment. Credible and usable but not independently validated. Suitable for most governance and compliance purposes, but not as strong as Tier 1 for regulatory defence.</t>
  </si>
  <si>
    <t xml:space="preserve">Policy with observable enforcement evidence  |  Architecture diagram confirmed against configuration by assessor  |  Training records with LMS export  |  Tool screenshots with configuration confirmed live  |  Internal audit report with documented methodology  |  Change management record with approvals</t>
  </si>
  <si>
    <t xml:space="preserve">Commission external certification (ISO 27001, SOC 2) or have an accredited firm validate the evidence to upgrade to Tier 1.</t>
  </si>
  <si>
    <t xml:space="preserve">T3</t>
  </si>
  <si>
    <t xml:space="preserve">Score capped at L2 / Unverified</t>
  </si>
  <si>
    <t xml:space="preserve">The only basis for the control is a verbal description from the security team, IT staff, or management — no documentation or system evidence was produced. Cannot score above L2 regardless of how well the process was described. Regulators and acquirers treat verbal assertions as unverifiable.</t>
  </si>
  <si>
    <t xml:space="preserve">Verbal description of process in stakeholder interview  |  Standard questionnaire response with no attached evidence  |  Email assertion that a control exists  |  Promise to provide documentation that was not received before assessment</t>
  </si>
  <si>
    <t xml:space="preserve">Produce a policy document or procedure (Tier 2) or have the tool output automatically generate evidence (Tier 1). Even a basic written procedure moves this to Tier 2.</t>
  </si>
  <si>
    <t xml:space="preserve">T4</t>
  </si>
  <si>
    <t xml:space="preserve">Score capped at L1.5 / Unverified</t>
  </si>
  <si>
    <t xml:space="preserve">A senior person attested that the control is in place, but nothing below the attestation was available — no documentation, no tool evidence, no interview with the people running the control. The lowest possible evidentiary quality. Not adequate for regulatory submissions, board reliance, or M&amp;A due diligence.</t>
  </si>
  <si>
    <t xml:space="preserve">CISO or CTO sign-off letter asserting controls are in place  |  Board resolution stating security programme exists  |  Self-assessment questionnaire signed by management with no supporting evidence  |  Auditor management representation letter without underlying evidence</t>
  </si>
  <si>
    <t xml:space="preserve">Commission an independent assessment (Tier 1) or produce documentation (Tier 2). Tier 4 is a red flag in regulatory examinations and M&amp;A due diligence — it signals that controls may not exist at all.</t>
  </si>
  <si>
    <t xml:space="preserve">📝  HOW TO USE THIS REGISTER — Step-by-Step Guide</t>
  </si>
  <si>
    <t xml:space="preserve">Step 1</t>
  </si>
  <si>
    <t xml:space="preserve">Review the Evidence Guidance in Column F for each control. It describes what evidence to provide and gives 1–3 specific examples.</t>
  </si>
  <si>
    <t xml:space="preserve">Step 2</t>
  </si>
  <si>
    <t xml:space="preserve">Locate or gather the evidence described. Check whether you have a tool report, policy document, or can only describe it verbally.</t>
  </si>
  <si>
    <t xml:space="preserve">Step 3</t>
  </si>
  <si>
    <t xml:space="preserve">Enter a description of the specific artefact you hold in Column G (Evidence Description), and the document/file name in Column H.</t>
  </si>
  <si>
    <t xml:space="preserve">Step 4</t>
  </si>
  <si>
    <t xml:space="preserve">Select the Evidence Tier in Column K that matches the quality of what you actually have. Do not select the tier you want — select the tier you can evidence today.</t>
  </si>
  <si>
    <t xml:space="preserve">Step 5</t>
  </si>
  <si>
    <t xml:space="preserve">Enter the collection date in Column L. Set an expiry date in Column M — most evidence expires within 12 months; certifications may last 2–3 years.</t>
  </si>
  <si>
    <t xml:space="preserve">Step 6</t>
  </si>
  <si>
    <t xml:space="preserve">Set Status in Column N: ✅ Current (within expiry), ⚠️ Expiring (within 60 days of expiry), 🔴 Expired, 📋 Requested (requested but not yet received), ⬛ N/A (control not applicable).</t>
  </si>
  <si>
    <t xml:space="preserve">Step 7</t>
  </si>
  <si>
    <t xml:space="preserve">Where evidence is Tier 3 or Tier 4, add to your improvement plan to obtain documentation or independent validation. Each tier upgrade improves your maturity score and regulatory defensibility.</t>
  </si>
  <si>
    <t xml:space="preserve">Practical Tip</t>
  </si>
  <si>
    <t xml:space="preserve">Ask yourself: 'If a regulator or acquirer asked me to prove this control works right now, what would I hand them?' That answer determines your tier. If the answer is 'I would describe it verbally' → Tier 3. If 'I'm not sure we can produce anything' → Tier 4. If you would hand them a tool report → Tier 1 or 2.</t>
  </si>
  <si>
    <t xml:space="preserve">⚖️  REGULATORY NOTE:  Tier 1 evidence (automated tool output or independent third-party validation) is the only tier that is unconditionally defensible in regulatory examinations, M&amp;A due diligence, and board reporting. Tier 2 (documentary) is adequate for most day-to-day governance purposes. Tier 3 and Tier 4 should be treated as evidence gaps that require a remediation plan — regulators under NIS2, DORA, GDPR, HIPAA, and PCI DSS treat verbal assertions and management attestations with significant scepticism, particularly where a serious incident has already occurred. Prioritise Tier 3 and Tier 4 entries in your roadmap.</t>
  </si>
  <si>
    <t xml:space="preserve">NUCLEUS SYSTEMS  |  NS-CMMF v1.0 CYBERSECURITY MATURITY MATRIX — 188 CONTROLS</t>
  </si>
  <si>
    <t xml:space="preserve">L1–L5 maturity definitions. Column D = control-specific Process Definition per level. Columns E–H = Evidence Quality | Automation Level | Monitoring &amp; Risk | Enterprise Interpretation.</t>
  </si>
  <si>
    <t xml:space="preserve">Control</t>
  </si>
  <si>
    <t xml:space="preserve">Maturity Level</t>
  </si>
  <si>
    <t xml:space="preserve">Process Definition (Control-Specific)</t>
  </si>
  <si>
    <t xml:space="preserve">Evidence Quality</t>
  </si>
  <si>
    <t xml:space="preserve">Automation Level</t>
  </si>
  <si>
    <t xml:space="preserve">Monitoring &amp; Risk</t>
  </si>
  <si>
    <t xml:space="preserve">Enterprise Interpretation</t>
  </si>
  <si>
    <t xml:space="preserve">🏛️  GOVERN — Leadership, Strategy &amp; Risk Governance  |  Controls 1–28  |  Weight: 16%</t>
  </si>
  <si>
    <t xml:space="preserve">L1 — Initial (Ad Hoc)</t>
  </si>
  <si>
    <t xml:space="preserve">CISO / Security Leadership authority is absent or informal. No board reporting, no mandate, no named accountable leader.</t>
  </si>
  <si>
    <t xml:space="preserve">Informal / missing</t>
  </si>
  <si>
    <t xml:space="preserve">Reactive only</t>
  </si>
  <si>
    <t xml:space="preserve">Control is absent or entirely ad hoc — significant risk and compliance exposure</t>
  </si>
  <si>
    <t xml:space="preserve">L2 — Developing (Basic Control)</t>
  </si>
  <si>
    <t xml:space="preserve">CISO / Security Leadership exists informally or partially. A named role may exist but lacks formal mandate, defined authority, or consistent reporting cadence.</t>
  </si>
  <si>
    <t xml:space="preserve">Manual evidence</t>
  </si>
  <si>
    <t xml:space="preserve">Low / manual</t>
  </si>
  <si>
    <t xml:space="preserve">Periodic manual checks</t>
  </si>
  <si>
    <t xml:space="preserve">Control exists but relies on individuals — inconsistent and manually operated</t>
  </si>
  <si>
    <t xml:space="preserve">L3 — Defined (Enterprise Standard)</t>
  </si>
  <si>
    <t xml:space="preserve">CISO or equivalent with board access, mandate, documented authority, and annual performance review. CISO / Security Leadership is documented, consistently applied across all in-scope assets, reviewed at least annually, and formally governed. Exceptions are tracked and managed with named owners. This level meets the minimum regulatory evidence standard.</t>
  </si>
  <si>
    <t xml:space="preserve">Structured evidence</t>
  </si>
  <si>
    <t xml:space="preserve">Moderate / partial</t>
  </si>
  <si>
    <t xml:space="preserve">Scheduled monitoring &amp; review</t>
  </si>
  <si>
    <t xml:space="preserve">Enterprise standard achieved — documented, consistent, and regularly evidenced</t>
  </si>
  <si>
    <t xml:space="preserve">L4 — Managed (Quantitative)</t>
  </si>
  <si>
    <t xml:space="preserve">CISO / Security Leadership operates with defined KPIs — board reporting frequency, budget utilisation, and programme maturity scores are measured quarterly. Governance performance is reported upward and performance gaps trigger formal escalation.</t>
  </si>
  <si>
    <t xml:space="preserve">System-generated evidence</t>
  </si>
  <si>
    <t xml:space="preserve">High / mostly automated</t>
  </si>
  <si>
    <t xml:space="preserve">Continuous monitoring with KPI reporting</t>
  </si>
  <si>
    <t xml:space="preserve">Control is measured and governed — KPI-driven with continuous performance tracking</t>
  </si>
  <si>
    <t xml:space="preserve">L5 — Optimised (Adaptive / Intelligent)</t>
  </si>
  <si>
    <t xml:space="preserve">CISO / Security Leadership is continuously evidenced through automated governance workflows. Board reporting is self-populating from live tool data. Independent review validates governance effectiveness annually. Governance structure adapts automatically to regulatory and organisational change.</t>
  </si>
  <si>
    <t xml:space="preserve">Predictive / continuous evidence</t>
  </si>
  <si>
    <t xml:space="preserve">Autonomous / self-healing</t>
  </si>
  <si>
    <t xml:space="preserve">Predictive risk management &amp; adaptive response</t>
  </si>
  <si>
    <t xml:space="preserve">Control is self-sustaining — automated, independently assured, and continuously improving</t>
  </si>
  <si>
    <t xml:space="preserve">Cybersecurity Strategy &amp; Programme authority is absent or informal. No board reporting, no mandate, no named accountable leader.</t>
  </si>
  <si>
    <t xml:space="preserve">Cybersecurity Strategy &amp; Programme exists informally or partially. A named role may exist but lacks formal mandate, defined authority, or consistent reporting cadence.</t>
  </si>
  <si>
    <t xml:space="preserve">Board-approved multi-year security strategy aligned to business objectives and risk appetite. Cybersecurity Strategy &amp; Programme is documented, consistently applied across all in-scope assets, reviewed at least annually, and formally governed. Exceptions are tracked and managed with named owners. This level meets the minimum regulatory evidence standard.</t>
  </si>
  <si>
    <t xml:space="preserve">Cybersecurity Strategy &amp; Programme operates with defined KPIs — board reporting frequency, budget utilisation, and programme maturity scores are measured quarterly. Governance performance is reported upward and performance gaps trigger formal escalation.</t>
  </si>
  <si>
    <t xml:space="preserve">Cybersecurity Strategy &amp; Programme is continuously evidenced through automated governance workflows. Board reporting is self-populating from live tool data. Independent review validates governance effectiveness annually. Governance structure adapts automatically to regulatory and organisational change.</t>
  </si>
  <si>
    <t xml:space="preserve">Cyber Budget &amp; Investment Model authority is absent or informal. No board reporting, no mandate, no named accountable leader.</t>
  </si>
  <si>
    <t xml:space="preserve">Cyber Budget &amp; Investment Model exists informally or partially. A named role may exist but lacks formal mandate, defined authority, or consistent reporting cadence.</t>
  </si>
  <si>
    <t xml:space="preserve">Security budget approved as percentage of IT spend with risk-based allocation and tracking. Cyber Budget &amp; Investment Model is documented, consistently applied across all in-scope assets, reviewed at least annually, and formally governed. Exceptions are tracked and managed with named owners. This level meets the minimum regulatory evidence standard.</t>
  </si>
  <si>
    <t xml:space="preserve">Cyber Budget &amp; Investment Model operates with defined KPIs — board reporting frequency, budget utilisation, and programme maturity scores are measured quarterly. Governance performance is reported upward and performance gaps trigger formal escalation.</t>
  </si>
  <si>
    <t xml:space="preserve">Cyber Budget &amp; Investment Model is continuously evidenced through automated governance workflows. Board reporting is self-populating from live tool data. Independent review validates governance effectiveness annually. Governance structure adapts automatically to regulatory and organisational change.</t>
  </si>
  <si>
    <t xml:space="preserve">Security Organisational Structure authority is absent or informal. No board reporting, no mandate, no named accountable leader.</t>
  </si>
  <si>
    <t xml:space="preserve">Security Organisational Structure exists informally or partially. A named role may exist but lacks formal mandate, defined authority, or consistent reporting cadence.</t>
  </si>
  <si>
    <t xml:space="preserve">Defined roles, responsibilities, and reporting lines for security across the enterprise. Security Organisational Structure is documented, consistently applied across all in-scope assets, reviewed at least annually, and formally governed. Exceptions are tracked and managed with named owners. This level meets the minimum regulatory evidence standard.</t>
  </si>
  <si>
    <t xml:space="preserve">Security Organisational Structure operates with defined KPIs — board reporting frequency, budget utilisation, and programme maturity scores are measured quarterly. Governance performance is reported upward and performance gaps trigger formal escalation.</t>
  </si>
  <si>
    <t xml:space="preserve">Security Organisational Structure is continuously evidenced through automated governance workflows. Board reporting is self-populating from live tool data. Independent review validates governance effectiveness annually. Governance structure adapts automatically to regulatory and organisational change.</t>
  </si>
  <si>
    <t xml:space="preserve">Board-Level Cybersecurity Oversight authority is absent or informal. No board reporting, no mandate, no named accountable leader.</t>
  </si>
  <si>
    <t xml:space="preserve">Board-Level Cybersecurity Oversight exists informally or partially. A named role may exist but lacks formal mandate, defined authority, or consistent reporting cadence.</t>
  </si>
  <si>
    <t xml:space="preserve">Board and audit committee engagement with cybersecurity risk, strategy, and investment. Board-Level Cybersecurity Oversight is documented, consistently applied across all in-scope assets, reviewed at least annually, and formally governed. Exceptions are tracked and managed with named owners. This level meets the minimum regulatory evidence standard.</t>
  </si>
  <si>
    <t xml:space="preserve">Board-Level Cybersecurity Oversight operates with defined KPIs — board reporting frequency, budget utilisation, and programme maturity scores are measured quarterly. Governance performance is reported upward and performance gaps trigger formal escalation.</t>
  </si>
  <si>
    <t xml:space="preserve">Board-Level Cybersecurity Oversight is continuously evidenced through automated governance workflows. Board reporting is self-populating from live tool data. Independent review validates governance effectiveness annually. Governance structure adapts automatically to regulatory and organisational change.</t>
  </si>
  <si>
    <t xml:space="preserve">Security Policy Framework &amp; Hierarchy is undocumented or exists only as a draft. Enforcement is absent and exceptions are ungoverned.</t>
  </si>
  <si>
    <t xml:space="preserve">Security Policy Framework &amp; Hierarchy has been drafted but is inconsistently applied. Some teams follow it; others are unaware or exempt by exception.</t>
  </si>
  <si>
    <t xml:space="preserve">Structured policy library with master policy, domain policies, standards, and procedures. Security Policy Framework &amp; Hierarchy is documented, consistently applied across all in-scope assets, reviewed at least annually, and formally governed. Exceptions are tracked and managed with named owners. This level meets the minimum regulatory evidence standard.</t>
  </si>
  <si>
    <t xml:space="preserve">Security Policy Framework &amp; Hierarchy is measured by attestation completion rate (target ≥95%), exception volume, and exception age. Policy effectiveness is reported to governance and exception trends drive policy revision cycles.</t>
  </si>
  <si>
    <t xml:space="preserve">Security Policy Framework &amp; Hierarchy is fully automated — attestation workflows, exception tracking, and policy review alerts operate without manual intervention. Independent audit validates policy effectiveness. Policy content is automatically flagged for review when mapped regulations are amended.</t>
  </si>
  <si>
    <t xml:space="preserve">Policy Attestation &amp; Enforcement is undocumented or exists only as a draft. Enforcement is absent and exceptions are ungoverned.</t>
  </si>
  <si>
    <t xml:space="preserve">Policy Attestation &amp; Enforcement has been drafted but is inconsistently applied. Some teams follow it; others are unaware or exempt by exception.</t>
  </si>
  <si>
    <t xml:space="preserve">Staff acknowledgement tracked; non-compliance escalated; breach process active. Policy Attestation &amp; Enforcement is documented, consistently applied across all in-scope assets, reviewed at least annually, and formally governed. Exceptions are tracked and managed with named owners. This level meets the minimum regulatory evidence standard.</t>
  </si>
  <si>
    <t xml:space="preserve">Policy Attestation &amp; Enforcement is measured by attestation completion rate (target ≥95%), exception volume, and exception age. Policy effectiveness is reported to governance and exception trends drive policy revision cycles.</t>
  </si>
  <si>
    <t xml:space="preserve">Policy Attestation &amp; Enforcement is fully automated — attestation workflows, exception tracking, and policy review alerts operate without manual intervention. Independent audit validates policy effectiveness. Policy content is automatically flagged for review when mapped regulations are amended.</t>
  </si>
  <si>
    <t xml:space="preserve">Policy Exception Governance is undocumented or exists only as a draft. Enforcement is absent and exceptions are ungoverned.</t>
  </si>
  <si>
    <t xml:space="preserve">Policy Exception Governance has been drafted but is inconsistently applied. Some teams follow it; others are unaware or exempt by exception.</t>
  </si>
  <si>
    <t xml:space="preserve">Formal exception process with risk acceptance, owner, and expiry for all policy deviations. Policy Exception Governance is documented, consistently applied across all in-scope assets, reviewed at least annually, and formally governed. Exceptions are tracked and managed with named owners. This level meets the minimum regulatory evidence standard.</t>
  </si>
  <si>
    <t xml:space="preserve">Policy Exception Governance is measured by attestation completion rate (target ≥95%), exception volume, and exception age. Policy effectiveness is reported to governance and exception trends drive policy revision cycles.</t>
  </si>
  <si>
    <t xml:space="preserve">Policy Exception Governance is fully automated — attestation workflows, exception tracking, and policy review alerts operate without manual intervention. Independent audit validates policy effectiveness. Policy content is automatically flagged for review when mapped regulations are amended.</t>
  </si>
  <si>
    <t xml:space="preserve">Control Standards Management is undocumented or exists only as a draft. Enforcement is absent and exceptions are ungoverned.</t>
  </si>
  <si>
    <t xml:space="preserve">Control Standards Management has been drafted but is inconsistently applied. Some teams follow it; others are unaware or exempt by exception.</t>
  </si>
  <si>
    <t xml:space="preserve">Baseline security standards defined per asset class with version control. Control Standards Management is documented, consistently applied across all in-scope assets, reviewed at least annually, and formally governed. Exceptions are tracked and managed with named owners. This level meets the minimum regulatory evidence standard.</t>
  </si>
  <si>
    <t xml:space="preserve">Control Standards Management is measured by attestation completion rate (target ≥95%), exception volume, and exception age. Policy effectiveness is reported to governance and exception trends drive policy revision cycles.</t>
  </si>
  <si>
    <t xml:space="preserve">Control Standards Management is fully automated — attestation workflows, exception tracking, and policy review alerts operate without manual intervention. Independent audit validates policy effectiveness. Policy content is automatically flagged for review when mapped regulations are amended.</t>
  </si>
  <si>
    <t xml:space="preserve">Regulatory Obligation Register &amp; Mapping is undocumented or exists only as a draft. Enforcement is absent and exceptions are ungoverned.</t>
  </si>
  <si>
    <t xml:space="preserve">Regulatory Obligation Register &amp; Mapping has been drafted but is inconsistently applied. Some teams follow it; others are unaware or exempt by exception.</t>
  </si>
  <si>
    <t xml:space="preserve">Complete register of all applicable legal, regulatory, and contractual security obligations. Regulatory Obligation Register &amp; Mapping is documented, consistently applied across all in-scope assets, reviewed at least annually, and formally governed. Exceptions are tracked and managed with named owners. This level meets the minimum regulatory evidence standard.</t>
  </si>
  <si>
    <t xml:space="preserve">Regulatory Obligation Register &amp; Mapping is measured by attestation completion rate (target ≥95%), exception volume, and exception age. Policy effectiveness is reported to governance and exception trends drive policy revision cycles.</t>
  </si>
  <si>
    <t xml:space="preserve">Regulatory Obligation Register &amp; Mapping is fully automated — attestation workflows, exception tracking, and policy review alerts operate without manual intervention. Independent audit validates policy effectiveness. Policy content is automatically flagged for review when mapped regulations are amended.</t>
  </si>
  <si>
    <t xml:space="preserve">Regulatory Change Management is undocumented or exists only as a draft. Enforcement is absent and exceptions are ungoverned.</t>
  </si>
  <si>
    <t xml:space="preserve">Regulatory Change Management has been drafted but is inconsistently applied. Some teams follow it; others are unaware or exempt by exception.</t>
  </si>
  <si>
    <t xml:space="preserve">Process to monitor, assess, and implement changes to applicable regulations. Regulatory Change Management is documented, consistently applied across all in-scope assets, reviewed at least annually, and formally governed. Exceptions are tracked and managed with named owners. This level meets the minimum regulatory evidence standard.</t>
  </si>
  <si>
    <t xml:space="preserve">Regulatory Change Management is measured by attestation completion rate (target ≥95%), exception volume, and exception age. Policy effectiveness is reported to governance and exception trends drive policy revision cycles.</t>
  </si>
  <si>
    <t xml:space="preserve">Regulatory Change Management is fully automated — attestation workflows, exception tracking, and policy review alerts operate without manual intervention. Independent audit validates policy effectiveness. Policy content is automatically flagged for review when mapped regulations are amended.</t>
  </si>
  <si>
    <t xml:space="preserve">Security Standards for Third Parties is undocumented or exists only as a draft. Enforcement is absent and exceptions are ungoverned.</t>
  </si>
  <si>
    <t xml:space="preserve">Security Standards for Third Parties has been drafted but is inconsistently applied. Some teams follow it; others are unaware or exempt by exception.</t>
  </si>
  <si>
    <t xml:space="preserve">Minimum security standards contractually imposed on all suppliers and partners. Security Standards for Third Parties is documented, consistently applied across all in-scope assets, reviewed at least annually, and formally governed. Exceptions are tracked and managed with named owners. This level meets the minimum regulatory evidence standard.</t>
  </si>
  <si>
    <t xml:space="preserve">Security Standards for Third Parties is measured by attestation completion rate (target ≥95%), exception volume, and exception age. Policy effectiveness is reported to governance and exception trends drive policy revision cycles.</t>
  </si>
  <si>
    <t xml:space="preserve">Security Standards for Third Parties is fully automated — attestation workflows, exception tracking, and policy review alerts operate without manual intervention. Independent audit validates policy effectiveness. Policy content is automatically flagged for review when mapped regulations are amended.</t>
  </si>
  <si>
    <t xml:space="preserve">Enterprise Risk Framework Integration is absent or confined to the post-incident register. No formal process, no named risk owner, no treatment tracking.</t>
  </si>
  <si>
    <t xml:space="preserve">Enterprise Risk Framework Integration exists in a basic form — risks may be logged but treatment is inconsistent and ownership is nominal.</t>
  </si>
  <si>
    <t xml:space="preserve">Cyber risk integrated into ERM with consistent methodology and shared taxonomy. Enterprise Risk Framework Integration is documented, consistently applied across all in-scope assets, reviewed at least annually, and formally governed. Exceptions are tracked and managed with named owners. This level meets the minimum regulatory evidence standard.</t>
  </si>
  <si>
    <t xml:space="preserve">Enterprise Risk Framework Integration is KPI-driven — risk register currency, treatment SLA adherence, and residual risk scores are measured continuously. Risk posture is reported to the board with trend analysis and financial quantification.</t>
  </si>
  <si>
    <t xml:space="preserve">Enterprise Risk Framework Integration is fully automated with continuous risk score recalculation from operational telemetry. Predictive risk modelling identifies emerging concentrations before they materialise. Independent assurance validates the risk management model annually.</t>
  </si>
  <si>
    <t xml:space="preserve">Risk Appetite &amp; Tolerance Thresholds is absent or confined to the post-incident register. No formal process, no named risk owner, no treatment tracking.</t>
  </si>
  <si>
    <t xml:space="preserve">Risk Appetite &amp; Tolerance Thresholds exists in a basic form — risks may be logged but treatment is inconsistent and ownership is nominal.</t>
  </si>
  <si>
    <t xml:space="preserve">Documented risk appetite with quantified tolerance thresholds and escalation triggers. Risk Appetite &amp; Tolerance Thresholds is documented, consistently applied across all in-scope assets, reviewed at least annually, and formally governed. Exceptions are tracked and managed with named owners. This level meets the minimum regulatory evidence standard.</t>
  </si>
  <si>
    <t xml:space="preserve">Risk Appetite &amp; Tolerance Thresholds is KPI-driven — risk register currency, treatment SLA adherence, and residual risk scores are measured continuously. Risk posture is reported to the board with trend analysis and financial quantification.</t>
  </si>
  <si>
    <t xml:space="preserve">Risk Appetite &amp; Tolerance Thresholds is fully automated with continuous risk score recalculation from operational telemetry. Predictive risk modelling identifies emerging concentrations before they materialise. Independent assurance validates the risk management model annually.</t>
  </si>
  <si>
    <t xml:space="preserve">Risk Register Management &amp; Reporting is absent or confined to the post-incident register. No formal process, no named risk owner, no treatment tracking.</t>
  </si>
  <si>
    <t xml:space="preserve">Risk Register Management &amp; Reporting exists in a basic form — risks may be logged but treatment is inconsistent and ownership is nominal.</t>
  </si>
  <si>
    <t xml:space="preserve">Active risk register with owners, treatment plans, and board reporting. Risk Register Management &amp; Reporting is documented, consistently applied across all in-scope assets, reviewed at least annually, and formally governed. Exceptions are tracked and managed with named owners. This level meets the minimum regulatory evidence standard.</t>
  </si>
  <si>
    <t xml:space="preserve">Risk Register Management &amp; Reporting is KPI-driven — risk register currency, treatment SLA adherence, and residual risk scores are measured continuously. Risk posture is reported to the board with trend analysis and financial quantification.</t>
  </si>
  <si>
    <t xml:space="preserve">Risk Register Management &amp; Reporting is fully automated with continuous risk score recalculation from operational telemetry. Predictive risk modelling identifies emerging concentrations before they materialise. Independent assurance validates the risk management model annually.</t>
  </si>
  <si>
    <t xml:space="preserve">Cyber Risk Quantification is absent or confined to the post-incident register. No formal process, no named risk owner, no treatment tracking.</t>
  </si>
  <si>
    <t xml:space="preserve">Cyber Risk Quantification exists in a basic form — risks may be logged but treatment is inconsistent and ownership is nominal.</t>
  </si>
  <si>
    <t xml:space="preserve">Financial quantification of cyber risk scenarios to support investment decisions. Cyber Risk Quantification is documented, consistently applied across all in-scope assets, reviewed at least annually, and formally governed. Exceptions are tracked and managed with named owners. This level meets the minimum regulatory evidence standard.</t>
  </si>
  <si>
    <t xml:space="preserve">Cyber Risk Quantification is KPI-driven — risk register currency, treatment SLA adherence, and residual risk scores are measured continuously. Risk posture is reported to the board with trend analysis and financial quantification.</t>
  </si>
  <si>
    <t xml:space="preserve">Cyber Risk Quantification is fully automated with continuous risk score recalculation from operational telemetry. Predictive risk modelling identifies emerging concentrations before they materialise. Independent assurance validates the risk management model annually.</t>
  </si>
  <si>
    <t xml:space="preserve">Third-Party Risk Management (TPRM) Programme does not exist as a formal programme. Vendor selection is based on commercial criteria alone with no security assessment.</t>
  </si>
  <si>
    <t xml:space="preserve">A basic Third-Party Risk Management (TPRM) Programme process exists but covers only major suppliers and relies on questionnaire responses without evidence review.</t>
  </si>
  <si>
    <t xml:space="preserve">Structured programme to assess and manage cybersecurity risk across the supplier ecosystem. Third-Party Risk Management (TPRM) Programme is documented, consistently applied across all in-scope assets, reviewed at least annually, and formally governed. Exceptions are tracked and managed with named owners. This level meets the minimum regulatory evidence standard.</t>
  </si>
  <si>
    <t xml:space="preserve">Third-Party Risk Management (TPRM) Programme operates with defined SLAs — vendor assessment completion rate, finding remediation timelines, and contractual compliance rates are measured. Critical supplier risk scores are continuously monitored.</t>
  </si>
  <si>
    <t xml:space="preserve">Third-Party Risk Management (TPRM) Programme is continuously automated — supplier security ratings are monitored in real time, contract compliance is tracked algorithmically, and deteriorating suppliers trigger automated escalation. Independent third-party validation confirms programme effectiveness.</t>
  </si>
  <si>
    <t xml:space="preserve">Vendor Security Assessment Process does not exist as a formal programme. Vendor selection is based on commercial criteria alone with no security assessment.</t>
  </si>
  <si>
    <t xml:space="preserve">A basic Vendor Security Assessment Process process exists but covers only major suppliers and relies on questionnaire responses without evidence review.</t>
  </si>
  <si>
    <t xml:space="preserve">Security assessments conducted before onboarding and annually for critical vendors. Vendor Security Assessment Process is documented, consistently applied across all in-scope assets, reviewed at least annually, and formally governed. Exceptions are tracked and managed with named owners. This level meets the minimum regulatory evidence standard.</t>
  </si>
  <si>
    <t xml:space="preserve">Vendor Security Assessment Process operates with defined SLAs — vendor assessment completion rate, finding remediation timelines, and contractual compliance rates are measured. Critical supplier risk scores are continuously monitored.</t>
  </si>
  <si>
    <t xml:space="preserve">Vendor Security Assessment Process is continuously automated — supplier security ratings are monitored in real time, contract compliance is tracked algorithmically, and deteriorating suppliers trigger automated escalation. Independent third-party validation confirms programme effectiveness.</t>
  </si>
  <si>
    <t xml:space="preserve">Vendor Contractual Security Obligations does not exist as a formal programme. Vendor selection is based on commercial criteria alone with no security assessment.</t>
  </si>
  <si>
    <t xml:space="preserve">A basic Vendor Contractual Security Obligations process exists but covers only major suppliers and relies on questionnaire responses without evidence review.</t>
  </si>
  <si>
    <t xml:space="preserve">Security requirements contractually embedded in all supplier agreements. Vendor Contractual Security Obligations is documented, consistently applied across all in-scope assets, reviewed at least annually, and formally governed. Exceptions are tracked and managed with named owners. This level meets the minimum regulatory evidence standard.</t>
  </si>
  <si>
    <t xml:space="preserve">Vendor Contractual Security Obligations operates with defined SLAs — vendor assessment completion rate, finding remediation timelines, and contractual compliance rates are measured. Critical supplier risk scores are continuously monitored.</t>
  </si>
  <si>
    <t xml:space="preserve">Vendor Contractual Security Obligations is continuously automated — supplier security ratings are monitored in real time, contract compliance is tracked algorithmically, and deteriorating suppliers trigger automated escalation. Independent third-party validation confirms programme effectiveness.</t>
  </si>
  <si>
    <t xml:space="preserve">Fourth-Party &amp; Sub-Processor Mapping does not exist as a formal programme. Vendor selection is based on commercial criteria alone with no security assessment.</t>
  </si>
  <si>
    <t xml:space="preserve">A basic Fourth-Party &amp; Sub-Processor Mapping process exists but covers only major suppliers and relies on questionnaire responses without evidence review.</t>
  </si>
  <si>
    <t xml:space="preserve">Visibility of critical fourth parties and their risk profiles. Fourth-Party &amp; Sub-Processor Mapping is documented, consistently applied across all in-scope assets, reviewed at least annually, and formally governed. Exceptions are tracked and managed with named owners. This level meets the minimum regulatory evidence standard.</t>
  </si>
  <si>
    <t xml:space="preserve">Fourth-Party &amp; Sub-Processor Mapping operates with defined SLAs — vendor assessment completion rate, finding remediation timelines, and contractual compliance rates are measured. Critical supplier risk scores are continuously monitored.</t>
  </si>
  <si>
    <t xml:space="preserve">Fourth-Party &amp; Sub-Processor Mapping is continuously automated — supplier security ratings are monitored in real time, contract compliance is tracked algorithmically, and deteriorating suppliers trigger automated escalation. Independent third-party validation confirms programme effectiveness.</t>
  </si>
  <si>
    <t xml:space="preserve">DORA TPSP Critical Register does not exist as a formal programme. Vendor selection is based on commercial criteria alone with no security assessment.</t>
  </si>
  <si>
    <t xml:space="preserve">A basic DORA TPSP Critical Register process exists but covers only major suppliers and relies on questionnaire responses without evidence review.</t>
  </si>
  <si>
    <t xml:space="preserve">DORA-mandated register of critical ICT third-party service providers. DORA TPSP Critical Register is documented, consistently applied across all in-scope assets, reviewed at least annually, and formally governed. Exceptions are tracked and managed with named owners. This level meets the minimum regulatory evidence standard.</t>
  </si>
  <si>
    <t xml:space="preserve">DORA TPSP Critical Register operates with defined SLAs — vendor assessment completion rate, finding remediation timelines, and contractual compliance rates are measured. Critical supplier risk scores are continuously monitored.</t>
  </si>
  <si>
    <t xml:space="preserve">DORA TPSP Critical Register is continuously automated — supplier security ratings are monitored in real time, contract compliance is tracked algorithmically, and deteriorating suppliers trigger automated escalation. Independent third-party validation confirms programme effectiveness.</t>
  </si>
  <si>
    <t xml:space="preserve">Software Supply Chain Security Governance does not exist as a formal programme. Vendor selection is based on commercial criteria alone with no security assessment.</t>
  </si>
  <si>
    <t xml:space="preserve">A basic Software Supply Chain Security Governance process exists but covers only major suppliers and relies on questionnaire responses without evidence review.</t>
  </si>
  <si>
    <t xml:space="preserve">Governance of open-source components, SBOMs, and software dependencies. Software Supply Chain Security Governance is documented, consistently applied across all in-scope assets, reviewed at least annually, and formally governed. Exceptions are tracked and managed with named owners. This level meets the minimum regulatory evidence standard.</t>
  </si>
  <si>
    <t xml:space="preserve">Software Supply Chain Security Governance operates with defined SLAs — vendor assessment completion rate, finding remediation timelines, and contractual compliance rates are measured. Critical supplier risk scores are continuously monitored.</t>
  </si>
  <si>
    <t xml:space="preserve">Software Supply Chain Security Governance is continuously automated — supplier security ratings are monitored in real time, contract compliance is tracked algorithmically, and deteriorating suppliers trigger automated escalation. Independent third-party validation confirms programme effectiveness.</t>
  </si>
  <si>
    <t xml:space="preserve">Supplier Resilience Requirements does not exist as a formal programme. Vendor selection is based on commercial criteria alone with no security assessment.</t>
  </si>
  <si>
    <t xml:space="preserve">A basic Supplier Resilience Requirements process exists but covers only major suppliers and relies on questionnaire responses without evidence review.</t>
  </si>
  <si>
    <t xml:space="preserve">Business continuity and resilience requirements imposed on critical suppliers. Supplier Resilience Requirements is documented, consistently applied across all in-scope assets, reviewed at least annually, and formally governed. Exceptions are tracked and managed with named owners. This level meets the minimum regulatory evidence standard.</t>
  </si>
  <si>
    <t xml:space="preserve">Supplier Resilience Requirements operates with defined SLAs — vendor assessment completion rate, finding remediation timelines, and contractual compliance rates are measured. Critical supplier risk scores are continuously monitored.</t>
  </si>
  <si>
    <t xml:space="preserve">Supplier Resilience Requirements is continuously automated — supplier security ratings are monitored in real time, contract compliance is tracked algorithmically, and deteriorating suppliers trigger automated escalation. Independent third-party validation confirms programme effectiveness.</t>
  </si>
  <si>
    <t xml:space="preserve">Privacy Governance &amp; DPO/Privacy Lead is absent or held informally. No designated function, no documented processing records, no DPIA process.</t>
  </si>
  <si>
    <t xml:space="preserve">Privacy Governance &amp; DPO/Privacy Lead is partially implemented. Some records are maintained, some processes exist, but coverage is incomplete and governance is informal.</t>
  </si>
  <si>
    <t xml:space="preserve">Designated privacy function with authority, resources, and board access. Privacy Governance &amp; DPO/Privacy Lead is documented, consistently applied across all in-scope assets, reviewed at least annually, and formally governed. Exceptions are tracked and managed with named owners. This level meets the minimum regulatory evidence standard.</t>
  </si>
  <si>
    <t xml:space="preserve">Privacy Governance &amp; DPO/Privacy Lead is measured by ROPA completeness rate, DPIA completion timeliness, and subject rights fulfilment SLA. Compliance performance is reported to the DPO and board on a defined schedule.</t>
  </si>
  <si>
    <t xml:space="preserve">Privacy Governance &amp; DPO/Privacy Lead is fully automated — ROPA updates from system provisioning changes, DPIA triggers from processing change detection, and subject rights fulfilment from automated workflow. Independent validation confirms regulatory compliance continuously.</t>
  </si>
  <si>
    <t xml:space="preserve">Records of Processing Activities (ROPA) is absent or held informally. No designated function, no documented processing records, no DPIA process.</t>
  </si>
  <si>
    <t xml:space="preserve">Records of Processing Activities (ROPA) is partially implemented. Some records are maintained, some processes exist, but coverage is incomplete and governance is informal.</t>
  </si>
  <si>
    <t xml:space="preserve">Complete and current ROPA covering all personal data processing activities. Records of Processing Activities (ROPA) is documented, consistently applied across all in-scope assets, reviewed at least annually, and formally governed. Exceptions are tracked and managed with named owners. This level meets the minimum regulatory evidence standard.</t>
  </si>
  <si>
    <t xml:space="preserve">Records of Processing Activities (ROPA) is measured by ROPA completeness rate, DPIA completion timeliness, and subject rights fulfilment SLA. Compliance performance is reported to the DPO and board on a defined schedule.</t>
  </si>
  <si>
    <t xml:space="preserve">Records of Processing Activities (ROPA) is fully automated — ROPA updates from system provisioning changes, DPIA triggers from processing change detection, and subject rights fulfilment from automated workflow. Independent validation confirms regulatory compliance continuously.</t>
  </si>
  <si>
    <t xml:space="preserve">Data Protection Impact Assessments (DPIAs) is absent or held informally. No designated function, no documented processing records, no DPIA process.</t>
  </si>
  <si>
    <t xml:space="preserve">Data Protection Impact Assessments (DPIAs) is partially implemented. Some records are maintained, some processes exist, but coverage is incomplete and governance is informal.</t>
  </si>
  <si>
    <t xml:space="preserve">DPIAs conducted for all high-risk processing activities. Data Protection Impact Assessments (DPIAs) is documented, consistently applied across all in-scope assets, reviewed at least annually, and formally governed. Exceptions are tracked and managed with named owners. This level meets the minimum regulatory evidence standard.</t>
  </si>
  <si>
    <t xml:space="preserve">Data Protection Impact Assessments (DPIAs) is measured by ROPA completeness rate, DPIA completion timeliness, and subject rights fulfilment SLA. Compliance performance is reported to the DPO and board on a defined schedule.</t>
  </si>
  <si>
    <t xml:space="preserve">Data Protection Impact Assessments (DPIAs) is fully automated — ROPA updates from system provisioning changes, DPIA triggers from processing change detection, and subject rights fulfilment from automated workflow. Independent validation confirms regulatory compliance continuously.</t>
  </si>
  <si>
    <t xml:space="preserve">Cross-Border Data Transfer Controls is absent or held informally. No designated function, no documented processing records, no DPIA process.</t>
  </si>
  <si>
    <t xml:space="preserve">Cross-Border Data Transfer Controls is partially implemented. Some records are maintained, some processes exist, but coverage is incomplete and governance is informal.</t>
  </si>
  <si>
    <t xml:space="preserve">Legal basis and technical controls for all international personal data transfers. Cross-Border Data Transfer Controls is documented, consistently applied across all in-scope assets, reviewed at least annually, and formally governed. Exceptions are tracked and managed with named owners. This level meets the minimum regulatory evidence standard.</t>
  </si>
  <si>
    <t xml:space="preserve">Cross-Border Data Transfer Controls is measured by ROPA completeness rate, DPIA completion timeliness, and subject rights fulfilment SLA. Compliance performance is reported to the DPO and board on a defined schedule.</t>
  </si>
  <si>
    <t xml:space="preserve">Cross-Border Data Transfer Controls is fully automated — ROPA updates from system provisioning changes, DPIA triggers from processing change detection, and subject rights fulfilment from automated workflow. Independent validation confirms regulatory compliance continuously.</t>
  </si>
  <si>
    <t xml:space="preserve">Internal &amp; External Audit Programme does not operate on a formal schedule. Assurance activity is reactive or absent.</t>
  </si>
  <si>
    <t xml:space="preserve">Basic audit activity occurs but is ad hoc, limited in scope, or externally driven rather than planned.</t>
  </si>
  <si>
    <t xml:space="preserve">Comprehensive audit programme covering security controls, regulatory compliance, and maturity. Internal &amp; External Audit Programme is documented, consistently applied across all in-scope assets, reviewed at least annually, and formally governed. Exceptions are tracked and managed with named owners. This level meets the minimum regulatory evidence standard.</t>
  </si>
  <si>
    <t xml:space="preserve">Internal &amp; External Audit Programme is KPI-driven — finding closure rate, audit frequency, and certification currency are tracked. Audit findings trend downward and recurrence rates are monitored as a governance quality indicator.</t>
  </si>
  <si>
    <t xml:space="preserve">Internal &amp; External Audit Programme operates on a continuous assurance model — automated evidence collection populates audit packs, control testing is continuous rather than periodic, and independent assurance confirms programme effectiveness on a rolling basis.</t>
  </si>
  <si>
    <t xml:space="preserve">🔍  IDENTIFY — Assets, Data, Risk &amp; Exposure  |  Controls 29–50  |  Weight: 10%</t>
  </si>
  <si>
    <t xml:space="preserve">IT Hardware Asset Inventory (CMDB) does not exist. Assets are discovered reactively after incidents or onboarded without registration.</t>
  </si>
  <si>
    <t xml:space="preserve">A partial it hardware asset inventory (cmdb) exists — major assets are registered but completeness is unverified and discovery is manual.</t>
  </si>
  <si>
    <t xml:space="preserve">Complete, current CMDB covering all managed hardware assets with lifecycle status. IT Hardware Asset Inventory (CMDB) is documented, consistently applied across all in-scope assets, reviewed at least annually, and formally governed. Exceptions are tracked and managed with named owners. This level meets the minimum regulatory evidence standard.</t>
  </si>
  <si>
    <t xml:space="preserve">IT Hardware Asset Inventory (CMDB) operates at ≥98% verified accuracy with automated discovery continuously reconciling the register. Asset coverage gap metrics are reported to governance and unregistered assets trigger alerts within 24 hours.</t>
  </si>
  <si>
    <t xml:space="preserve">IT Hardware Asset Inventory (CMDB) is fully automated — discovery operates continuously across all environments, completeness is self-validating, and anomalies trigger immediate alerts. Independent assurance confirms inventory accuracy. New asset classes are onboarded automatically.</t>
  </si>
  <si>
    <t xml:space="preserve">Software Asset Inventory does not exist. Assets are discovered reactively after incidents or onboarded without registration.</t>
  </si>
  <si>
    <t xml:space="preserve">A partial software asset inventory exists — major assets are registered but completeness is unverified and discovery is manual.</t>
  </si>
  <si>
    <t xml:space="preserve">Comprehensive software inventory covering all applications, versions, and license status. Software Asset Inventory is documented, consistently applied across all in-scope assets, reviewed at least annually, and formally governed. Exceptions are tracked and managed with named owners. This level meets the minimum regulatory evidence standard.</t>
  </si>
  <si>
    <t xml:space="preserve">Software Asset Inventory operates at ≥98% verified accuracy with automated discovery continuously reconciling the register. Asset coverage gap metrics are reported to governance and unregistered assets trigger alerts within 24 hours.</t>
  </si>
  <si>
    <t xml:space="preserve">Software Asset Inventory is fully automated — discovery operates continuously across all environments, completeness is self-validating, and anomalies trigger immediate alerts. Independent assurance confirms inventory accuracy. New asset classes are onboarded automatically.</t>
  </si>
  <si>
    <t xml:space="preserve">Cloud Infrastructure Asset Inventory does not exist. Assets are discovered reactively after incidents or onboarded without registration.</t>
  </si>
  <si>
    <t xml:space="preserve">A partial cloud infrastructure asset inventory exists — major assets are registered but completeness is unverified and discovery is manual.</t>
  </si>
  <si>
    <t xml:space="preserve">Real-time inventory of all cloud assets across all CSPs with configuration status. Cloud Infrastructure Asset Inventory is documented, consistently applied across all in-scope assets, reviewed at least annually, and formally governed. Exceptions are tracked and managed with named owners. This level meets the minimum regulatory evidence standard.</t>
  </si>
  <si>
    <t xml:space="preserve">Cloud Infrastructure Asset Inventory operates at ≥98% verified accuracy with automated discovery continuously reconciling the register. Asset coverage gap metrics are reported to governance and unregistered assets trigger alerts within 24 hours.</t>
  </si>
  <si>
    <t xml:space="preserve">Cloud Infrastructure Asset Inventory is fully automated — discovery operates continuously across all environments, completeness is self-validating, and anomalies trigger immediate alerts. Independent assurance confirms inventory accuracy. New asset classes are onboarded automatically.</t>
  </si>
  <si>
    <t xml:space="preserve">SaaS &amp; Shadow IT Discovery does not exist. Assets are discovered reactively after incidents or onboarded without registration.</t>
  </si>
  <si>
    <t xml:space="preserve">A partial saas &amp; shadow it discovery exists — major assets are registered but completeness is unverified and discovery is manual.</t>
  </si>
  <si>
    <t xml:space="preserve">Discovery and management of all SaaS applications including unsanctioned shadow IT. SaaS &amp; Shadow IT Discovery is documented, consistently applied across all in-scope assets, reviewed at least annually, and formally governed. Exceptions are tracked and managed with named owners. This level meets the minimum regulatory evidence standard.</t>
  </si>
  <si>
    <t xml:space="preserve">SaaS &amp; Shadow IT Discovery operates at ≥98% verified accuracy with automated discovery continuously reconciling the register. Asset coverage gap metrics are reported to governance and unregistered assets trigger alerts within 24 hours.</t>
  </si>
  <si>
    <t xml:space="preserve">SaaS &amp; Shadow IT Discovery is fully automated — discovery operates continuously across all environments, completeness is self-validating, and anomalies trigger immediate alerts. Independent assurance confirms inventory accuracy. New asset classes are onboarded automatically.</t>
  </si>
  <si>
    <t xml:space="preserve">Software Bill of Materials (SBOM) does not exist. Assets are discovered reactively after incidents or onboarded without registration.</t>
  </si>
  <si>
    <t xml:space="preserve">A partial software bill of materials (sbom) exists — major assets are registered but completeness is unverified and discovery is manual.</t>
  </si>
  <si>
    <t xml:space="preserve">SBOM maintained per release for all software products and critical internal applications. Software Bill of Materials (SBOM) is documented, consistently applied across all in-scope assets, reviewed at least annually, and formally governed. Exceptions are tracked and managed with named owners. This level meets the minimum regulatory evidence standard.</t>
  </si>
  <si>
    <t xml:space="preserve">Software Bill of Materials (SBOM) operates at ≥98% verified accuracy with automated discovery continuously reconciling the register. Asset coverage gap metrics are reported to governance and unregistered assets trigger alerts within 24 hours.</t>
  </si>
  <si>
    <t xml:space="preserve">Software Bill of Materials (SBOM) is fully automated — discovery operates continuously across all environments, completeness is self-validating, and anomalies trigger immediate alerts. Independent assurance confirms inventory accuracy. New asset classes are onboarded automatically.</t>
  </si>
  <si>
    <t xml:space="preserve">Network Topology &amp; Architecture Documentation does not exist. Assets are discovered reactively after incidents or onboarded without registration.</t>
  </si>
  <si>
    <t xml:space="preserve">A partial network topology &amp; architecture documentation exists — major assets are registered but completeness is unverified and discovery is manual.</t>
  </si>
  <si>
    <t xml:space="preserve">Current network diagrams showing all zones, segments, connections, and critical dependencies. Network Topology &amp; Architecture Documentation is documented, consistently applied across all in-scope assets, reviewed at least annually, and formally governed. Exceptions are tracked and managed with named owners. This level meets the minimum regulatory evidence standard.</t>
  </si>
  <si>
    <t xml:space="preserve">Network Topology &amp; Architecture Documentation operates at ≥98% verified accuracy with automated discovery continuously reconciling the register. Asset coverage gap metrics are reported to governance and unregistered assets trigger alerts within 24 hours.</t>
  </si>
  <si>
    <t xml:space="preserve">Network Topology &amp; Architecture Documentation is fully automated — discovery operates continuously across all environments, completeness is self-validating, and anomalies trigger immediate alerts. Independent assurance confirms inventory accuracy. New asset classes are onboarded automatically.</t>
  </si>
  <si>
    <t xml:space="preserve">Technology Lifecycle Management does not exist. Assets are discovered reactively after incidents or onboarded without registration.</t>
  </si>
  <si>
    <t xml:space="preserve">A partial technology lifecycle management exists — major assets are registered but completeness is unverified and discovery is manual.</t>
  </si>
  <si>
    <t xml:space="preserve">Tracking of technology lifecycle status across all asset classes with EOL alerts. Technology Lifecycle Management is documented, consistently applied across all in-scope assets, reviewed at least annually, and formally governed. Exceptions are tracked and managed with named owners. This level meets the minimum regulatory evidence standard.</t>
  </si>
  <si>
    <t xml:space="preserve">Technology Lifecycle Management operates at ≥98% verified accuracy with automated discovery continuously reconciling the register. Asset coverage gap metrics are reported to governance and unregistered assets trigger alerts within 24 hours.</t>
  </si>
  <si>
    <t xml:space="preserve">Technology Lifecycle Management is fully automated — discovery operates continuously across all environments, completeness is self-validating, and anomalies trigger immediate alerts. Independent assurance confirms inventory accuracy. New asset classes are onboarded automatically.</t>
  </si>
  <si>
    <t xml:space="preserve">Data Classification Framework &amp; Implementation has not been implemented. Data is handled informally with no classification, mapping, or retention enforcement.</t>
  </si>
  <si>
    <t xml:space="preserve">Basic data handling exists but classification is partial, mapping is incomplete, and enforcement is manual.</t>
  </si>
  <si>
    <t xml:space="preserve">Formal data classification scheme with labels applied to all data stores and flows. Data Classification Framework &amp; Implementation is documented, consistently applied across all in-scope assets, reviewed at least annually, and formally governed. Exceptions are tracked and managed with named owners. This level meets the minimum regulatory evidence standard.</t>
  </si>
  <si>
    <t xml:space="preserve">Data Classification Framework &amp; Implementation is continuously measured — classification coverage rate, discovery scan coverage, and retention compliance rate are tracked. Exceptions trigger automated alerts and governance reporting.</t>
  </si>
  <si>
    <t xml:space="preserve">Data Classification Framework &amp; Implementation is fully automated — data classification is applied at creation, sensitive data discovery operates continuously, and retention enforcement is policy-driven without manual intervention. Independent privacy audits confirm ongoing compliance.</t>
  </si>
  <si>
    <t xml:space="preserve">Sensitive Data Discovery &amp; Mapping has not been implemented. Data is handled informally with no classification, mapping, or retention enforcement.</t>
  </si>
  <si>
    <t xml:space="preserve">Automated discovery and mapping of sensitive data across all environments. Sensitive Data Discovery &amp; Mapping is documented, consistently applied across all in-scope assets, reviewed at least annually, and formally governed. Exceptions are tracked and managed with named owners. This level meets the minimum regulatory evidence standard.</t>
  </si>
  <si>
    <t xml:space="preserve">Sensitive Data Discovery &amp; Mapping is continuously measured — classification coverage rate, discovery scan coverage, and retention compliance rate are tracked. Exceptions trigger automated alerts and governance reporting.</t>
  </si>
  <si>
    <t xml:space="preserve">Sensitive Data Discovery &amp; Mapping is fully automated — data classification is applied at creation, sensitive data discovery operates continuously, and retention enforcement is policy-driven without manual intervention. Independent privacy audits confirm ongoing compliance.</t>
  </si>
  <si>
    <t xml:space="preserve">Data Flow &amp; Transfer Mapping has not been implemented. Data is handled informally with no classification, mapping, or retention enforcement.</t>
  </si>
  <si>
    <t xml:space="preserve">Comprehensive mapping of data flows across systems, borders, and third parties. Data Flow &amp; Transfer Mapping is documented, consistently applied across all in-scope assets, reviewed at least annually, and formally governed. Exceptions are tracked and managed with named owners. This level meets the minimum regulatory evidence standard.</t>
  </si>
  <si>
    <t xml:space="preserve">Data Flow &amp; Transfer Mapping is continuously measured — classification coverage rate, discovery scan coverage, and retention compliance rate are tracked. Exceptions trigger automated alerts and governance reporting.</t>
  </si>
  <si>
    <t xml:space="preserve">Data Flow &amp; Transfer Mapping is fully automated — data classification is applied at creation, sensitive data discovery operates continuously, and retention enforcement is policy-driven without manual intervention. Independent privacy audits confirm ongoing compliance.</t>
  </si>
  <si>
    <t xml:space="preserve">Retention Schedule &amp; Disposal Management has not been implemented. Data is handled informally with no classification, mapping, or retention enforcement.</t>
  </si>
  <si>
    <t xml:space="preserve">Defined retention schedules applied to all data classes with verified deletion capability. Retention Schedule &amp; Disposal Management is documented, consistently applied across all in-scope assets, reviewed at least annually, and formally governed. Exceptions are tracked and managed with named owners. This level meets the minimum regulatory evidence standard.</t>
  </si>
  <si>
    <t xml:space="preserve">Retention Schedule &amp; Disposal Management is continuously measured — classification coverage rate, discovery scan coverage, and retention compliance rate are tracked. Exceptions trigger automated alerts and governance reporting.</t>
  </si>
  <si>
    <t xml:space="preserve">Retention Schedule &amp; Disposal Management is fully automated — data classification is applied at creation, sensitive data discovery operates continuously, and retention enforcement is policy-driven without manual intervention. Independent privacy audits confirm ongoing compliance.</t>
  </si>
  <si>
    <t xml:space="preserve">Payment Data Scoping &amp; CDE Mapping has not been implemented. Data is handled informally with no classification, mapping, or retention enforcement.</t>
  </si>
  <si>
    <t xml:space="preserve">PCI DSS cardholder data environment accurately scoped with annual validation. Payment Data Scoping &amp; CDE Mapping is documented, consistently applied across all in-scope assets, reviewed at least annually, and formally governed. Exceptions are tracked and managed with named owners. This level meets the minimum regulatory evidence standard.</t>
  </si>
  <si>
    <t xml:space="preserve">Payment Data Scoping &amp; CDE Mapping is continuously measured — classification coverage rate, discovery scan coverage, and retention compliance rate are tracked. Exceptions trigger automated alerts and governance reporting.</t>
  </si>
  <si>
    <t xml:space="preserve">Payment Data Scoping &amp; CDE Mapping is fully automated — data classification is applied at creation, sensitive data discovery operates continuously, and retention enforcement is policy-driven without manual intervention. Independent privacy audits confirm ongoing compliance.</t>
  </si>
  <si>
    <t xml:space="preserve">Business Impact Analysis (BIA) has not been conducted. Vulnerabilities and threats are discovered reactively through exploitation, not proactive identification.</t>
  </si>
  <si>
    <t xml:space="preserve">Business Impact Analysis (BIA) is conducted intermittently or on request. Coverage is partial and findings are not systematically tracked to closure.</t>
  </si>
  <si>
    <t xml:space="preserve">BIA covering all critical business services with RTO/RPO, dependencies, and financial impact. Business Impact Analysis (BIA) is documented, consistently applied across all in-scope assets, reviewed at least annually, and formally governed. Exceptions are tracked and managed with named owners. This level meets the minimum regulatory evidence standard.</t>
  </si>
  <si>
    <t xml:space="preserve">Business Impact Analysis (BIA) is governed by defined SLAs — Critical ≤72h, High ≤7d, Medium ≤30d — with automated tracking and SLA breach alerting. Coverage and remediation metrics are reported to leadership monthly.</t>
  </si>
  <si>
    <t xml:space="preserve">Business Impact Analysis (BIA) is fully automated — continuous vulnerability scanning, prioritisation from threat intelligence, and remediation workflow are integrated. CISA KEV and exploit probability are automatically factored into prioritisation. Independent penetration testing validates the programme.</t>
  </si>
  <si>
    <t xml:space="preserve">Threat Landscape Assessment has not been conducted. Vulnerabilities and threats are discovered reactively through exploitation, not proactive identification.</t>
  </si>
  <si>
    <t xml:space="preserve">Threat Landscape Assessment is conducted intermittently or on request. Coverage is partial and findings are not systematically tracked to closure.</t>
  </si>
  <si>
    <t xml:space="preserve">Regular assessment of the threat landscape relevant to the organisation's sector. Threat Landscape Assessment is documented, consistently applied across all in-scope assets, reviewed at least annually, and formally governed. Exceptions are tracked and managed with named owners. This level meets the minimum regulatory evidence standard.</t>
  </si>
  <si>
    <t xml:space="preserve">Threat Landscape Assessment is governed by defined SLAs — Critical ≤72h, High ≤7d, Medium ≤30d — with automated tracking and SLA breach alerting. Coverage and remediation metrics are reported to leadership monthly.</t>
  </si>
  <si>
    <t xml:space="preserve">Threat Landscape Assessment is fully automated — continuous vulnerability scanning, prioritisation from threat intelligence, and remediation workflow are integrated. CISA KEV and exploit probability are automatically factored into prioritisation. Independent penetration testing validates the programme.</t>
  </si>
  <si>
    <t xml:space="preserve">Vulnerability Management Programme has not been conducted. Vulnerabilities and threats are discovered reactively through exploitation, not proactive identification.</t>
  </si>
  <si>
    <t xml:space="preserve">Vulnerability Management Programme is conducted intermittently or on request. Coverage is partial and findings are not systematically tracked to closure.</t>
  </si>
  <si>
    <t xml:space="preserve">Structured vulnerability identification, prioritisation, and remediation across all asset classes. Vulnerability Management Programme is documented, consistently applied across all in-scope assets, reviewed at least annually, and formally governed. Exceptions are tracked and managed with named owners. This level meets the minimum regulatory evidence standard.</t>
  </si>
  <si>
    <t xml:space="preserve">Vulnerability Management Programme is governed by defined SLAs — Critical ≤72h, High ≤7d, Medium ≤30d — with automated tracking and SLA breach alerting. Coverage and remediation metrics are reported to leadership monthly.</t>
  </si>
  <si>
    <t xml:space="preserve">Vulnerability Management Programme is fully automated — continuous vulnerability scanning, prioritisation from threat intelligence, and remediation workflow are integrated. CISA KEV and exploit probability are automatically factored into prioritisation. Independent penetration testing validates the programme.</t>
  </si>
  <si>
    <t xml:space="preserve">Penetration Testing Programme has not been conducted. Vulnerabilities and threats are discovered reactively through exploitation, not proactive identification.</t>
  </si>
  <si>
    <t xml:space="preserve">Penetration Testing Programme is conducted intermittently or on request. Coverage is partial and findings are not systematically tracked to closure.</t>
  </si>
  <si>
    <t xml:space="preserve">Regular internal and external penetration testing with findings tracked to closure. Penetration Testing Programme is documented, consistently applied across all in-scope assets, reviewed at least annually, and formally governed. Exceptions are tracked and managed with named owners. This level meets the minimum regulatory evidence standard.</t>
  </si>
  <si>
    <t xml:space="preserve">Penetration Testing Programme is governed by defined SLAs — Critical ≤72h, High ≤7d, Medium ≤30d — with automated tracking and SLA breach alerting. Coverage and remediation metrics are reported to leadership monthly.</t>
  </si>
  <si>
    <t xml:space="preserve">Penetration Testing Programme is fully automated — continuous vulnerability scanning, prioritisation from threat intelligence, and remediation workflow are integrated. CISA KEV and exploit probability are automatically factored into prioritisation. Independent penetration testing validates the programme.</t>
  </si>
  <si>
    <t xml:space="preserve">Third-Party Security Rating Monitoring has not been conducted. Vulnerabilities and threats are discovered reactively through exploitation, not proactive identification.</t>
  </si>
  <si>
    <t xml:space="preserve">Third-Party Security Rating Monitoring is conducted intermittently or on request. Coverage is partial and findings are not systematically tracked to closure.</t>
  </si>
  <si>
    <t xml:space="preserve">Continuous monitoring of critical supplier security ratings and exposure. Third-Party Security Rating Monitoring is documented, consistently applied across all in-scope assets, reviewed at least annually, and formally governed. Exceptions are tracked and managed with named owners. This level meets the minimum regulatory evidence standard.</t>
  </si>
  <si>
    <t xml:space="preserve">Third-Party Security Rating Monitoring is governed by defined SLAs — Critical ≤72h, High ≤7d, Medium ≤30d — with automated tracking and SLA breach alerting. Coverage and remediation metrics are reported to leadership monthly.</t>
  </si>
  <si>
    <t xml:space="preserve">Third-Party Security Rating Monitoring is fully automated — continuous vulnerability scanning, prioritisation from threat intelligence, and remediation workflow are integrated. CISA KEV and exploit probability are automatically factored into prioritisation. Independent penetration testing validates the programme.</t>
  </si>
  <si>
    <t xml:space="preserve">Critical Asset Identification &amp; Prioritisation is absent. Business risk context is informal and disconnected from security investment decisions.</t>
  </si>
  <si>
    <t xml:space="preserve">Some critical asset identification &amp; prioritisation activity exists but is disconnected from security investment decisions or reported informally.</t>
  </si>
  <si>
    <t xml:space="preserve">Identification of crown-jewel assets requiring enhanced protection based on business criticality. Critical Asset Identification &amp; Prioritisation is documented, consistently applied across all in-scope assets, reviewed at least annually, and formally governed. Exceptions are tracked and managed with named owners. This level meets the minimum regulatory evidence standard.</t>
  </si>
  <si>
    <t xml:space="preserve">Critical Asset Identification &amp; Prioritisation is measured with defined KPIs. Financial quantification, coverage completeness, and benchmarking accuracy are tracked and reported to investment committees and the board.</t>
  </si>
  <si>
    <t xml:space="preserve">Critical Asset Identification &amp; Prioritisation is fully automated with live financial quantification, continuous benchmarking, and predictive risk modelling. Independent assurance validates the measurement model annually. Outputs automatically populate board risk reporting without manual compilation.</t>
  </si>
  <si>
    <t xml:space="preserve">SOX IT General Controls Assessment is absent. Business risk context is informal and disconnected from security investment decisions.</t>
  </si>
  <si>
    <t xml:space="preserve">Some sox it general controls assessment activity exists but is disconnected from security investment decisions or reported informally.</t>
  </si>
  <si>
    <t xml:space="preserve">IT general controls documented and assessed for financial reporting systems. SOX IT General Controls Assessment is documented, consistently applied across all in-scope assets, reviewed at least annually, and formally governed. Exceptions are tracked and managed with named owners. This level meets the minimum regulatory evidence standard.</t>
  </si>
  <si>
    <t xml:space="preserve">SOX IT General Controls Assessment is measured with defined KPIs. Financial quantification, coverage completeness, and benchmarking accuracy are tracked and reported to investment committees and the board.</t>
  </si>
  <si>
    <t xml:space="preserve">SOX IT General Controls Assessment is fully automated with live financial quantification, continuous benchmarking, and predictive risk modelling. Independent assurance validates the measurement model annually. Outputs automatically populate board risk reporting without manual compilation.</t>
  </si>
  <si>
    <t xml:space="preserve">HIPAA Risk Analysis is absent. Business risk context is informal and disconnected from security investment decisions.</t>
  </si>
  <si>
    <t xml:space="preserve">Some hipaa risk analysis activity exists but is disconnected from security investment decisions or reported informally.</t>
  </si>
  <si>
    <t xml:space="preserve">HIPAA-compliant risk analysis covering all ePHI systems and processes. HIPAA Risk Analysis is documented, consistently applied across all in-scope assets, reviewed at least annually, and formally governed. Exceptions are tracked and managed with named owners. This level meets the minimum regulatory evidence standard.</t>
  </si>
  <si>
    <t xml:space="preserve">HIPAA Risk Analysis is measured with defined KPIs. Financial quantification, coverage completeness, and benchmarking accuracy are tracked and reported to investment committees and the board.</t>
  </si>
  <si>
    <t xml:space="preserve">HIPAA Risk Analysis is fully automated with live financial quantification, continuous benchmarking, and predictive risk modelling. Independent assurance validates the measurement model annually. Outputs automatically populate board risk reporting without manual compilation.</t>
  </si>
  <si>
    <t xml:space="preserve">Security Metrics &amp; Measurement Framework is absent. Business risk context is informal and disconnected from security investment decisions.</t>
  </si>
  <si>
    <t xml:space="preserve">Some security metrics &amp; measurement framework activity exists but is disconnected from security investment decisions or reported informally.</t>
  </si>
  <si>
    <t xml:space="preserve">Defined KPI/KRI library for cybersecurity programme performance measurement. Security Metrics &amp; Measurement Framework is documented, consistently applied across all in-scope assets, reviewed at least annually, and formally governed. Exceptions are tracked and managed with named owners. This level meets the minimum regulatory evidence standard.</t>
  </si>
  <si>
    <t xml:space="preserve">Security Metrics &amp; Measurement Framework is measured with defined KPIs. Financial quantification, coverage completeness, and benchmarking accuracy are tracked and reported to investment committees and the board.</t>
  </si>
  <si>
    <t xml:space="preserve">Security Metrics &amp; Measurement Framework is fully automated with live financial quantification, continuous benchmarking, and predictive risk modelling. Independent assurance validates the measurement model annually. Outputs automatically populate board risk reporting without manual compilation.</t>
  </si>
  <si>
    <t xml:space="preserve">Red Team Programme is absent. Business risk context is informal and disconnected from security investment decisions.</t>
  </si>
  <si>
    <t xml:space="preserve">Some red team programme activity exists but is disconnected from security investment decisions or reported informally.</t>
  </si>
  <si>
    <t xml:space="preserve">Adversarial red team programme to test detection and response capabilities under realistic attack scenarios. Red Team Programme is documented, consistently applied across all in-scope assets, reviewed at least annually, and formally governed. Exceptions are tracked and managed with named owners. This level meets the minimum regulatory evidence standard.</t>
  </si>
  <si>
    <t xml:space="preserve">Red Team Programme is measured with defined KPIs. Financial quantification, coverage completeness, and benchmarking accuracy are tracked and reported to investment committees and the board.</t>
  </si>
  <si>
    <t xml:space="preserve">Red Team Programme is fully automated with live financial quantification, continuous benchmarking, and predictive risk modelling. Independent assurance validates the measurement model annually. Outputs automatically populate board risk reporting without manual compilation.</t>
  </si>
  <si>
    <t xml:space="preserve">🛡️  PROTECT — Controls, Architecture &amp; Safeguards  |  Controls 51–133  |  Weight: 26%</t>
  </si>
  <si>
    <t xml:space="preserve">Multi-Factor Authentication — All Users is absent or manually managed with no formal process. Access rights are accumulated over time with no certification or revocation discipline.</t>
  </si>
  <si>
    <t xml:space="preserve">Multi-Factor Authentication — All Users is partially implemented — core accounts are managed but coverage is incomplete, processes are manual, and exceptions accumulate.</t>
  </si>
  <si>
    <t xml:space="preserve">MFA enforced for all users on all systems and applications. Multi-Factor Authentication — All Users is documented, consistently applied across all in-scope assets, reviewed at least annually, and formally governed. Exceptions are tracked and managed with named owners. This level meets the minimum regulatory evidence standard.</t>
  </si>
  <si>
    <t xml:space="preserve">Multi-Factor Authentication — All Users is KPI-driven — coverage percentage, SLA adherence, exception volume, and access certification completion rate are measured. Identity posture is reported to governance and automated alerting triggers on threshold breach.</t>
  </si>
  <si>
    <t xml:space="preserve">Multi-Factor Authentication — All Users is fully automated — provisioning, certification, revocation, and anomaly detection operate without manual intervention. Self-healing recertification closes drift automatically. Independent assurance validates the identity governance model annually.</t>
  </si>
  <si>
    <t xml:space="preserve">Phishing-Resistant MFA for Privileged Accounts is absent or manually managed with no formal process. Access rights are accumulated over time with no certification or revocation discipline.</t>
  </si>
  <si>
    <t xml:space="preserve">Phishing-Resistant MFA for Privileged Accounts is partially implemented — core accounts are managed but coverage is incomplete, processes are manual, and exceptions accumulate.</t>
  </si>
  <si>
    <t xml:space="preserve">Hardware tokens or FIDO2 for all privileged and administrative accounts. Phishing-Resistant MFA for Privileged Accounts is documented, consistently applied across all in-scope assets, reviewed at least annually, and formally governed. Exceptions are tracked and managed with named owners. This level meets the minimum regulatory evidence standard.</t>
  </si>
  <si>
    <t xml:space="preserve">Phishing-Resistant MFA for Privileged Accounts is KPI-driven — coverage percentage, SLA adherence, exception volume, and access certification completion rate are measured. Identity posture is reported to governance and automated alerting triggers on threshold breach.</t>
  </si>
  <si>
    <t xml:space="preserve">Phishing-Resistant MFA for Privileged Accounts is fully automated — provisioning, certification, revocation, and anomaly detection operate without manual intervention. Self-healing recertification closes drift automatically. Independent assurance validates the identity governance model annually.</t>
  </si>
  <si>
    <t xml:space="preserve">Privileged Access Management (PAM) is absent or manually managed with no formal process. Access rights are accumulated over time with no certification or revocation discipline.</t>
  </si>
  <si>
    <t xml:space="preserve">Privileged Access Management (PAM) is partially implemented — core accounts are managed but coverage is incomplete, processes are manual, and exceptions accumulate.</t>
  </si>
  <si>
    <t xml:space="preserve">All privileged accounts managed through PAM with session recording and credential vaulting. Privileged Access Management (PAM) is documented, consistently applied across all in-scope assets, reviewed at least annually, and formally governed. Exceptions are tracked and managed with named owners. This level meets the minimum regulatory evidence standard.</t>
  </si>
  <si>
    <t xml:space="preserve">Privileged Access Management (PAM) is KPI-driven — coverage percentage, SLA adherence, exception volume, and access certification completion rate are measured. Identity posture is reported to governance and automated alerting triggers on threshold breach.</t>
  </si>
  <si>
    <t xml:space="preserve">Privileged Access Management (PAM) is fully automated — provisioning, certification, revocation, and anomaly detection operate without manual intervention. Self-healing recertification closes drift automatically. Independent assurance validates the identity governance model annually.</t>
  </si>
  <si>
    <t xml:space="preserve">Identity Lifecycle — Joiners Process is absent or manually managed with no formal process. Access rights are accumulated over time with no certification or revocation discipline.</t>
  </si>
  <si>
    <t xml:space="preserve">Identity Lifecycle — Joiners Process is partially implemented — core accounts are managed but coverage is incomplete, processes are manual, and exceptions accumulate.</t>
  </si>
  <si>
    <t xml:space="preserve">Automated provisioning of access based on role with manager approval within SLA. Identity Lifecycle — Joiners Process is documented, consistently applied across all in-scope assets, reviewed at least annually, and formally governed. Exceptions are tracked and managed with named owners. This level meets the minimum regulatory evidence standard.</t>
  </si>
  <si>
    <t xml:space="preserve">Identity Lifecycle — Joiners Process is KPI-driven — coverage percentage, SLA adherence, exception volume, and access certification completion rate are measured. Identity posture is reported to governance and automated alerting triggers on threshold breach.</t>
  </si>
  <si>
    <t xml:space="preserve">Identity Lifecycle — Joiners Process is fully automated — provisioning, certification, revocation, and anomaly detection operate without manual intervention. Self-healing recertification closes drift automatically. Independent assurance validates the identity governance model annually.</t>
  </si>
  <si>
    <t xml:space="preserve">Identity Lifecycle — Movers Process is absent or manually managed with no formal process. Access rights are accumulated over time with no certification or revocation discipline.</t>
  </si>
  <si>
    <t xml:space="preserve">Identity Lifecycle — Movers Process is partially implemented — core accounts are managed but coverage is incomplete, processes are manual, and exceptions accumulate.</t>
  </si>
  <si>
    <t xml:space="preserve">Access rights updated within SLA when employees change role. Identity Lifecycle — Movers Process is documented, consistently applied across all in-scope assets, reviewed at least annually, and formally governed. Exceptions are tracked and managed with named owners. This level meets the minimum regulatory evidence standard.</t>
  </si>
  <si>
    <t xml:space="preserve">Identity Lifecycle — Movers Process is KPI-driven — coverage percentage, SLA adherence, exception volume, and access certification completion rate are measured. Identity posture is reported to governance and automated alerting triggers on threshold breach.</t>
  </si>
  <si>
    <t xml:space="preserve">Identity Lifecycle — Movers Process is fully automated — provisioning, certification, revocation, and anomaly detection operate without manual intervention. Self-healing recertification closes drift automatically. Independent assurance validates the identity governance model annually.</t>
  </si>
  <si>
    <t xml:space="preserve">Identity Lifecycle — Leavers Process is absent or manually managed with no formal process. Access rights are accumulated over time with no certification or revocation discipline.</t>
  </si>
  <si>
    <t xml:space="preserve">Identity Lifecycle — Leavers Process is partially implemented — core accounts are managed but coverage is incomplete, processes are manual, and exceptions accumulate.</t>
  </si>
  <si>
    <t xml:space="preserve">All access revoked within SLA at departure; privileged access revoked immediately. Identity Lifecycle — Leavers Process is documented, consistently applied across all in-scope assets, reviewed at least annually, and formally governed. Exceptions are tracked and managed with named owners. This level meets the minimum regulatory evidence standard.</t>
  </si>
  <si>
    <t xml:space="preserve">Identity Lifecycle — Leavers Process is KPI-driven — coverage percentage, SLA adherence, exception volume, and access certification completion rate are measured. Identity posture is reported to governance and automated alerting triggers on threshold breach.</t>
  </si>
  <si>
    <t xml:space="preserve">Identity Lifecycle — Leavers Process is fully automated — provisioning, certification, revocation, and anomaly detection operate without manual intervention. Self-healing recertification closes drift automatically. Independent assurance validates the identity governance model annually.</t>
  </si>
  <si>
    <t xml:space="preserve">Quarterly Access Reviews (Access Certification) is absent or manually managed with no formal process. Access rights are accumulated over time with no certification or revocation discipline.</t>
  </si>
  <si>
    <t xml:space="preserve">Quarterly Access Reviews (Access Certification) is partially implemented — core accounts are managed but coverage is incomplete, processes are manual, and exceptions accumulate.</t>
  </si>
  <si>
    <t xml:space="preserve">Periodic recertification of user access rights by system/data owners. Quarterly Access Reviews (Access Certification) is documented, consistently applied across all in-scope assets, reviewed at least annually, and formally governed. Exceptions are tracked and managed with named owners. This level meets the minimum regulatory evidence standard.</t>
  </si>
  <si>
    <t xml:space="preserve">Quarterly Access Reviews (Access Certification) is KPI-driven — coverage percentage, SLA adherence, exception volume, and access certification completion rate are measured. Identity posture is reported to governance and automated alerting triggers on threshold breach.</t>
  </si>
  <si>
    <t xml:space="preserve">Quarterly Access Reviews (Access Certification) is fully automated — provisioning, certification, revocation, and anomaly detection operate without manual intervention. Self-healing recertification closes drift automatically. Independent assurance validates the identity governance model annually.</t>
  </si>
  <si>
    <t xml:space="preserve">Single Sign-On (SSO) &amp; Federation is absent or manually managed with no formal process. Access rights are accumulated over time with no certification or revocation discipline.</t>
  </si>
  <si>
    <t xml:space="preserve">Single Sign-On (SSO) &amp; Federation is partially implemented — core accounts are managed but coverage is incomplete, processes are manual, and exceptions accumulate.</t>
  </si>
  <si>
    <t xml:space="preserve">SSO deployed for all corporate applications with federated identity management. Single Sign-On (SSO) &amp; Federation is documented, consistently applied across all in-scope assets, reviewed at least annually, and formally governed. Exceptions are tracked and managed with named owners. This level meets the minimum regulatory evidence standard.</t>
  </si>
  <si>
    <t xml:space="preserve">Single Sign-On (SSO) &amp; Federation is KPI-driven — coverage percentage, SLA adherence, exception volume, and access certification completion rate are measured. Identity posture is reported to governance and automated alerting triggers on threshold breach.</t>
  </si>
  <si>
    <t xml:space="preserve">Single Sign-On (SSO) &amp; Federation is fully automated — provisioning, certification, revocation, and anomaly detection operate without manual intervention. Self-healing recertification closes drift automatically. Independent assurance validates the identity governance model annually.</t>
  </si>
  <si>
    <t xml:space="preserve">Separation of Duties (SoD) Controls is absent or manually managed with no formal process. Access rights are accumulated over time with no certification or revocation discipline.</t>
  </si>
  <si>
    <t xml:space="preserve">Separation of Duties (SoD) Controls is partially implemented — core accounts are managed but coverage is incomplete, processes are manual, and exceptions accumulate.</t>
  </si>
  <si>
    <t xml:space="preserve">Conflicting access rights detected and prevented through automated SoD controls. Separation of Duties (SoD) Controls is documented, consistently applied across all in-scope assets, reviewed at least annually, and formally governed. Exceptions are tracked and managed with named owners. This level meets the minimum regulatory evidence standard.</t>
  </si>
  <si>
    <t xml:space="preserve">Separation of Duties (SoD) Controls is KPI-driven — coverage percentage, SLA adherence, exception volume, and access certification completion rate are measured. Identity posture is reported to governance and automated alerting triggers on threshold breach.</t>
  </si>
  <si>
    <t xml:space="preserve">Separation of Duties (SoD) Controls is fully automated — provisioning, certification, revocation, and anomaly detection operate without manual intervention. Self-healing recertification closes drift automatically. Independent assurance validates the identity governance model annually.</t>
  </si>
  <si>
    <t xml:space="preserve">Dormant Account Detection &amp; Management is absent or manually managed with no formal process. Access rights are accumulated over time with no certification or revocation discipline.</t>
  </si>
  <si>
    <t xml:space="preserve">Dormant Account Detection &amp; Management is partially implemented — core accounts are managed but coverage is incomplete, processes are manual, and exceptions accumulate.</t>
  </si>
  <si>
    <t xml:space="preserve">Detection and automated disabling of accounts inactive beyond defined thresholds. Dormant Account Detection &amp; Management is documented, consistently applied across all in-scope assets, reviewed at least annually, and formally governed. Exceptions are tracked and managed with named owners. This level meets the minimum regulatory evidence standard.</t>
  </si>
  <si>
    <t xml:space="preserve">Dormant Account Detection &amp; Management is KPI-driven — coverage percentage, SLA adherence, exception volume, and access certification completion rate are measured. Identity posture is reported to governance and automated alerting triggers on threshold breach.</t>
  </si>
  <si>
    <t xml:space="preserve">Dormant Account Detection &amp; Management is fully automated — provisioning, certification, revocation, and anomaly detection operate without manual intervention. Self-healing recertification closes drift automatically. Independent assurance validates the identity governance model annually.</t>
  </si>
  <si>
    <t xml:space="preserve">Machine Identity &amp; Service Account Management is absent or manually managed with no formal process. Access rights are accumulated over time with no certification or revocation discipline.</t>
  </si>
  <si>
    <t xml:space="preserve">Machine Identity &amp; Service Account Management is partially implemented — core accounts are managed but coverage is incomplete, processes are manual, and exceptions accumulate.</t>
  </si>
  <si>
    <t xml:space="preserve">Governance and lifecycle management of all non-human identities. Machine Identity &amp; Service Account Management is documented, consistently applied across all in-scope assets, reviewed at least annually, and formally governed. Exceptions are tracked and managed with named owners. This level meets the minimum regulatory evidence standard.</t>
  </si>
  <si>
    <t xml:space="preserve">Machine Identity &amp; Service Account Management is KPI-driven — coverage percentage, SLA adherence, exception volume, and access certification completion rate are measured. Identity posture is reported to governance and automated alerting triggers on threshold breach.</t>
  </si>
  <si>
    <t xml:space="preserve">Machine Identity &amp; Service Account Management is fully automated — provisioning, certification, revocation, and anomaly detection operate without manual intervention. Self-healing recertification closes drift automatically. Independent assurance validates the identity governance model annually.</t>
  </si>
  <si>
    <t xml:space="preserve">API Key &amp; Secrets Management is absent or manually managed with no formal process. Access rights are accumulated over time with no certification or revocation discipline.</t>
  </si>
  <si>
    <t xml:space="preserve">API Key &amp; Secrets Management is partially implemented — core accounts are managed but coverage is incomplete, processes are manual, and exceptions accumulate.</t>
  </si>
  <si>
    <t xml:space="preserve">Centralised secrets management for API keys, credentials, and certificates. API Key &amp; Secrets Management is documented, consistently applied across all in-scope assets, reviewed at least annually, and formally governed. Exceptions are tracked and managed with named owners. This level meets the minimum regulatory evidence standard.</t>
  </si>
  <si>
    <t xml:space="preserve">API Key &amp; Secrets Management is KPI-driven — coverage percentage, SLA adherence, exception volume, and access certification completion rate are measured. Identity posture is reported to governance and automated alerting triggers on threshold breach.</t>
  </si>
  <si>
    <t xml:space="preserve">API Key &amp; Secrets Management is fully automated — provisioning, certification, revocation, and anomaly detection operate without manual intervention. Self-healing recertification closes drift automatically. Independent assurance validates the identity governance model annually.</t>
  </si>
  <si>
    <t xml:space="preserve">Zero Trust Architecture (ZTA) Implementation is absent or manually managed with no formal process. Access rights are accumulated over time with no certification or revocation discipline.</t>
  </si>
  <si>
    <t xml:space="preserve">Zero Trust Architecture (ZTA) Implementation is partially implemented — core accounts are managed but coverage is incomplete, processes are manual, and exceptions accumulate.</t>
  </si>
  <si>
    <t xml:space="preserve">Continuous verification model eliminating implicit trust. Zero Trust Architecture (ZTA) Implementation is documented, consistently applied across all in-scope assets, reviewed at least annually, and formally governed. Exceptions are tracked and managed with named owners. This level meets the minimum regulatory evidence standard.</t>
  </si>
  <si>
    <t xml:space="preserve">Zero Trust Architecture (ZTA) Implementation is KPI-driven — coverage percentage, SLA adherence, exception volume, and access certification completion rate are measured. Identity posture is reported to governance and automated alerting triggers on threshold breach.</t>
  </si>
  <si>
    <t xml:space="preserve">Zero Trust Architecture (ZTA) Implementation is fully automated — provisioning, certification, revocation, and anomaly detection operate without manual intervention. Self-healing recertification closes drift automatically. Independent assurance validates the identity governance model annually.</t>
  </si>
  <si>
    <t xml:space="preserve">Encryption at Rest — Sensitive Data has not been implemented. Data is transmitted, stored, or processed without protection controls appropriate to its classification.</t>
  </si>
  <si>
    <t xml:space="preserve">Basic encryption at rest — sensitive data controls exist for the highest-risk data but coverage is incomplete and enforcement is manual.</t>
  </si>
  <si>
    <t xml:space="preserve">Strong encryption applied to all sensitive data in storage across all environments. Encryption at Rest — Sensitive Data is documented, consistently applied across all in-scope assets, reviewed at least annually, and formally governed. Exceptions are tracked and managed with named owners. This level meets the minimum regulatory evidence standard.</t>
  </si>
  <si>
    <t xml:space="preserve">Encryption at Rest — Sensitive Data is continuously measured — coverage percentage, policy violation rates, and key expiry compliance are tracked. Exceptions trigger automated escalation and protection effectiveness is reported to governance.</t>
  </si>
  <si>
    <t xml:space="preserve">Encryption at Rest — Sensitive Data is fully automated — encryption key rotation, DLP policy enforcement, and evidence generation operate continuously without manual intervention. Independent assurance confirms protection effectiveness. Controls adapt automatically to new data types and regulatory changes.</t>
  </si>
  <si>
    <t xml:space="preserve">Encryption in Transit — TLS Enforcement has not been implemented. Data is transmitted, stored, or processed without protection controls appropriate to its classification.</t>
  </si>
  <si>
    <t xml:space="preserve">Basic encryption in transit — tls enforcement controls exist for the highest-risk data but coverage is incomplete and enforcement is manual.</t>
  </si>
  <si>
    <t xml:space="preserve">TLS 1. Encryption in Transit — TLS Enforcement is documented, consistently applied across all in-scope assets, reviewed at least annually, and formally governed. Exceptions are tracked and managed with named owners. This level meets the minimum regulatory evidence standard.</t>
  </si>
  <si>
    <t xml:space="preserve">Encryption in Transit — TLS Enforcement is continuously measured — coverage percentage, policy violation rates, and key expiry compliance are tracked. Exceptions trigger automated escalation and protection effectiveness is reported to governance.</t>
  </si>
  <si>
    <t xml:space="preserve">Encryption in Transit — TLS Enforcement is fully automated — encryption key rotation, DLP policy enforcement, and evidence generation operate continuously without manual intervention. Independent assurance confirms protection effectiveness. Controls adapt automatically to new data types and regulatory changes.</t>
  </si>
  <si>
    <t xml:space="preserve">Data Loss Prevention (DLP) — Email has not been implemented. Data is transmitted, stored, or processed without protection controls appropriate to its classification.</t>
  </si>
  <si>
    <t xml:space="preserve">Basic data loss prevention (dlp) — email controls exist for the highest-risk data but coverage is incomplete and enforcement is manual.</t>
  </si>
  <si>
    <t xml:space="preserve">DLP controls on email to prevent exfiltration of sensitive data. Data Loss Prevention (DLP) — Email is documented, consistently applied across all in-scope assets, reviewed at least annually, and formally governed. Exceptions are tracked and managed with named owners. This level meets the minimum regulatory evidence standard.</t>
  </si>
  <si>
    <t xml:space="preserve">Data Loss Prevention (DLP) — Email is continuously measured — coverage percentage, policy violation rates, and key expiry compliance are tracked. Exceptions trigger automated escalation and protection effectiveness is reported to governance.</t>
  </si>
  <si>
    <t xml:space="preserve">Data Loss Prevention (DLP) — Email is fully automated — encryption key rotation, DLP policy enforcement, and evidence generation operate continuously without manual intervention. Independent assurance confirms protection effectiveness. Controls adapt automatically to new data types and regulatory changes.</t>
  </si>
  <si>
    <t xml:space="preserve">Data Loss Prevention (DLP) — Endpoint has not been implemented. Data is transmitted, stored, or processed without protection controls appropriate to its classification.</t>
  </si>
  <si>
    <t xml:space="preserve">Basic data loss prevention (dlp) — endpoint controls exist for the highest-risk data but coverage is incomplete and enforcement is manual.</t>
  </si>
  <si>
    <t xml:space="preserve">DLP controls on endpoints to prevent data exfiltration via removable media. Data Loss Prevention (DLP) — Endpoint is documented, consistently applied across all in-scope assets, reviewed at least annually, and formally governed. Exceptions are tracked and managed with named owners. This level meets the minimum regulatory evidence standard.</t>
  </si>
  <si>
    <t xml:space="preserve">Data Loss Prevention (DLP) — Endpoint is continuously measured — coverage percentage, policy violation rates, and key expiry compliance are tracked. Exceptions trigger automated escalation and protection effectiveness is reported to governance.</t>
  </si>
  <si>
    <t xml:space="preserve">Data Loss Prevention (DLP) — Endpoint is fully automated — encryption key rotation, DLP policy enforcement, and evidence generation operate continuously without manual intervention. Independent assurance confirms protection effectiveness. Controls adapt automatically to new data types and regulatory changes.</t>
  </si>
  <si>
    <t xml:space="preserve">Data Loss Prevention (DLP) — Cloud &amp; SaaS has not been implemented. Data is transmitted, stored, or processed without protection controls appropriate to its classification.</t>
  </si>
  <si>
    <t xml:space="preserve">Basic data loss prevention (dlp) — cloud &amp; saas controls exist for the highest-risk data but coverage is incomplete and enforcement is manual.</t>
  </si>
  <si>
    <t xml:space="preserve">DLP controls integrated with cloud platforms and SaaS. Data Loss Prevention (DLP) — Cloud &amp; SaaS is documented, consistently applied across all in-scope assets, reviewed at least annually, and formally governed. Exceptions are tracked and managed with named owners. This level meets the minimum regulatory evidence standard.</t>
  </si>
  <si>
    <t xml:space="preserve">Data Loss Prevention (DLP) — Cloud &amp; SaaS is continuously measured — coverage percentage, policy violation rates, and key expiry compliance are tracked. Exceptions trigger automated escalation and protection effectiveness is reported to governance.</t>
  </si>
  <si>
    <t xml:space="preserve">Data Loss Prevention (DLP) — Cloud &amp; SaaS is fully automated — encryption key rotation, DLP policy enforcement, and evidence generation operate continuously without manual intervention. Independent assurance confirms protection effectiveness. Controls adapt automatically to new data types and regulatory changes.</t>
  </si>
  <si>
    <t xml:space="preserve">Data Masking &amp; Pseudonymisation has not been implemented. Data is transmitted, stored, or processed without protection controls appropriate to its classification.</t>
  </si>
  <si>
    <t xml:space="preserve">Basic data masking &amp; pseudonymisation controls exist for the highest-risk data but coverage is incomplete and enforcement is manual.</t>
  </si>
  <si>
    <t xml:space="preserve">Sensitive data masked or pseudonymised in non-production environments and analytics pipelines. Data Masking &amp; Pseudonymisation is documented, consistently applied across all in-scope assets, reviewed at least annually, and formally governed. Exceptions are tracked and managed with named owners. This level meets the minimum regulatory evidence standard.</t>
  </si>
  <si>
    <t xml:space="preserve">Data Masking &amp; Pseudonymisation is continuously measured — coverage percentage, policy violation rates, and key expiry compliance are tracked. Exceptions trigger automated escalation and protection effectiveness is reported to governance.</t>
  </si>
  <si>
    <t xml:space="preserve">Data Masking &amp; Pseudonymisation is fully automated — encryption key rotation, DLP policy enforcement, and evidence generation operate continuously without manual intervention. Independent assurance confirms protection effectiveness. Controls adapt automatically to new data types and regulatory changes.</t>
  </si>
  <si>
    <t xml:space="preserve">Payment Card Data (PAN) Protection has not been implemented. Data is transmitted, stored, or processed without protection controls appropriate to its classification.</t>
  </si>
  <si>
    <t xml:space="preserve">Basic payment card data (pan) protection controls exist for the highest-risk data but coverage is incomplete and enforcement is manual.</t>
  </si>
  <si>
    <t xml:space="preserve">PAN rendered unreadable throughout the CDE with tokenisation or truncation. Payment Card Data (PAN) Protection is documented, consistently applied across all in-scope assets, reviewed at least annually, and formally governed. Exceptions are tracked and managed with named owners. This level meets the minimum regulatory evidence standard.</t>
  </si>
  <si>
    <t xml:space="preserve">Payment Card Data (PAN) Protection is continuously measured — coverage percentage, policy violation rates, and key expiry compliance are tracked. Exceptions trigger automated escalation and protection effectiveness is reported to governance.</t>
  </si>
  <si>
    <t xml:space="preserve">Payment Card Data (PAN) Protection is fully automated — encryption key rotation, DLP policy enforcement, and evidence generation operate continuously without manual intervention. Independent assurance confirms protection effectiveness. Controls adapt automatically to new data types and regulatory changes.</t>
  </si>
  <si>
    <t xml:space="preserve">Backup — Architecture &amp; Immutability has not been implemented. Data is transmitted, stored, or processed without protection controls appropriate to its classification.</t>
  </si>
  <si>
    <t xml:space="preserve">Basic backup — architecture &amp; immutability controls exist for the highest-risk data but coverage is incomplete and enforcement is manual.</t>
  </si>
  <si>
    <t xml:space="preserve">Backup architecture with immutable copies following the 3-2-1-1 rule. Backup — Architecture &amp; Immutability is documented, consistently applied across all in-scope assets, reviewed at least annually, and formally governed. Exceptions are tracked and managed with named owners. This level meets the minimum regulatory evidence standard.</t>
  </si>
  <si>
    <t xml:space="preserve">Backup — Architecture &amp; Immutability is continuously measured — coverage percentage, policy violation rates, and key expiry compliance are tracked. Exceptions trigger automated escalation and protection effectiveness is reported to governance.</t>
  </si>
  <si>
    <t xml:space="preserve">Backup — Architecture &amp; Immutability is fully automated — encryption key rotation, DLP policy enforcement, and evidence generation operate continuously without manual intervention. Independent assurance confirms protection effectiveness. Controls adapt automatically to new data types and regulatory changes.</t>
  </si>
  <si>
    <t xml:space="preserve">Backup — Restoration Testing has not been implemented. Data is transmitted, stored, or processed without protection controls appropriate to its classification.</t>
  </si>
  <si>
    <t xml:space="preserve">Basic backup — restoration testing controls exist for the highest-risk data but coverage is incomplete and enforcement is manual.</t>
  </si>
  <si>
    <t xml:space="preserve">Regular backup restoration testing with documented RTO/RPO achievement. Backup — Restoration Testing is documented, consistently applied across all in-scope assets, reviewed at least annually, and formally governed. Exceptions are tracked and managed with named owners. This level meets the minimum regulatory evidence standard.</t>
  </si>
  <si>
    <t xml:space="preserve">Backup — Restoration Testing is continuously measured — coverage percentage, policy violation rates, and key expiry compliance are tracked. Exceptions trigger automated escalation and protection effectiveness is reported to governance.</t>
  </si>
  <si>
    <t xml:space="preserve">Backup — Restoration Testing is fully automated — encryption key rotation, DLP policy enforcement, and evidence generation operate continuously without manual intervention. Independent assurance confirms protection effectiveness. Controls adapt automatically to new data types and regulatory changes.</t>
  </si>
  <si>
    <t xml:space="preserve">Email Security — DMARC, DKIM, SPF has not been implemented. Data is transmitted, stored, or processed without protection controls appropriate to its classification.</t>
  </si>
  <si>
    <t xml:space="preserve">Basic email security — dmarc, dkim, spf controls exist for the highest-risk data but coverage is incomplete and enforcement is manual.</t>
  </si>
  <si>
    <t xml:space="preserve">Anti-spoofing email authentication controls enforced for all domains. Email Security — DMARC, DKIM, SPF is documented, consistently applied across all in-scope assets, reviewed at least annually, and formally governed. Exceptions are tracked and managed with named owners. This level meets the minimum regulatory evidence standard.</t>
  </si>
  <si>
    <t xml:space="preserve">Email Security — DMARC, DKIM, SPF is continuously measured — coverage percentage, policy violation rates, and key expiry compliance are tracked. Exceptions trigger automated escalation and protection effectiveness is reported to governance.</t>
  </si>
  <si>
    <t xml:space="preserve">Email Security — DMARC, DKIM, SPF is fully automated — encryption key rotation, DLP policy enforcement, and evidence generation operate continuously without manual intervention. Independent assurance confirms protection effectiveness. Controls adapt automatically to new data types and regulatory changes.</t>
  </si>
  <si>
    <t xml:space="preserve">Email Security — Anti-Phishing &amp; Sandboxing has not been implemented. Data is transmitted, stored, or processed without protection controls appropriate to its classification.</t>
  </si>
  <si>
    <t xml:space="preserve">Basic email security — anti-phishing &amp; sandboxing controls exist for the highest-risk data but coverage is incomplete and enforcement is manual.</t>
  </si>
  <si>
    <t xml:space="preserve">Advanced email threat protection with attachment sandboxing and link rewriting. Email Security — Anti-Phishing &amp; Sandboxing is documented, consistently applied across all in-scope assets, reviewed at least annually, and formally governed. Exceptions are tracked and managed with named owners. This level meets the minimum regulatory evidence standard.</t>
  </si>
  <si>
    <t xml:space="preserve">Email Security — Anti-Phishing &amp; Sandboxing is continuously measured — coverage percentage, policy violation rates, and key expiry compliance are tracked. Exceptions trigger automated escalation and protection effectiveness is reported to governance.</t>
  </si>
  <si>
    <t xml:space="preserve">Email Security — Anti-Phishing &amp; Sandboxing is fully automated — encryption key rotation, DLP policy enforcement, and evidence generation operate continuously without manual intervention. Independent assurance confirms protection effectiveness. Controls adapt automatically to new data types and regulatory changes.</t>
  </si>
  <si>
    <t xml:space="preserve">Cryptographic Standards &amp; Key Lifecycle has not been implemented. Data is transmitted, stored, or processed without protection controls appropriate to its classification.</t>
  </si>
  <si>
    <t xml:space="preserve">Basic cryptographic standards &amp; key lifecycle controls exist for the highest-risk data but coverage is incomplete and enforcement is manual.</t>
  </si>
  <si>
    <t xml:space="preserve">Defined cryptographic standards with formal key lifecycle management. Cryptographic Standards &amp; Key Lifecycle is documented, consistently applied across all in-scope assets, reviewed at least annually, and formally governed. Exceptions are tracked and managed with named owners. This level meets the minimum regulatory evidence standard.</t>
  </si>
  <si>
    <t xml:space="preserve">Cryptographic Standards &amp; Key Lifecycle is continuously measured — coverage percentage, policy violation rates, and key expiry compliance are tracked. Exceptions trigger automated escalation and protection effectiveness is reported to governance.</t>
  </si>
  <si>
    <t xml:space="preserve">Cryptographic Standards &amp; Key Lifecycle is fully automated — encryption key rotation, DLP policy enforcement, and evidence generation operate continuously without manual intervention. Independent assurance confirms protection effectiveness. Controls adapt automatically to new data types and regulatory changes.</t>
  </si>
  <si>
    <t xml:space="preserve">Endpoint Detection &amp; Response (EDR) is absent or deployed inconsistently. Endpoints are hardened ad hoc with no baseline, no verification, and no SLA.</t>
  </si>
  <si>
    <t xml:space="preserve">Basic endpoint detection &amp; response (edr) is deployed across most endpoints but coverage is incomplete, baselines are undocumented, and SLAs are undefined.</t>
  </si>
  <si>
    <t xml:space="preserve">Behavioural EDR deployed across all managed endpoints with real-time telemetry. Endpoint Detection &amp; Response (EDR) is documented, consistently applied across all in-scope assets, reviewed at least annually, and formally governed. Exceptions are tracked and managed with named owners. This level meets the minimum regulatory evidence standard.</t>
  </si>
  <si>
    <t xml:space="preserve">Endpoint Detection &amp; Response (EDR) is KPI-driven — coverage ≥99%, SLA adherence, and hardening compliance rate are measured continuously. Automated reporting detects coverage drift within 4 hours and reports to governance monthly.</t>
  </si>
  <si>
    <t xml:space="preserve">Endpoint Detection &amp; Response (EDR) is fully automated — coverage monitoring, patch deployment, hardening drift remediation, and alert response operate without manual intervention. Self-healing closes configuration gaps automatically. Independent red team validates effectiveness annually.</t>
  </si>
  <si>
    <t xml:space="preserve">Endpoint Hardening &amp; CIS Benchmark Compliance is absent or deployed inconsistently. Endpoints are hardened ad hoc with no baseline, no verification, and no SLA.</t>
  </si>
  <si>
    <t xml:space="preserve">Basic endpoint hardening &amp; cis benchmark compliance is deployed across most endpoints but coverage is incomplete, baselines are undocumented, and SLAs are undefined.</t>
  </si>
  <si>
    <t xml:space="preserve">CIS benchmark-based hardening applied and continuously validated across all endpoint types. Endpoint Hardening &amp; CIS Benchmark Compliance is documented, consistently applied across all in-scope assets, reviewed at least annually, and formally governed. Exceptions are tracked and managed with named owners. This level meets the minimum regulatory evidence standard.</t>
  </si>
  <si>
    <t xml:space="preserve">Endpoint Hardening &amp; CIS Benchmark Compliance is KPI-driven — coverage ≥99%, SLA adherence, and hardening compliance rate are measured continuously. Automated reporting detects coverage drift within 4 hours and reports to governance monthly.</t>
  </si>
  <si>
    <t xml:space="preserve">Endpoint Hardening &amp; CIS Benchmark Compliance is fully automated — coverage monitoring, patch deployment, hardening drift remediation, and alert response operate without manual intervention. Self-healing closes configuration gaps automatically. Independent red team validates effectiveness annually.</t>
  </si>
  <si>
    <t xml:space="preserve">Patch Management — Critical &amp; High Vulnerabilities is absent or deployed inconsistently. Endpoints are hardened ad hoc with no baseline, no verification, and no SLA.</t>
  </si>
  <si>
    <t xml:space="preserve">Basic patch management — critical &amp; high vulnerabilities is deployed across most endpoints but coverage is incomplete, baselines are undocumented, and SLAs are undefined.</t>
  </si>
  <si>
    <t xml:space="preserve">Critical and high-severity vulnerabilities patched within defined SLAs across all systems. Patch Management — Critical &amp; High Vulnerabilities is documented, consistently applied across all in-scope assets, reviewed at least annually, and formally governed. Exceptions are tracked and managed with named owners. This level meets the minimum regulatory evidence standard.</t>
  </si>
  <si>
    <t xml:space="preserve">Patch Management — Critical &amp; High Vulnerabilities is KPI-driven — coverage ≥99%, SLA adherence, and hardening compliance rate are measured continuously. Automated reporting detects coverage drift within 4 hours and reports to governance monthly.</t>
  </si>
  <si>
    <t xml:space="preserve">Patch Management — Critical &amp; High Vulnerabilities is fully automated — coverage monitoring, patch deployment, hardening drift remediation, and alert response operate without manual intervention. Self-healing closes configuration gaps automatically. Independent red team validates effectiveness annually.</t>
  </si>
  <si>
    <t xml:space="preserve">Patch Management — Medium &amp; Low Vulnerabilities is absent or deployed inconsistently. Endpoints are hardened ad hoc with no baseline, no verification, and no SLA.</t>
  </si>
  <si>
    <t xml:space="preserve">Basic patch management — medium &amp; low vulnerabilities is deployed across most endpoints but coverage is incomplete, baselines are undocumented, and SLAs are undefined.</t>
  </si>
  <si>
    <t xml:space="preserve">Medium and low-severity vulnerabilities patched within defined SLAs. Patch Management — Medium &amp; Low Vulnerabilities is documented, consistently applied across all in-scope assets, reviewed at least annually, and formally governed. Exceptions are tracked and managed with named owners. This level meets the minimum regulatory evidence standard.</t>
  </si>
  <si>
    <t xml:space="preserve">Patch Management — Medium &amp; Low Vulnerabilities is KPI-driven — coverage ≥99%, SLA adherence, and hardening compliance rate are measured continuously. Automated reporting detects coverage drift within 4 hours and reports to governance monthly.</t>
  </si>
  <si>
    <t xml:space="preserve">Patch Management — Medium &amp; Low Vulnerabilities is fully automated — coverage monitoring, patch deployment, hardening drift remediation, and alert response operate without manual intervention. Self-healing closes configuration gaps automatically. Independent red team validates effectiveness annually.</t>
  </si>
  <si>
    <t xml:space="preserve">End-of-Life (EOL) Software &amp; OS Management is absent or deployed inconsistently. Endpoints are hardened ad hoc with no baseline, no verification, and no SLA.</t>
  </si>
  <si>
    <t xml:space="preserve">Basic end-of-life (eol) software &amp; os management is deployed across most endpoints but coverage is incomplete, baselines are undocumented, and SLAs are undefined.</t>
  </si>
  <si>
    <t xml:space="preserve">Automated detection and mandatory retirement of EOL and unsupported software. End-of-Life (EOL) Software &amp; OS Management is documented, consistently applied across all in-scope assets, reviewed at least annually, and formally governed. Exceptions are tracked and managed with named owners. This level meets the minimum regulatory evidence standard.</t>
  </si>
  <si>
    <t xml:space="preserve">End-of-Life (EOL) Software &amp; OS Management is KPI-driven — coverage ≥99%, SLA adherence, and hardening compliance rate are measured continuously. Automated reporting detects coverage drift within 4 hours and reports to governance monthly.</t>
  </si>
  <si>
    <t xml:space="preserve">End-of-Life (EOL) Software &amp; OS Management is fully automated — coverage monitoring, patch deployment, hardening drift remediation, and alert response operate without manual intervention. Self-healing closes configuration gaps automatically. Independent red team validates effectiveness annually.</t>
  </si>
  <si>
    <t xml:space="preserve">Application Whitelisting / Allowlisting is absent or deployed inconsistently. Endpoints are hardened ad hoc with no baseline, no verification, and no SLA.</t>
  </si>
  <si>
    <t xml:space="preserve">Basic application whitelisting / allowlisting is deployed across most endpoints but coverage is incomplete, baselines are undocumented, and SLAs are undefined.</t>
  </si>
  <si>
    <t xml:space="preserve">Application execution control preventing unauthorised software from running. Application Whitelisting / Allowlisting is documented, consistently applied across all in-scope assets, reviewed at least annually, and formally governed. Exceptions are tracked and managed with named owners. This level meets the minimum regulatory evidence standard.</t>
  </si>
  <si>
    <t xml:space="preserve">Application Whitelisting / Allowlisting is KPI-driven — coverage ≥99%, SLA adherence, and hardening compliance rate are measured continuously. Automated reporting detects coverage drift within 4 hours and reports to governance monthly.</t>
  </si>
  <si>
    <t xml:space="preserve">Application Whitelisting / Allowlisting is fully automated — coverage monitoring, patch deployment, hardening drift remediation, and alert response operate without manual intervention. Self-healing closes configuration gaps automatically. Independent red team validates effectiveness annually.</t>
  </si>
  <si>
    <t xml:space="preserve">Removable Media Controls is absent or deployed inconsistently. Endpoints are hardened ad hoc with no baseline, no verification, and no SLA.</t>
  </si>
  <si>
    <t xml:space="preserve">Basic removable media controls is deployed across most endpoints but coverage is incomplete, baselines are undocumented, and SLAs are undefined.</t>
  </si>
  <si>
    <t xml:space="preserve">USB and removable media usage controlled with DLP enforcement. Removable Media Controls is documented, consistently applied across all in-scope assets, reviewed at least annually, and formally governed. Exceptions are tracked and managed with named owners. This level meets the minimum regulatory evidence standard.</t>
  </si>
  <si>
    <t xml:space="preserve">Removable Media Controls is KPI-driven — coverage ≥99%, SLA adherence, and hardening compliance rate are measured continuously. Automated reporting detects coverage drift within 4 hours and reports to governance monthly.</t>
  </si>
  <si>
    <t xml:space="preserve">Removable Media Controls is fully automated — coverage monitoring, patch deployment, hardening drift remediation, and alert response operate without manual intervention. Self-healing closes configuration gaps automatically. Independent red team validates effectiveness annually.</t>
  </si>
  <si>
    <t xml:space="preserve">Mobile Device Management (MDM) is absent or deployed inconsistently. Endpoints are hardened ad hoc with no baseline, no verification, and no SLA.</t>
  </si>
  <si>
    <t xml:space="preserve">Basic mobile device management (mdm) is deployed across most endpoints but coverage is incomplete, baselines are undocumented, and SLAs are undefined.</t>
  </si>
  <si>
    <t xml:space="preserve">MDM controlling all corporate and BYOD mobile devices accessing corporate data. Mobile Device Management (MDM) is documented, consistently applied across all in-scope assets, reviewed at least annually, and formally governed. Exceptions are tracked and managed with named owners. This level meets the minimum regulatory evidence standard.</t>
  </si>
  <si>
    <t xml:space="preserve">Mobile Device Management (MDM) is KPI-driven — coverage ≥99%, SLA adherence, and hardening compliance rate are measured continuously. Automated reporting detects coverage drift within 4 hours and reports to governance monthly.</t>
  </si>
  <si>
    <t xml:space="preserve">Mobile Device Management (MDM) is fully automated — coverage monitoring, patch deployment, hardening drift remediation, and alert response operate without manual intervention. Self-healing closes configuration gaps automatically. Independent red team validates effectiveness annually.</t>
  </si>
  <si>
    <t xml:space="preserve">Network Segmentation — Zone Architecture has not been implemented. Network traffic is unrestricted between zones or flows without inspection or filtering.</t>
  </si>
  <si>
    <t xml:space="preserve">Basic network controls exist but segmentation is partial, rules are unreviewed, and coverage does not extend to all environments.</t>
  </si>
  <si>
    <t xml:space="preserve">Network zone architecture separating corporate, DMZ, production, and guest environments. Network Segmentation — Zone Architecture is documented, consistently applied across all in-scope assets, reviewed at least annually, and formally governed. Exceptions are tracked and managed with named owners. This level meets the minimum regulatory evidence standard.</t>
  </si>
  <si>
    <t xml:space="preserve">Network Segmentation — Zone Architecture is measured — traffic volume, rule compliance, segmentation validation results, and alert volume are tracked. Network security posture is reported to governance and anomalies trigger automated escalation.</t>
  </si>
  <si>
    <t xml:space="preserve">Network Segmentation — Zone Architecture is fully automated — rule management, drift detection, segmentation validation, and anomaly response are continuous and self-healing. Independent architecture review validates the network security model. Controls adapt automatically to topology changes.</t>
  </si>
  <si>
    <t xml:space="preserve">Network Microsegmentation (Cloud &amp; Data Centre) has not been implemented. Network traffic is unrestricted between zones or flows without inspection or filtering.</t>
  </si>
  <si>
    <t xml:space="preserve">East-west traffic microsegmentation in cloud and data centre to limit lateral movement. Network Microsegmentation (Cloud &amp; Data Centre) is documented, consistently applied across all in-scope assets, reviewed at least annually, and formally governed. Exceptions are tracked and managed with named owners. This level meets the minimum regulatory evidence standard.</t>
  </si>
  <si>
    <t xml:space="preserve">Network Microsegmentation (Cloud &amp; Data Centre) is measured — traffic volume, rule compliance, segmentation validation results, and alert volume are tracked. Network security posture is reported to governance and anomalies trigger automated escalation.</t>
  </si>
  <si>
    <t xml:space="preserve">Network Microsegmentation (Cloud &amp; Data Centre) is fully automated — rule management, drift detection, segmentation validation, and anomaly response are continuous and self-healing. Independent architecture review validates the network security model. Controls adapt automatically to topology changes.</t>
  </si>
  <si>
    <t xml:space="preserve">CDE Network Segmentation Validation has not been implemented. Network traffic is unrestricted between zones or flows without inspection or filtering.</t>
  </si>
  <si>
    <t xml:space="preserve">Annual validation of PCI DSS CDE segmentation effectiveness. CDE Network Segmentation Validation is documented, consistently applied across all in-scope assets, reviewed at least annually, and formally governed. Exceptions are tracked and managed with named owners. This level meets the minimum regulatory evidence standard.</t>
  </si>
  <si>
    <t xml:space="preserve">CDE Network Segmentation Validation is measured — traffic volume, rule compliance, segmentation validation results, and alert volume are tracked. Network security posture is reported to governance and anomalies trigger automated escalation.</t>
  </si>
  <si>
    <t xml:space="preserve">CDE Network Segmentation Validation is fully automated — rule management, drift detection, segmentation validation, and anomaly response are continuous and self-healing. Independent architecture review validates the network security model. Controls adapt automatically to topology changes.</t>
  </si>
  <si>
    <t xml:space="preserve">NGFW &amp; Firewall Rule Management has not been implemented. Network traffic is unrestricted between zones or flows without inspection or filtering.</t>
  </si>
  <si>
    <t xml:space="preserve">Next-generation firewall deployed with regular rule reviews and drift prevention. NGFW &amp; Firewall Rule Management is documented, consistently applied across all in-scope assets, reviewed at least annually, and formally governed. Exceptions are tracked and managed with named owners. This level meets the minimum regulatory evidence standard.</t>
  </si>
  <si>
    <t xml:space="preserve">NGFW &amp; Firewall Rule Management is measured — traffic volume, rule compliance, segmentation validation results, and alert volume are tracked. Network security posture is reported to governance and anomalies trigger automated escalation.</t>
  </si>
  <si>
    <t xml:space="preserve">NGFW &amp; Firewall Rule Management is fully automated — rule management, drift detection, segmentation validation, and anomaly response are continuous and self-healing. Independent architecture review validates the network security model. Controls adapt automatically to topology changes.</t>
  </si>
  <si>
    <t xml:space="preserve">Web Application Firewall (WAF) has not been implemented. Network traffic is unrestricted between zones or flows without inspection or filtering.</t>
  </si>
  <si>
    <t xml:space="preserve">WAF protecting all internet-facing web applications and APIs. Web Application Firewall (WAF) is documented, consistently applied across all in-scope assets, reviewed at least annually, and formally governed. Exceptions are tracked and managed with named owners. This level meets the minimum regulatory evidence standard.</t>
  </si>
  <si>
    <t xml:space="preserve">Web Application Firewall (WAF) is measured — traffic volume, rule compliance, segmentation validation results, and alert volume are tracked. Network security posture is reported to governance and anomalies trigger automated escalation.</t>
  </si>
  <si>
    <t xml:space="preserve">Web Application Firewall (WAF) is fully automated — rule management, drift detection, segmentation validation, and anomaly response are continuous and self-healing. Independent architecture review validates the network security model. Controls adapt automatically to topology changes.</t>
  </si>
  <si>
    <t xml:space="preserve">Zero Trust Network Access (ZTNA) has not been implemented. Network traffic is unrestricted between zones or flows without inspection or filtering.</t>
  </si>
  <si>
    <t xml:space="preserve">ZTNA replacing or augmenting VPN for remote access to corporate applications. Zero Trust Network Access (ZTNA) is documented, consistently applied across all in-scope assets, reviewed at least annually, and formally governed. Exceptions are tracked and managed with named owners. This level meets the minimum regulatory evidence standard.</t>
  </si>
  <si>
    <t xml:space="preserve">Zero Trust Network Access (ZTNA) is measured — traffic volume, rule compliance, segmentation validation results, and alert volume are tracked. Network security posture is reported to governance and anomalies trigger automated escalation.</t>
  </si>
  <si>
    <t xml:space="preserve">Zero Trust Network Access (ZTNA) is fully automated — rule management, drift detection, segmentation validation, and anomaly response are continuous and self-healing. Independent architecture review validates the network security model. Controls adapt automatically to topology changes.</t>
  </si>
  <si>
    <t xml:space="preserve">SASE Architecture has not been implemented. Network traffic is unrestricted between zones or flows without inspection or filtering.</t>
  </si>
  <si>
    <t xml:space="preserve">Secure Access Service Edge convergence of network and security services. SASE Architecture is documented, consistently applied across all in-scope assets, reviewed at least annually, and formally governed. Exceptions are tracked and managed with named owners. This level meets the minimum regulatory evidence standard.</t>
  </si>
  <si>
    <t xml:space="preserve">SASE Architecture is measured — traffic volume, rule compliance, segmentation validation results, and alert volume are tracked. Network security posture is reported to governance and anomalies trigger automated escalation.</t>
  </si>
  <si>
    <t xml:space="preserve">SASE Architecture is fully automated — rule management, drift detection, segmentation validation, and anomaly response are continuous and self-healing. Independent architecture review validates the network security model. Controls adapt automatically to topology changes.</t>
  </si>
  <si>
    <t xml:space="preserve">Protective DNS &amp; DNS Security has not been implemented. Network traffic is unrestricted between zones or flows without inspection or filtering.</t>
  </si>
  <si>
    <t xml:space="preserve">DNS security blocking malicious domains and preventing DNS-based attacks. Protective DNS &amp; DNS Security is documented, consistently applied across all in-scope assets, reviewed at least annually, and formally governed. Exceptions are tracked and managed with named owners. This level meets the minimum regulatory evidence standard.</t>
  </si>
  <si>
    <t xml:space="preserve">Protective DNS &amp; DNS Security is measured — traffic volume, rule compliance, segmentation validation results, and alert volume are tracked. Network security posture is reported to governance and anomalies trigger automated escalation.</t>
  </si>
  <si>
    <t xml:space="preserve">Protective DNS &amp; DNS Security is fully automated — rule management, drift detection, segmentation validation, and anomaly response are continuous and self-healing. Independent architecture review validates the network security model. Controls adapt automatically to topology changes.</t>
  </si>
  <si>
    <t xml:space="preserve">Egress Filtering &amp; Allowlisting has not been implemented. Network traffic is unrestricted between zones or flows without inspection or filtering.</t>
  </si>
  <si>
    <t xml:space="preserve">Outbound traffic filtered to permitted destinations only. Egress Filtering &amp; Allowlisting is documented, consistently applied across all in-scope assets, reviewed at least annually, and formally governed. Exceptions are tracked and managed with named owners. This level meets the minimum regulatory evidence standard.</t>
  </si>
  <si>
    <t xml:space="preserve">Egress Filtering &amp; Allowlisting is measured — traffic volume, rule compliance, segmentation validation results, and alert volume are tracked. Network security posture is reported to governance and anomalies trigger automated escalation.</t>
  </si>
  <si>
    <t xml:space="preserve">Egress Filtering &amp; Allowlisting is fully automated — rule management, drift detection, segmentation validation, and anomaly response are continuous and self-healing. Independent architecture review validates the network security model. Controls adapt automatically to topology changes.</t>
  </si>
  <si>
    <t xml:space="preserve">Network Intrusion Prevention (IPS) has not been implemented. Network traffic is unrestricted between zones or flows without inspection or filtering.</t>
  </si>
  <si>
    <t xml:space="preserve">Inline intrusion prevention detecting and blocking network attacks in real time. Network Intrusion Prevention (IPS) is documented, consistently applied across all in-scope assets, reviewed at least annually, and formally governed. Exceptions are tracked and managed with named owners. This level meets the minimum regulatory evidence standard.</t>
  </si>
  <si>
    <t xml:space="preserve">Network Intrusion Prevention (IPS) is measured — traffic volume, rule compliance, segmentation validation results, and alert volume are tracked. Network security posture is reported to governance and anomalies trigger automated escalation.</t>
  </si>
  <si>
    <t xml:space="preserve">Network Intrusion Prevention (IPS) is fully automated — rule management, drift detection, segmentation validation, and anomaly response are continuous and self-healing. Independent architecture review validates the network security model. Controls adapt automatically to topology changes.</t>
  </si>
  <si>
    <t xml:space="preserve">Remote Administration Security has not been implemented. Network traffic is unrestricted between zones or flows without inspection or filtering.</t>
  </si>
  <si>
    <t xml:space="preserve">Secure protocols and jump servers enforced for all remote system administration. Remote Administration Security is documented, consistently applied across all in-scope assets, reviewed at least annually, and formally governed. Exceptions are tracked and managed with named owners. This level meets the minimum regulatory evidence standard.</t>
  </si>
  <si>
    <t xml:space="preserve">Remote Administration Security is measured — traffic volume, rule compliance, segmentation validation results, and alert volume are tracked. Network security posture is reported to governance and anomalies trigger automated escalation.</t>
  </si>
  <si>
    <t xml:space="preserve">Remote Administration Security is fully automated — rule management, drift detection, segmentation validation, and anomaly response are continuous and self-healing. Independent architecture review validates the network security model. Controls adapt automatically to topology changes.</t>
  </si>
  <si>
    <t xml:space="preserve">Wireless Network Security has not been implemented. Network traffic is unrestricted between zones or flows without inspection or filtering.</t>
  </si>
  <si>
    <t xml:space="preserve">Enterprise wireless security with guest network isolation and rogue AP detection. Wireless Network Security is documented, consistently applied across all in-scope assets, reviewed at least annually, and formally governed. Exceptions are tracked and managed with named owners. This level meets the minimum regulatory evidence standard.</t>
  </si>
  <si>
    <t xml:space="preserve">Wireless Network Security is measured — traffic volume, rule compliance, segmentation validation results, and alert volume are tracked. Network security posture is reported to governance and anomalies trigger automated escalation.</t>
  </si>
  <si>
    <t xml:space="preserve">Wireless Network Security is fully automated — rule management, drift detection, segmentation validation, and anomaly response are continuous and self-healing. Independent architecture review validates the network security model. Controls adapt automatically to topology changes.</t>
  </si>
  <si>
    <t xml:space="preserve">OT/ICS Network Security has not been implemented. Network traffic is unrestricted between zones or flows without inspection or filtering.</t>
  </si>
  <si>
    <t xml:space="preserve">Dedicated OT/ICS network security controls with IT/OT separation enforced. OT/ICS Network Security is documented, consistently applied across all in-scope assets, reviewed at least annually, and formally governed. Exceptions are tracked and managed with named owners. This level meets the minimum regulatory evidence standard.</t>
  </si>
  <si>
    <t xml:space="preserve">OT/ICS Network Security is measured — traffic volume, rule compliance, segmentation validation results, and alert volume are tracked. Network security posture is reported to governance and anomalies trigger automated escalation.</t>
  </si>
  <si>
    <t xml:space="preserve">OT/ICS Network Security is fully automated — rule management, drift detection, segmentation validation, and anomaly response are continuous and self-healing. Independent architecture review validates the network security model. Controls adapt automatically to topology changes.</t>
  </si>
  <si>
    <t xml:space="preserve">Secure SDLC — Security Requirements is absent from the development lifecycle. Security is addressed only after deployment, if at all.</t>
  </si>
  <si>
    <t xml:space="preserve">Basic secure sdlc — security requirements activity exists but is performed inconsistently, not integrated into CI/CD, and coverage is partial.</t>
  </si>
  <si>
    <t xml:space="preserve">Security requirements defined and validated at the design phase of all development projects. Secure SDLC — Security Requirements is documented, consistently applied across all in-scope assets, reviewed at least annually, and formally governed. Exceptions are tracked and managed with named owners. This level meets the minimum regulatory evidence standard.</t>
  </si>
  <si>
    <t xml:space="preserve">Secure SDLC — Security Requirements is KPI-driven — scan coverage, critical finding SLA adherence, false-positive rate, and release gate compliance are measured. AppSec metrics are reported in development governance cycles.</t>
  </si>
  <si>
    <t xml:space="preserve">Secure SDLC — Security Requirements is fully integrated across the entire development lifecycle — automated gates prevent vulnerable code from reaching production, SBOM is continuously generated, and supply chain risk is continuously monitored. Independent penetration testing validates effectiveness.</t>
  </si>
  <si>
    <t xml:space="preserve">Secure SDLC — Static Analysis (SAST) is absent from the development lifecycle. Security is addressed only after deployment, if at all.</t>
  </si>
  <si>
    <t xml:space="preserve">Basic secure sdlc — static analysis (sast) activity exists but is performed inconsistently, not integrated into CI/CD, and coverage is partial.</t>
  </si>
  <si>
    <t xml:space="preserve">SAST integrated in CI/CD pipeline blocking releases with critical findings. Secure SDLC — Static Analysis (SAST) is documented, consistently applied across all in-scope assets, reviewed at least annually, and formally governed. Exceptions are tracked and managed with named owners. This level meets the minimum regulatory evidence standard.</t>
  </si>
  <si>
    <t xml:space="preserve">Secure SDLC — Static Analysis (SAST) is KPI-driven — scan coverage, critical finding SLA adherence, false-positive rate, and release gate compliance are measured. AppSec metrics are reported in development governance cycles.</t>
  </si>
  <si>
    <t xml:space="preserve">Secure SDLC — Static Analysis (SAST) is fully integrated across the entire development lifecycle — automated gates prevent vulnerable code from reaching production, SBOM is continuously generated, and supply chain risk is continuously monitored. Independent penetration testing validates effectiveness.</t>
  </si>
  <si>
    <t xml:space="preserve">Secure SDLC — Software Composition Analysis (SCA) is absent from the development lifecycle. Security is addressed only after deployment, if at all.</t>
  </si>
  <si>
    <t xml:space="preserve">Basic secure sdlc — software composition analysis (sca) activity exists but is performed inconsistently, not integrated into CI/CD, and coverage is partial.</t>
  </si>
  <si>
    <t xml:space="preserve">SCA scanning all open-source components for known vulnerabilities and licence issues. Secure SDLC — Software Composition Analysis (SCA) is documented, consistently applied across all in-scope assets, reviewed at least annually, and formally governed. Exceptions are tracked and managed with named owners. This level meets the minimum regulatory evidence standard.</t>
  </si>
  <si>
    <t xml:space="preserve">Secure SDLC — Software Composition Analysis (SCA) is KPI-driven — scan coverage, critical finding SLA adherence, false-positive rate, and release gate compliance are measured. AppSec metrics are reported in development governance cycles.</t>
  </si>
  <si>
    <t xml:space="preserve">Secure SDLC — Software Composition Analysis (SCA) is fully integrated across the entire development lifecycle — automated gates prevent vulnerable code from reaching production, SBOM is continuously generated, and supply chain risk is continuously monitored. Independent penetration testing validates effectiveness.</t>
  </si>
  <si>
    <t xml:space="preserve">Secure SDLC — Dynamic Analysis (DAST) is absent from the development lifecycle. Security is addressed only after deployment, if at all.</t>
  </si>
  <si>
    <t xml:space="preserve">Basic secure sdlc — dynamic analysis (dast) activity exists but is performed inconsistently, not integrated into CI/CD, and coverage is partial.</t>
  </si>
  <si>
    <t xml:space="preserve">DAST scanning internet-facing applications before every release. Secure SDLC — Dynamic Analysis (DAST) is documented, consistently applied across all in-scope assets, reviewed at least annually, and formally governed. Exceptions are tracked and managed with named owners. This level meets the minimum regulatory evidence standard.</t>
  </si>
  <si>
    <t xml:space="preserve">Secure SDLC — Dynamic Analysis (DAST) is KPI-driven — scan coverage, critical finding SLA adherence, false-positive rate, and release gate compliance are measured. AppSec metrics are reported in development governance cycles.</t>
  </si>
  <si>
    <t xml:space="preserve">Secure SDLC — Dynamic Analysis (DAST) is fully integrated across the entire development lifecycle — automated gates prevent vulnerable code from reaching production, SBOM is continuously generated, and supply chain risk is continuously monitored. Independent penetration testing validates effectiveness.</t>
  </si>
  <si>
    <t xml:space="preserve">Secure SDLC — Release Security Sign-Off is absent from the development lifecycle. Security is addressed only after deployment, if at all.</t>
  </si>
  <si>
    <t xml:space="preserve">Basic secure sdlc — release security sign-off activity exists but is performed inconsistently, not integrated into CI/CD, and coverage is partial.</t>
  </si>
  <si>
    <t xml:space="preserve">Security sign-off gate mandatory before production release of significant changes. Secure SDLC — Release Security Sign-Off is documented, consistently applied across all in-scope assets, reviewed at least annually, and formally governed. Exceptions are tracked and managed with named owners. This level meets the minimum regulatory evidence standard.</t>
  </si>
  <si>
    <t xml:space="preserve">Secure SDLC — Release Security Sign-Off is KPI-driven — scan coverage, critical finding SLA adherence, false-positive rate, and release gate compliance are measured. AppSec metrics are reported in development governance cycles.</t>
  </si>
  <si>
    <t xml:space="preserve">Secure SDLC — Release Security Sign-Off is fully integrated across the entire development lifecycle — automated gates prevent vulnerable code from reaching production, SBOM is continuously generated, and supply chain risk is continuously monitored. Independent penetration testing validates effectiveness.</t>
  </si>
  <si>
    <t xml:space="preserve">API Security — Inventory &amp; Gateway is absent from the development lifecycle. Security is addressed only after deployment, if at all.</t>
  </si>
  <si>
    <t xml:space="preserve">Basic api security — inventory &amp; gateway activity exists but is performed inconsistently, not integrated into CI/CD, and coverage is partial.</t>
  </si>
  <si>
    <t xml:space="preserve">Complete API inventory with gateway-enforced authentication, rate limiting, and schema validation. API Security — Inventory &amp; Gateway is documented, consistently applied across all in-scope assets, reviewed at least annually, and formally governed. Exceptions are tracked and managed with named owners. This level meets the minimum regulatory evidence standard.</t>
  </si>
  <si>
    <t xml:space="preserve">API Security — Inventory &amp; Gateway is KPI-driven — scan coverage, critical finding SLA adherence, false-positive rate, and release gate compliance are measured. AppSec metrics are reported in development governance cycles.</t>
  </si>
  <si>
    <t xml:space="preserve">API Security — Inventory &amp; Gateway is fully integrated across the entire development lifecycle — automated gates prevent vulnerable code from reaching production, SBOM is continuously generated, and supply chain risk is continuously monitored. Independent penetration testing validates effectiveness.</t>
  </si>
  <si>
    <t xml:space="preserve">Container Security — Image Scanning is absent from the development lifecycle. Security is addressed only after deployment, if at all.</t>
  </si>
  <si>
    <t xml:space="preserve">Basic container security — image scanning activity exists but is performed inconsistently, not integrated into CI/CD, and coverage is partial.</t>
  </si>
  <si>
    <t xml:space="preserve">Container images scanned before deployment with critical vulnerability blocking. Container Security — Image Scanning is documented, consistently applied across all in-scope assets, reviewed at least annually, and formally governed. Exceptions are tracked and managed with named owners. This level meets the minimum regulatory evidence standard.</t>
  </si>
  <si>
    <t xml:space="preserve">Container Security — Image Scanning is KPI-driven — scan coverage, critical finding SLA adherence, false-positive rate, and release gate compliance are measured. AppSec metrics are reported in development governance cycles.</t>
  </si>
  <si>
    <t xml:space="preserve">Container Security — Image Scanning is fully integrated across the entire development lifecycle — automated gates prevent vulnerable code from reaching production, SBOM is continuously generated, and supply chain risk is continuously monitored. Independent penetration testing validates effectiveness.</t>
  </si>
  <si>
    <t xml:space="preserve">Container Security — Runtime Protection is absent from the development lifecycle. Security is addressed only after deployment, if at all.</t>
  </si>
  <si>
    <t xml:space="preserve">Basic container security — runtime protection activity exists but is performed inconsistently, not integrated into CI/CD, and coverage is partial.</t>
  </si>
  <si>
    <t xml:space="preserve">Runtime security monitoring for container workloads detecting anomalous behaviour. Container Security — Runtime Protection is documented, consistently applied across all in-scope assets, reviewed at least annually, and formally governed. Exceptions are tracked and managed with named owners. This level meets the minimum regulatory evidence standard.</t>
  </si>
  <si>
    <t xml:space="preserve">Container Security — Runtime Protection is KPI-driven — scan coverage, critical finding SLA adherence, false-positive rate, and release gate compliance are measured. AppSec metrics are reported in development governance cycles.</t>
  </si>
  <si>
    <t xml:space="preserve">Container Security — Runtime Protection is fully integrated across the entire development lifecycle — automated gates prevent vulnerable code from reaching production, SBOM is continuously generated, and supply chain risk is continuously monitored. Independent penetration testing validates effectiveness.</t>
  </si>
  <si>
    <t xml:space="preserve">Secrets Exposure Prevention in Code is absent from the development lifecycle. Security is addressed only after deployment, if at all.</t>
  </si>
  <si>
    <t xml:space="preserve">Basic secrets exposure prevention in code activity exists but is performed inconsistently, not integrated into CI/CD, and coverage is partial.</t>
  </si>
  <si>
    <t xml:space="preserve">Automated prevention and detection of secrets hardcoded in source code. Secrets Exposure Prevention in Code is documented, consistently applied across all in-scope assets, reviewed at least annually, and formally governed. Exceptions are tracked and managed with named owners. This level meets the minimum regulatory evidence standard.</t>
  </si>
  <si>
    <t xml:space="preserve">Secrets Exposure Prevention in Code is KPI-driven — scan coverage, critical finding SLA adherence, false-positive rate, and release gate compliance are measured. AppSec metrics are reported in development governance cycles.</t>
  </si>
  <si>
    <t xml:space="preserve">Secrets Exposure Prevention in Code is fully integrated across the entire development lifecycle — automated gates prevent vulnerable code from reaching production, SBOM is continuously generated, and supply chain risk is continuously monitored. Independent penetration testing validates effectiveness.</t>
  </si>
  <si>
    <t xml:space="preserve">Payment Page &amp; Script Integrity is absent from the development lifecycle. Security is addressed only after deployment, if at all.</t>
  </si>
  <si>
    <t xml:space="preserve">Basic payment page &amp; script integrity activity exists but is performed inconsistently, not integrated into CI/CD, and coverage is partial.</t>
  </si>
  <si>
    <t xml:space="preserve">Script integrity controls preventing skimming attacks on payment pages. Payment Page &amp; Script Integrity is documented, consistently applied across all in-scope assets, reviewed at least annually, and formally governed. Exceptions are tracked and managed with named owners. This level meets the minimum regulatory evidence standard.</t>
  </si>
  <si>
    <t xml:space="preserve">Payment Page &amp; Script Integrity is KPI-driven — scan coverage, critical finding SLA adherence, false-positive rate, and release gate compliance are measured. AppSec metrics are reported in development governance cycles.</t>
  </si>
  <si>
    <t xml:space="preserve">Payment Page &amp; Script Integrity is fully integrated across the entire development lifecycle — automated gates prevent vulnerable code from reaching production, SBOM is continuously generated, and supply chain risk is continuously monitored. Independent penetration testing validates effectiveness.</t>
  </si>
  <si>
    <t xml:space="preserve">Software Supply Chain Security is absent from the development lifecycle. Security is addressed only after deployment, if at all.</t>
  </si>
  <si>
    <t xml:space="preserve">Basic software supply chain security activity exists but is performed inconsistently, not integrated into CI/CD, and coverage is partial.</t>
  </si>
  <si>
    <t xml:space="preserve">End-to-end software supply chain security from development to deployment. Software Supply Chain Security is documented, consistently applied across all in-scope assets, reviewed at least annually, and formally governed. Exceptions are tracked and managed with named owners. This level meets the minimum regulatory evidence standard.</t>
  </si>
  <si>
    <t xml:space="preserve">Software Supply Chain Security is KPI-driven — scan coverage, critical finding SLA adherence, false-positive rate, and release gate compliance are measured. AppSec metrics are reported in development governance cycles.</t>
  </si>
  <si>
    <t xml:space="preserve">Software Supply Chain Security is fully integrated across the entire development lifecycle — automated gates prevent vulnerable code from reaching production, SBOM is continuously generated, and supply chain risk is continuously monitored. Independent penetration testing validates effectiveness.</t>
  </si>
  <si>
    <t xml:space="preserve">Threat Modelling Programme is absent from the development lifecycle. Security is addressed only after deployment, if at all.</t>
  </si>
  <si>
    <t xml:space="preserve">Basic threat modelling programme activity exists but is performed inconsistently, not integrated into CI/CD, and coverage is partial.</t>
  </si>
  <si>
    <t xml:space="preserve">Systematic threat modelling conducted for all significant applications and architectural changes. Threat Modelling Programme is documented, consistently applied across all in-scope assets, reviewed at least annually, and formally governed. Exceptions are tracked and managed with named owners. This level meets the minimum regulatory evidence standard.</t>
  </si>
  <si>
    <t xml:space="preserve">Threat Modelling Programme is KPI-driven — scan coverage, critical finding SLA adherence, false-positive rate, and release gate compliance are measured. AppSec metrics are reported in development governance cycles.</t>
  </si>
  <si>
    <t xml:space="preserve">Threat Modelling Programme is fully integrated across the entire development lifecycle — automated gates prevent vulnerable code from reaching production, SBOM is continuously generated, and supply chain risk is continuously monitored. Independent penetration testing validates effectiveness.</t>
  </si>
  <si>
    <t xml:space="preserve">Cloud Security Posture Management (CSPM) has not been deployed. Cloud environments are provisioned and configured without security guardrails or continuous monitoring.</t>
  </si>
  <si>
    <t xml:space="preserve">Cloud Security Posture Management (CSPM) has been deployed for some cloud environments but coverage is incomplete and findings are actioned reactively.</t>
  </si>
  <si>
    <t xml:space="preserve">Continuous cloud security posture assessment across all CSPs with auto-remediation. Cloud Security Posture Management (CSPM) is documented, consistently applied across all in-scope assets, reviewed at least annually, and formally governed. Exceptions are tracked and managed with named owners. This level meets the minimum regulatory evidence standard.</t>
  </si>
  <si>
    <t xml:space="preserve">Cloud Security Posture Management (CSPM) is continuously measured — benchmark compliance percentage, finding remediation SLA, and coverage across all CSPs are tracked. Drift is detected within 15 minutes and posture is reported to governance weekly.</t>
  </si>
  <si>
    <t xml:space="preserve">Cloud Security Posture Management (CSPM) is fully automated — configuration drift is auto-remediated, compliance is continuously verified against CIS benchmarks, and new cloud resources are automatically enrolled in the security programme. Independent cloud security assessment validates posture.</t>
  </si>
  <si>
    <t xml:space="preserve">Cloud Infrastructure Entitlement Management (CIEM) has not been deployed. Cloud environments are provisioned and configured without security guardrails or continuous monitoring.</t>
  </si>
  <si>
    <t xml:space="preserve">Cloud Infrastructure Entitlement Management (CIEM) has been deployed for some cloud environments but coverage is incomplete and findings are actioned reactively.</t>
  </si>
  <si>
    <t xml:space="preserve">Cloud IAM entitlement analysis preventing over-privileged identities. Cloud Infrastructure Entitlement Management (CIEM) is documented, consistently applied across all in-scope assets, reviewed at least annually, and formally governed. Exceptions are tracked and managed with named owners. This level meets the minimum regulatory evidence standard.</t>
  </si>
  <si>
    <t xml:space="preserve">Cloud Infrastructure Entitlement Management (CIEM) is continuously measured — benchmark compliance percentage, finding remediation SLA, and coverage across all CSPs are tracked. Drift is detected within 15 minutes and posture is reported to governance weekly.</t>
  </si>
  <si>
    <t xml:space="preserve">Cloud Infrastructure Entitlement Management (CIEM) is fully automated — configuration drift is auto-remediated, compliance is continuously verified against CIS benchmarks, and new cloud resources are automatically enrolled in the security programme. Independent cloud security assessment validates posture.</t>
  </si>
  <si>
    <t xml:space="preserve">Cloud Shared Responsibility Matrix has not been deployed. Cloud environments are provisioned and configured without security guardrails or continuous monitoring.</t>
  </si>
  <si>
    <t xml:space="preserve">Cloud Shared Responsibility Matrix has been deployed for some cloud environments but coverage is incomplete and findings are actioned reactively.</t>
  </si>
  <si>
    <t xml:space="preserve">Documented shared responsibility model for each CSP with coverage gaps identified. Cloud Shared Responsibility Matrix is documented, consistently applied across all in-scope assets, reviewed at least annually, and formally governed. Exceptions are tracked and managed with named owners. This level meets the minimum regulatory evidence standard.</t>
  </si>
  <si>
    <t xml:space="preserve">Cloud Shared Responsibility Matrix is continuously measured — benchmark compliance percentage, finding remediation SLA, and coverage across all CSPs are tracked. Drift is detected within 15 minutes and posture is reported to governance weekly.</t>
  </si>
  <si>
    <t xml:space="preserve">Cloud Shared Responsibility Matrix is fully automated — configuration drift is auto-remediated, compliance is continuously verified against CIS benchmarks, and new cloud resources are automatically enrolled in the security programme. Independent cloud security assessment validates posture.</t>
  </si>
  <si>
    <t xml:space="preserve">Cloud Native Security Controls (AWS/Azure/GCP) has not been deployed. Cloud environments are provisioned and configured without security guardrails or continuous monitoring.</t>
  </si>
  <si>
    <t xml:space="preserve">Cloud Native Security Controls (AWS/Azure/GCP) has been deployed for some cloud environments but coverage is incomplete and findings are actioned reactively.</t>
  </si>
  <si>
    <t xml:space="preserve">CSP-native security services deployed and configured to benchmark. Cloud Native Security Controls (AWS/Azure/GCP) is documented, consistently applied across all in-scope assets, reviewed at least annually, and formally governed. Exceptions are tracked and managed with named owners. This level meets the minimum regulatory evidence standard.</t>
  </si>
  <si>
    <t xml:space="preserve">Cloud Native Security Controls (AWS/Azure/GCP) is continuously measured — benchmark compliance percentage, finding remediation SLA, and coverage across all CSPs are tracked. Drift is detected within 15 minutes and posture is reported to governance weekly.</t>
  </si>
  <si>
    <t xml:space="preserve">Cloud Native Security Controls (AWS/Azure/GCP) is fully automated — configuration drift is auto-remediated, compliance is continuously verified against CIS benchmarks, and new cloud resources are automatically enrolled in the security programme. Independent cloud security assessment validates posture.</t>
  </si>
  <si>
    <t xml:space="preserve">Cloud Key Management &amp; HSM has not been deployed. Cloud environments are provisioned and configured without security guardrails or continuous monitoring.</t>
  </si>
  <si>
    <t xml:space="preserve">Cloud Key Management &amp; HSM has been deployed for some cloud environments but coverage is incomplete and findings are actioned reactively.</t>
  </si>
  <si>
    <t xml:space="preserve">Centralised cloud key management with HSM-backed keys for sensitive workloads. Cloud Key Management &amp; HSM is documented, consistently applied across all in-scope assets, reviewed at least annually, and formally governed. Exceptions are tracked and managed with named owners. This level meets the minimum regulatory evidence standard.</t>
  </si>
  <si>
    <t xml:space="preserve">Cloud Key Management &amp; HSM is continuously measured — benchmark compliance percentage, finding remediation SLA, and coverage across all CSPs are tracked. Drift is detected within 15 minutes and posture is reported to governance weekly.</t>
  </si>
  <si>
    <t xml:space="preserve">Cloud Key Management &amp; HSM is fully automated — configuration drift is auto-remediated, compliance is continuously verified against CIS benchmarks, and new cloud resources are automatically enrolled in the security programme. Independent cloud security assessment validates posture.</t>
  </si>
  <si>
    <t xml:space="preserve">FedRAMP Compliance (where applicable) has not been deployed. Cloud environments are provisioned and configured without security guardrails or continuous monitoring.</t>
  </si>
  <si>
    <t xml:space="preserve">FedRAMP Compliance (where applicable) has been deployed for some cloud environments but coverage is incomplete and findings are actioned reactively.</t>
  </si>
  <si>
    <t xml:space="preserve">FedRAMP authorisation obtained and maintained for US federal cloud workloads. FedRAMP Compliance (where applicable) is documented, consistently applied across all in-scope assets, reviewed at least annually, and formally governed. Exceptions are tracked and managed with named owners. This level meets the minimum regulatory evidence standard.</t>
  </si>
  <si>
    <t xml:space="preserve">FedRAMP Compliance (where applicable) is continuously measured — benchmark compliance percentage, finding remediation SLA, and coverage across all CSPs are tracked. Drift is detected within 15 minutes and posture is reported to governance weekly.</t>
  </si>
  <si>
    <t xml:space="preserve">FedRAMP Compliance (where applicable) is fully automated — configuration drift is auto-remediated, compliance is continuously verified against CIS benchmarks, and new cloud resources are automatically enrolled in the security programme. Independent cloud security assessment validates posture.</t>
  </si>
  <si>
    <t xml:space="preserve">Data Residency &amp; Sovereignty Controls has not been deployed. Cloud environments are provisioned and configured without security guardrails or continuous monitoring.</t>
  </si>
  <si>
    <t xml:space="preserve">Data Residency &amp; Sovereignty Controls has been deployed for some cloud environments but coverage is incomplete and findings are actioned reactively.</t>
  </si>
  <si>
    <t xml:space="preserve">Enforced data residency controls ensuring data remains within required geographic regions. Data Residency &amp; Sovereignty Controls is documented, consistently applied across all in-scope assets, reviewed at least annually, and formally governed. Exceptions are tracked and managed with named owners. This level meets the minimum regulatory evidence standard.</t>
  </si>
  <si>
    <t xml:space="preserve">Data Residency &amp; Sovereignty Controls is continuously measured — benchmark compliance percentage, finding remediation SLA, and coverage across all CSPs are tracked. Drift is detected within 15 minutes and posture is reported to governance weekly.</t>
  </si>
  <si>
    <t xml:space="preserve">Data Residency &amp; Sovereignty Controls is fully automated — configuration drift is auto-remediated, compliance is continuously verified against CIS benchmarks, and new cloud resources are automatically enrolled in the security programme. Independent cloud security assessment validates posture.</t>
  </si>
  <si>
    <t xml:space="preserve">SaaS Security &amp; CASB has not been deployed. Cloud environments are provisioned and configured without security guardrails or continuous monitoring.</t>
  </si>
  <si>
    <t xml:space="preserve">SaaS Security &amp; CASB has been deployed for some cloud environments but coverage is incomplete and findings are actioned reactively.</t>
  </si>
  <si>
    <t xml:space="preserve">CASB enforcing DLP, access control, and threat protection for all sanctioned SaaS. SaaS Security &amp; CASB is documented, consistently applied across all in-scope assets, reviewed at least annually, and formally governed. Exceptions are tracked and managed with named owners. This level meets the minimum regulatory evidence standard.</t>
  </si>
  <si>
    <t xml:space="preserve">SaaS Security &amp; CASB is continuously measured — benchmark compliance percentage, finding remediation SLA, and coverage across all CSPs are tracked. Drift is detected within 15 minutes and posture is reported to governance weekly.</t>
  </si>
  <si>
    <t xml:space="preserve">SaaS Security &amp; CASB is fully automated — configuration drift is auto-remediated, compliance is continuously verified against CIS benchmarks, and new cloud resources are automatically enrolled in the security programme. Independent cloud security assessment validates posture.</t>
  </si>
  <si>
    <t xml:space="preserve">Cloud Configuration Drift Prevention has not been deployed. Cloud environments are provisioned and configured without security guardrails or continuous monitoring.</t>
  </si>
  <si>
    <t xml:space="preserve">Cloud Configuration Drift Prevention has been deployed for some cloud environments but coverage is incomplete and findings are actioned reactively.</t>
  </si>
  <si>
    <t xml:space="preserve">Automated detection and prevention of cloud configuration drift from approved baselines. Cloud Configuration Drift Prevention is documented, consistently applied across all in-scope assets, reviewed at least annually, and formally governed. Exceptions are tracked and managed with named owners. This level meets the minimum regulatory evidence standard.</t>
  </si>
  <si>
    <t xml:space="preserve">Cloud Configuration Drift Prevention is continuously measured — benchmark compliance percentage, finding remediation SLA, and coverage across all CSPs are tracked. Drift is detected within 15 minutes and posture is reported to governance weekly.</t>
  </si>
  <si>
    <t xml:space="preserve">Cloud Configuration Drift Prevention is fully automated — configuration drift is auto-remediated, compliance is continuously verified against CIS benchmarks, and new cloud resources are automatically enrolled in the security programme. Independent cloud security assessment validates posture.</t>
  </si>
  <si>
    <t xml:space="preserve">Container Orchestration Security (Kubernetes) has not been deployed. Cloud environments are provisioned and configured without security guardrails or continuous monitoring.</t>
  </si>
  <si>
    <t xml:space="preserve">Container Orchestration Security (Kubernetes) has been deployed for some cloud environments but coverage is incomplete and findings are actioned reactively.</t>
  </si>
  <si>
    <t xml:space="preserve">Kubernetes and container orchestration platform security hardened to CIS benchmark. Container Orchestration Security (Kubernetes) is documented, consistently applied across all in-scope assets, reviewed at least annually, and formally governed. Exceptions are tracked and managed with named owners. This level meets the minimum regulatory evidence standard.</t>
  </si>
  <si>
    <t xml:space="preserve">Container Orchestration Security (Kubernetes) is continuously measured — benchmark compliance percentage, finding remediation SLA, and coverage across all CSPs are tracked. Drift is detected within 15 minutes and posture is reported to governance weekly.</t>
  </si>
  <si>
    <t xml:space="preserve">Container Orchestration Security (Kubernetes) is fully automated — configuration drift is auto-remediated, compliance is continuously verified against CIS benchmarks, and new cloud resources are automatically enrolled in the security programme. Independent cloud security assessment validates posture.</t>
  </si>
  <si>
    <t xml:space="preserve">Cloud Workload Protection Platform (CWPP) has not been deployed. Cloud environments are provisioned and configured without security guardrails or continuous monitoring.</t>
  </si>
  <si>
    <t xml:space="preserve">Cloud Workload Protection Platform (CWPP) has been deployed for some cloud environments but coverage is incomplete and findings are actioned reactively.</t>
  </si>
  <si>
    <t xml:space="preserve">Runtime protection for cloud workloads including VMs, containers, and serverless functions. Cloud Workload Protection Platform (CWPP) is documented, consistently applied across all in-scope assets, reviewed at least annually, and formally governed. Exceptions are tracked and managed with named owners. This level meets the minimum regulatory evidence standard.</t>
  </si>
  <si>
    <t xml:space="preserve">Cloud Workload Protection Platform (CWPP) is continuously measured — benchmark compliance percentage, finding remediation SLA, and coverage across all CSPs are tracked. Drift is detected within 15 minutes and posture is reported to governance weekly.</t>
  </si>
  <si>
    <t xml:space="preserve">Cloud Workload Protection Platform (CWPP) is fully automated — configuration drift is auto-remediated, compliance is continuously verified against CIS benchmarks, and new cloud resources are automatically enrolled in the security programme. Independent cloud security assessment validates posture.</t>
  </si>
  <si>
    <t xml:space="preserve">Prompt Injection Prevention has not been implemented. AI systems operate without security controls on access, input, or output.</t>
  </si>
  <si>
    <t xml:space="preserve">Basic prompt injection prevention controls exist for the most visible AI systems but coverage is partial and enforcement is manual.</t>
  </si>
  <si>
    <t xml:space="preserve">Technical controls preventing prompt injection attacks on LLM and GenAI systems. Prompt Injection Prevention is documented, consistently applied across all in-scope assets, reviewed at least annually, and formally governed. Exceptions are tracked and managed with named owners. This level meets the minimum regulatory evidence standard.</t>
  </si>
  <si>
    <t xml:space="preserve">Prompt Injection Prevention is measured — control coverage across AI systems, adversarial test frequency, and monitoring alert volume are tracked. AI security posture is reported to governance and findings drive model hardening backlog.</t>
  </si>
  <si>
    <t xml:space="preserve">Prompt Injection Prevention is continuously automated — AI model inputs, outputs, and access are monitored in real time with automated anomaly response. Adversarial testing is continuous, not periodic. Independent AI security assessment validates the control architecture.</t>
  </si>
  <si>
    <t xml:space="preserve">AI Model Access Control &amp; RBAC has not been implemented. AI systems operate without security controls on access, input, or output.</t>
  </si>
  <si>
    <t xml:space="preserve">Basic ai model access control &amp; rbac controls exist for the most visible AI systems but coverage is partial and enforcement is manual.</t>
  </si>
  <si>
    <t xml:space="preserve">Role-based access control for AI model interfaces and inference endpoints. AI Model Access Control &amp; RBAC is documented, consistently applied across all in-scope assets, reviewed at least annually, and formally governed. Exceptions are tracked and managed with named owners. This level meets the minimum regulatory evidence standard.</t>
  </si>
  <si>
    <t xml:space="preserve">AI Model Access Control &amp; RBAC is measured — control coverage across AI systems, adversarial test frequency, and monitoring alert volume are tracked. AI security posture is reported to governance and findings drive model hardening backlog.</t>
  </si>
  <si>
    <t xml:space="preserve">AI Model Access Control &amp; RBAC is continuously automated — AI model inputs, outputs, and access are monitored in real time with automated anomaly response. Adversarial testing is continuous, not periodic. Independent AI security assessment validates the control architecture.</t>
  </si>
  <si>
    <t xml:space="preserve">AI Output Monitoring &amp; Content Filtering has not been implemented. AI systems operate without security controls on access, input, or output.</t>
  </si>
  <si>
    <t xml:space="preserve">Basic ai output monitoring &amp; content filtering controls exist for the most visible AI systems but coverage is partial and enforcement is manual.</t>
  </si>
  <si>
    <t xml:space="preserve">Monitoring and filtering of AI system outputs to prevent harmful or sensitive content. AI Output Monitoring &amp; Content Filtering is documented, consistently applied across all in-scope assets, reviewed at least annually, and formally governed. Exceptions are tracked and managed with named owners. This level meets the minimum regulatory evidence standard.</t>
  </si>
  <si>
    <t xml:space="preserve">AI Output Monitoring &amp; Content Filtering is measured — control coverage across AI systems, adversarial test frequency, and monitoring alert volume are tracked. AI security posture is reported to governance and findings drive model hardening backlog.</t>
  </si>
  <si>
    <t xml:space="preserve">AI Output Monitoring &amp; Content Filtering is continuously automated — AI model inputs, outputs, and access are monitored in real time with automated anomaly response. Adversarial testing is continuous, not periodic. Independent AI security assessment validates the control architecture.</t>
  </si>
  <si>
    <t xml:space="preserve">Adversarial AI Testing has not been implemented. AI systems operate without security controls on access, input, or output.</t>
  </si>
  <si>
    <t xml:space="preserve">Basic adversarial ai testing controls exist for the most visible AI systems but coverage is partial and enforcement is manual.</t>
  </si>
  <si>
    <t xml:space="preserve">Regular adversarial testing of AI models including prompt injection, evasion, and extraction attacks. Adversarial AI Testing is documented, consistently applied across all in-scope assets, reviewed at least annually, and formally governed. Exceptions are tracked and managed with named owners. This level meets the minimum regulatory evidence standard.</t>
  </si>
  <si>
    <t xml:space="preserve">Adversarial AI Testing is measured — control coverage across AI systems, adversarial test frequency, and monitoring alert volume are tracked. AI security posture is reported to governance and findings drive model hardening backlog.</t>
  </si>
  <si>
    <t xml:space="preserve">Adversarial AI Testing is continuously automated — AI model inputs, outputs, and access are monitored in real time with automated anomaly response. Adversarial testing is continuous, not periodic. Independent AI security assessment validates the control architecture.</t>
  </si>
  <si>
    <t xml:space="preserve">Physical Access Control is absent or enforced informally. Physical access is ungoverned and human risk is unmitigated.</t>
  </si>
  <si>
    <t xml:space="preserve">Basic physical access control exists but awareness is uneven, enforcement is inconsistent, and compliance is not measured.</t>
  </si>
  <si>
    <t xml:space="preserve">Physical access controls at all locations with logging and regular review. Physical Access Control is documented, consistently applied across all in-scope assets, reviewed at least annually, and formally governed. Exceptions are tracked and managed with named owners. This level meets the minimum regulatory evidence standard.</t>
  </si>
  <si>
    <t xml:space="preserve">Physical Access Control is measured — training completion rate (target ≥95%), phishing simulation click rate, and physical audit findings are tracked. Human risk posture is reported to governance and trends drive programme investment.</t>
  </si>
  <si>
    <t xml:space="preserve">Physical Access Control operates on a continuous assurance model — training completion is tracked automatically, phishing simulation is continuous, and access anomalies trigger automated response. Independent red team exercises validate human security posture.</t>
  </si>
  <si>
    <t xml:space="preserve">Clean Desk &amp; Screen Lock Policy is absent or enforced informally. Physical access is ungoverned and human risk is unmitigated.</t>
  </si>
  <si>
    <t xml:space="preserve">Basic clean desk &amp; screen lock policy exists but awareness is uneven, enforcement is inconsistent, and compliance is not measured.</t>
  </si>
  <si>
    <t xml:space="preserve">Clean desk and screen lock enforced to prevent visual and physical data exposure. Clean Desk &amp; Screen Lock Policy is documented, consistently applied across all in-scope assets, reviewed at least annually, and formally governed. Exceptions are tracked and managed with named owners. This level meets the minimum regulatory evidence standard.</t>
  </si>
  <si>
    <t xml:space="preserve">Clean Desk &amp; Screen Lock Policy is measured — training completion rate (target ≥95%), phishing simulation click rate, and physical audit findings are tracked. Human risk posture is reported to governance and trends drive programme investment.</t>
  </si>
  <si>
    <t xml:space="preserve">Clean Desk &amp; Screen Lock Policy operates on a continuous assurance model — training completion is tracked automatically, phishing simulation is continuous, and access anomalies trigger automated response. Independent red team exercises validate human security posture.</t>
  </si>
  <si>
    <t xml:space="preserve">Security Awareness Training — Annual is absent or enforced informally. Physical access is ungoverned and human risk is unmitigated.</t>
  </si>
  <si>
    <t xml:space="preserve">Basic security awareness training — annual exists but awareness is uneven, enforcement is inconsistent, and compliance is not measured.</t>
  </si>
  <si>
    <t xml:space="preserve">Annual security awareness training mandatory for all staff with completion tracking. Security Awareness Training — Annual is documented, consistently applied across all in-scope assets, reviewed at least annually, and formally governed. Exceptions are tracked and managed with named owners. This level meets the minimum regulatory evidence standard.</t>
  </si>
  <si>
    <t xml:space="preserve">Security Awareness Training — Annual is measured — training completion rate (target ≥95%), phishing simulation click rate, and physical audit findings are tracked. Human risk posture is reported to governance and trends drive programme investment.</t>
  </si>
  <si>
    <t xml:space="preserve">Security Awareness Training — Annual operates on a continuous assurance model — training completion is tracked automatically, phishing simulation is continuous, and access anomalies trigger automated response. Independent red team exercises validate human security posture.</t>
  </si>
  <si>
    <t xml:space="preserve">Role-Specific Security Training is absent or enforced informally. Physical access is ungoverned and human risk is unmitigated.</t>
  </si>
  <si>
    <t xml:space="preserve">Basic role-specific security training exists but awareness is uneven, enforcement is inconsistent, and compliance is not measured.</t>
  </si>
  <si>
    <t xml:space="preserve">Specialised security training for high-risk roles: developers, admins, privileged users, board. Role-Specific Security Training is documented, consistently applied across all in-scope assets, reviewed at least annually, and formally governed. Exceptions are tracked and managed with named owners. This level meets the minimum regulatory evidence standard.</t>
  </si>
  <si>
    <t xml:space="preserve">Role-Specific Security Training is measured — training completion rate (target ≥95%), phishing simulation click rate, and physical audit findings are tracked. Human risk posture is reported to governance and trends drive programme investment.</t>
  </si>
  <si>
    <t xml:space="preserve">Role-Specific Security Training operates on a continuous assurance model — training completion is tracked automatically, phishing simulation is continuous, and access anomalies trigger automated response. Independent red team exercises validate human security posture.</t>
  </si>
  <si>
    <t xml:space="preserve">Phishing Simulation Programme is absent or enforced informally. Physical access is ungoverned and human risk is unmitigated.</t>
  </si>
  <si>
    <t xml:space="preserve">Basic phishing simulation programme exists but awareness is uneven, enforcement is inconsistent, and compliance is not measured.</t>
  </si>
  <si>
    <t xml:space="preserve">Regular phishing simulations to measure and improve staff resilience. Phishing Simulation Programme is documented, consistently applied across all in-scope assets, reviewed at least annually, and formally governed. Exceptions are tracked and managed with named owners. This level meets the minimum regulatory evidence standard.</t>
  </si>
  <si>
    <t xml:space="preserve">Phishing Simulation Programme is measured — training completion rate (target ≥95%), phishing simulation click rate, and physical audit findings are tracked. Human risk posture is reported to governance and trends drive programme investment.</t>
  </si>
  <si>
    <t xml:space="preserve">Phishing Simulation Programme operates on a continuous assurance model — training completion is tracked automatically, phishing simulation is continuous, and access anomalies trigger automated response. Independent red team exercises validate human security posture.</t>
  </si>
  <si>
    <t xml:space="preserve">AI Literacy &amp; Security Training is absent or enforced informally. Physical access is ungoverned and human risk is unmitigated.</t>
  </si>
  <si>
    <t xml:space="preserve">Basic ai literacy &amp; security training exists but awareness is uneven, enforcement is inconsistent, and compliance is not measured.</t>
  </si>
  <si>
    <t xml:space="preserve">Workforce training on AI-specific risks including prompt injection, deepfakes, and data hygiene. AI Literacy &amp; Security Training is documented, consistently applied across all in-scope assets, reviewed at least annually, and formally governed. Exceptions are tracked and managed with named owners. This level meets the minimum regulatory evidence standard.</t>
  </si>
  <si>
    <t xml:space="preserve">AI Literacy &amp; Security Training is measured — training completion rate (target ≥95%), phishing simulation click rate, and physical audit findings are tracked. Human risk posture is reported to governance and trends drive programme investment.</t>
  </si>
  <si>
    <t xml:space="preserve">AI Literacy &amp; Security Training operates on a continuous assurance model — training completion is tracked automatically, phishing simulation is continuous, and access anomalies trigger automated response. Independent red team exercises validate human security posture.</t>
  </si>
  <si>
    <t xml:space="preserve">Data Subject Rights — Process &amp; Fulfilment is absent or enforced informally. Physical access is ungoverned and human risk is unmitigated.</t>
  </si>
  <si>
    <t xml:space="preserve">Basic data subject rights — process &amp; fulfilment exists but awareness is uneven, enforcement is inconsistent, and compliance is not measured.</t>
  </si>
  <si>
    <t xml:space="preserve">Operational process to fulfil all data subject rights requests within regulatory timelines. Data Subject Rights — Process &amp; Fulfilment is documented, consistently applied across all in-scope assets, reviewed at least annually, and formally governed. Exceptions are tracked and managed with named owners. This level meets the minimum regulatory evidence standard.</t>
  </si>
  <si>
    <t xml:space="preserve">Data Subject Rights — Process &amp; Fulfilment is measured — training completion rate (target ≥95%), phishing simulation click rate, and physical audit findings are tracked. Human risk posture is reported to governance and trends drive programme investment.</t>
  </si>
  <si>
    <t xml:space="preserve">Data Subject Rights — Process &amp; Fulfilment operates on a continuous assurance model — training completion is tracked automatically, phishing simulation is continuous, and access anomalies trigger automated response. Independent red team exercises validate human security posture.</t>
  </si>
  <si>
    <t xml:space="preserve">Personnel Security — Background Screening is absent or enforced informally. Physical access is ungoverned and human risk is unmitigated.</t>
  </si>
  <si>
    <t xml:space="preserve">Basic personnel security — background screening exists but awareness is uneven, enforcement is inconsistent, and compliance is not measured.</t>
  </si>
  <si>
    <t xml:space="preserve">Pre-employment screening appropriate to role sensitivity. Personnel Security — Background Screening is documented, consistently applied across all in-scope assets, reviewed at least annually, and formally governed. Exceptions are tracked and managed with named owners. This level meets the minimum regulatory evidence standard.</t>
  </si>
  <si>
    <t xml:space="preserve">Personnel Security — Background Screening is measured — training completion rate (target ≥95%), phishing simulation click rate, and physical audit findings are tracked. Human risk posture is reported to governance and trends drive programme investment.</t>
  </si>
  <si>
    <t xml:space="preserve">Personnel Security — Background Screening operates on a continuous assurance model — training completion is tracked automatically, phishing simulation is continuous, and access anomalies trigger automated response. Independent red team exercises validate human security posture.</t>
  </si>
  <si>
    <t xml:space="preserve">Security by Default — Product Configuration is absent or enforced informally. Physical access is ungoverned and human risk is unmitigated.</t>
  </si>
  <si>
    <t xml:space="preserve">Basic security by default — product configuration exists but awareness is uneven, enforcement is inconsistent, and compliance is not measured.</t>
  </si>
  <si>
    <t xml:space="preserve">Products and services shipped with security-hardened configurations by default. Security by Default — Product Configuration is documented, consistently applied across all in-scope assets, reviewed at least annually, and formally governed. Exceptions are tracked and managed with named owners. This level meets the minimum regulatory evidence standard.</t>
  </si>
  <si>
    <t xml:space="preserve">Security by Default — Product Configuration is measured — training completion rate (target ≥95%), phishing simulation click rate, and physical audit findings are tracked. Human risk posture is reported to governance and trends drive programme investment.</t>
  </si>
  <si>
    <t xml:space="preserve">Security by Default — Product Configuration operates on a continuous assurance model — training completion is tracked automatically, phishing simulation is continuous, and access anomalies trigger automated response. Independent red team exercises validate human security posture.</t>
  </si>
  <si>
    <t xml:space="preserve">NIS2 Supply Chain Security Obligations is absent or enforced informally. Physical access is ungoverned and human risk is unmitigated.</t>
  </si>
  <si>
    <t xml:space="preserve">Basic nis2 supply chain security obligations exists but awareness is uneven, enforcement is inconsistent, and compliance is not measured.</t>
  </si>
  <si>
    <t xml:space="preserve">NIS2 Art. NIS2 Supply Chain Security Obligations is documented, consistently applied across all in-scope assets, reviewed at least annually, and formally governed. Exceptions are tracked and managed with named owners. This level meets the minimum regulatory evidence standard.</t>
  </si>
  <si>
    <t xml:space="preserve">NIS2 Supply Chain Security Obligations is measured — training completion rate (target ≥95%), phishing simulation click rate, and physical audit findings are tracked. Human risk posture is reported to governance and trends drive programme investment.</t>
  </si>
  <si>
    <t xml:space="preserve">NIS2 Supply Chain Security Obligations operates on a continuous assurance model — training completion is tracked automatically, phishing simulation is continuous, and access anomalies trigger automated response. Independent red team exercises validate human security posture.</t>
  </si>
  <si>
    <t xml:space="preserve">📡  DETECT — Monitoring, Detection &amp; Threat Intelligence  |  Controls 134–155  |  Weight: 14%</t>
  </si>
  <si>
    <t xml:space="preserve">SIEM — Log Ingestion &amp; Coverage has not been implemented. Log data is uncollected, incomplete, or unprotected — no detection baseline exists.</t>
  </si>
  <si>
    <t xml:space="preserve">Basic log collection exists but coverage is incomplete, integrity is unverified, and retention does not meet regulatory requirements.</t>
  </si>
  <si>
    <t xml:space="preserve">Centralised log collection with comprehensive coverage across all critical asset classes. SIEM — Log Ingestion &amp; Coverage is documented, consistently applied across all in-scope assets, reviewed at least annually, and formally governed. Exceptions are tracked and managed with named owners. This level meets the minimum regulatory evidence standard.</t>
  </si>
  <si>
    <t xml:space="preserve">SIEM — Log Ingestion &amp; Coverage is KPI-driven — ingestion coverage, log source health, retention compliance, and use case effectiveness are measured continuously. Detection pipeline performance is reported to SOC governance weekly.</t>
  </si>
  <si>
    <t xml:space="preserve">SIEM — Log Ingestion &amp; Coverage is fully automated — log ingestion, integrity verification, and coverage gap detection operate continuously. New sources are automatically enrolled. Independent validation confirms detection pipeline integrity and retention compliance.</t>
  </si>
  <si>
    <t xml:space="preserve">SIEM — Use Case Library &amp; Threat Coverage has not been implemented. Log data is uncollected, incomplete, or unprotected — no detection baseline exists.</t>
  </si>
  <si>
    <t xml:space="preserve">MITRE ATT&amp;CK-aligned detection use case library with regular coverage assessments. SIEM — Use Case Library &amp; Threat Coverage is documented, consistently applied across all in-scope assets, reviewed at least annually, and formally governed. Exceptions are tracked and managed with named owners. This level meets the minimum regulatory evidence standard.</t>
  </si>
  <si>
    <t xml:space="preserve">SIEM — Use Case Library &amp; Threat Coverage is KPI-driven — ingestion coverage, log source health, retention compliance, and use case effectiveness are measured continuously. Detection pipeline performance is reported to SOC governance weekly.</t>
  </si>
  <si>
    <t xml:space="preserve">SIEM — Use Case Library &amp; Threat Coverage is fully automated — log ingestion, integrity verification, and coverage gap detection operate continuously. New sources are automatically enrolled. Independent validation confirms detection pipeline integrity and retention compliance.</t>
  </si>
  <si>
    <t xml:space="preserve">SIEM — Log Integrity &amp; Tamper Protection has not been implemented. Log data is uncollected, incomplete, or unprotected — no detection baseline exists.</t>
  </si>
  <si>
    <t xml:space="preserve">Tamper-protected logs with immutability and chain-of-custody guarantees. SIEM — Log Integrity &amp; Tamper Protection is documented, consistently applied across all in-scope assets, reviewed at least annually, and formally governed. Exceptions are tracked and managed with named owners. This level meets the minimum regulatory evidence standard.</t>
  </si>
  <si>
    <t xml:space="preserve">SIEM — Log Integrity &amp; Tamper Protection is KPI-driven — ingestion coverage, log source health, retention compliance, and use case effectiveness are measured continuously. Detection pipeline performance is reported to SOC governance weekly.</t>
  </si>
  <si>
    <t xml:space="preserve">SIEM — Log Integrity &amp; Tamper Protection is fully automated — log ingestion, integrity verification, and coverage gap detection operate continuously. New sources are automatically enrolled. Independent validation confirms detection pipeline integrity and retention compliance.</t>
  </si>
  <si>
    <t xml:space="preserve">SIEM — Compliance Monitoring Use Cases has not been implemented. Log data is uncollected, incomplete, or unprotected — no detection baseline exists.</t>
  </si>
  <si>
    <t xml:space="preserve">Dedicated SIEM use cases for regulatory compliance monitoring and evidence generation. SIEM — Compliance Monitoring Use Cases is documented, consistently applied across all in-scope assets, reviewed at least annually, and formally governed. Exceptions are tracked and managed with named owners. This level meets the minimum regulatory evidence standard.</t>
  </si>
  <si>
    <t xml:space="preserve">SIEM — Compliance Monitoring Use Cases is KPI-driven — ingestion coverage, log source health, retention compliance, and use case effectiveness are measured continuously. Detection pipeline performance is reported to SOC governance weekly.</t>
  </si>
  <si>
    <t xml:space="preserve">SIEM — Compliance Monitoring Use Cases is fully automated — log ingestion, integrity verification, and coverage gap detection operate continuously. New sources are automatically enrolled. Independent validation confirms detection pipeline integrity and retention compliance.</t>
  </si>
  <si>
    <t xml:space="preserve">Log Retention &amp; Archival Management has not been implemented. Log data is uncollected, incomplete, or unprotected — no detection baseline exists.</t>
  </si>
  <si>
    <t xml:space="preserve">Log retention meeting all regulatory requirements with automated archival and retrieval. Log Retention &amp; Archival Management is documented, consistently applied across all in-scope assets, reviewed at least annually, and formally governed. Exceptions are tracked and managed with named owners. This level meets the minimum regulatory evidence standard.</t>
  </si>
  <si>
    <t xml:space="preserve">Log Retention &amp; Archival Management is KPI-driven — ingestion coverage, log source health, retention compliance, and use case effectiveness are measured continuously. Detection pipeline performance is reported to SOC governance weekly.</t>
  </si>
  <si>
    <t xml:space="preserve">Log Retention &amp; Archival Management is fully automated — log ingestion, integrity verification, and coverage gap detection operate continuously. New sources are automatically enrolled. Independent validation confirms detection pipeline integrity and retention compliance.</t>
  </si>
  <si>
    <t xml:space="preserve">Telemetry Coverage Management has not been implemented. Log data is uncollected, incomplete, or unprotected — no detection baseline exists.</t>
  </si>
  <si>
    <t xml:space="preserve">Continuous measurement and improvement of telemetry coverage across all asset classes. Telemetry Coverage Management is documented, consistently applied across all in-scope assets, reviewed at least annually, and formally governed. Exceptions are tracked and managed with named owners. This level meets the minimum regulatory evidence standard.</t>
  </si>
  <si>
    <t xml:space="preserve">Telemetry Coverage Management is KPI-driven — ingestion coverage, log source health, retention compliance, and use case effectiveness are measured continuously. Detection pipeline performance is reported to SOC governance weekly.</t>
  </si>
  <si>
    <t xml:space="preserve">Telemetry Coverage Management is fully automated — log ingestion, integrity verification, and coverage gap detection operate continuously. New sources are automatically enrolled. Independent validation confirms detection pipeline integrity and retention compliance.</t>
  </si>
  <si>
    <t xml:space="preserve">Detection Health Monitoring has not been implemented. Log data is uncollected, incomplete, or unprotected — no detection baseline exists.</t>
  </si>
  <si>
    <t xml:space="preserve">Automated monitoring of detection pipeline health to ensure alerting is functioning. Detection Health Monitoring is documented, consistently applied across all in-scope assets, reviewed at least annually, and formally governed. Exceptions are tracked and managed with named owners. This level meets the minimum regulatory evidence standard.</t>
  </si>
  <si>
    <t xml:space="preserve">Detection Health Monitoring is KPI-driven — ingestion coverage, log source health, retention compliance, and use case effectiveness are measured continuously. Detection pipeline performance is reported to SOC governance weekly.</t>
  </si>
  <si>
    <t xml:space="preserve">Detection Health Monitoring is fully automated — log ingestion, integrity verification, and coverage gap detection operate continuously. New sources are automatically enrolled. Independent validation confirms detection pipeline integrity and retention compliance.</t>
  </si>
  <si>
    <t xml:space="preserve">SOC Operations — Triage &amp; Investigation is absent. Alerts are generated but untriaged, uninvestigated, or not generated at all.</t>
  </si>
  <si>
    <t xml:space="preserve">A basic SOC function exists during business hours. Alert volume is managed manually and investigation depth is limited by capacity.</t>
  </si>
  <si>
    <t xml:space="preserve">24/7 or defined-hours SOC with structured alert triage and investigation capability. SOC Operations — Triage &amp; Investigation is documented, consistently applied across all in-scope assets, reviewed at least annually, and formally governed. Exceptions are tracked and managed with named owners. This level meets the minimum regulatory evidence standard.</t>
  </si>
  <si>
    <t xml:space="preserve">SOC Operations — Triage &amp; Investigation operates with defined SLAs — MTTD, MTTR, and false-positive rate are measured and reported. SOC performance against regulatory classification timelines (NIS2: 24h, DORA: 4h) is tracked continuously.</t>
  </si>
  <si>
    <t xml:space="preserve">SOC Operations — Triage &amp; Investigation is fully automated — alert triage, initial investigation, and regulatory classification operate with AI-assisted tools. MTTD targets are met automatically. Independent red team exercises validate SOC detection and response capability.</t>
  </si>
  <si>
    <t xml:space="preserve">NIS2 Significant Incident Classification is absent. Alerts are generated but untriaged, uninvestigated, or not generated at all.</t>
  </si>
  <si>
    <t xml:space="preserve">Defined criteria and tooling to classify NIS2 significant incidents triggering notification obligations. NIS2 Significant Incident Classification is documented, consistently applied across all in-scope assets, reviewed at least annually, and formally governed. Exceptions are tracked and managed with named owners. This level meets the minimum regulatory evidence standard.</t>
  </si>
  <si>
    <t xml:space="preserve">NIS2 Significant Incident Classification operates with defined SLAs — MTTD, MTTR, and false-positive rate are measured and reported. SOC performance against regulatory classification timelines (NIS2: 24h, DORA: 4h) is tracked continuously.</t>
  </si>
  <si>
    <t xml:space="preserve">NIS2 Significant Incident Classification is fully automated — alert triage, initial investigation, and regulatory classification operate with AI-assisted tools. MTTD targets are met automatically. Independent red team exercises validate SOC detection and response capability.</t>
  </si>
  <si>
    <t xml:space="preserve">DORA Major Incident Classification is absent. Alerts are generated but untriaged, uninvestigated, or not generated at all.</t>
  </si>
  <si>
    <t xml:space="preserve">DORA-compliant major ICT incident classification with quantitative threshold monitoring. DORA Major Incident Classification is documented, consistently applied across all in-scope assets, reviewed at least annually, and formally governed. Exceptions are tracked and managed with named owners. This level meets the minimum regulatory evidence standard.</t>
  </si>
  <si>
    <t xml:space="preserve">DORA Major Incident Classification operates with defined SLAs — MTTD, MTTR, and false-positive rate are measured and reported. SOC performance against regulatory classification timelines (NIS2: 24h, DORA: 4h) is tracked continuously.</t>
  </si>
  <si>
    <t xml:space="preserve">DORA Major Incident Classification is fully automated — alert triage, initial investigation, and regulatory classification operate with AI-assisted tools. MTTD targets are met automatically. Independent red team exercises validate SOC detection and response capability.</t>
  </si>
  <si>
    <t xml:space="preserve">Threat Intelligence Integration has not been deployed. This specific threat category operates undetected within the environment.</t>
  </si>
  <si>
    <t xml:space="preserve">Basic detection for this category exists but coverage is partial, rules are outdated, and alert fidelity is low.</t>
  </si>
  <si>
    <t xml:space="preserve">Operationalised threat intelligence integrated with detection and response. Threat Intelligence Integration is documented, consistently applied across all in-scope assets, reviewed at least annually, and formally governed. Exceptions are tracked and managed with named owners. This level meets the minimum regulatory evidence standard.</t>
  </si>
  <si>
    <t xml:space="preserve">Threat Intelligence Integration is measured — alert volume, false-positive rate, MITRE ATT&amp;CK coverage percentage, and detection latency are tracked. Detection effectiveness is reported to SOC governance and informs purple team exercise scope.</t>
  </si>
  <si>
    <t xml:space="preserve">Threat Intelligence Integration is continuously automated — detection rules self-update from threat intelligence, coverage gaps are automatically filled, and alert fidelity improves through automated machine learning. Purple team exercises validate coverage on a rolling basis.</t>
  </si>
  <si>
    <t xml:space="preserve">User &amp; Entity Behaviour Analytics (UEBA) has not been deployed. This specific threat category operates undetected within the environment.</t>
  </si>
  <si>
    <t xml:space="preserve">UEBA detecting anomalous user and entity behaviour indicative of compromise or insider threat. User &amp; Entity Behaviour Analytics (UEBA) is documented, consistently applied across all in-scope assets, reviewed at least annually, and formally governed. Exceptions are tracked and managed with named owners. This level meets the minimum regulatory evidence standard.</t>
  </si>
  <si>
    <t xml:space="preserve">User &amp; Entity Behaviour Analytics (UEBA) is measured — alert volume, false-positive rate, MITRE ATT&amp;CK coverage percentage, and detection latency are tracked. Detection effectiveness is reported to SOC governance and informs purple team exercise scope.</t>
  </si>
  <si>
    <t xml:space="preserve">User &amp; Entity Behaviour Analytics (UEBA) is continuously automated — detection rules self-update from threat intelligence, coverage gaps are automatically filled, and alert fidelity improves through automated machine learning. Purple team exercises validate coverage on a rolling basis.</t>
  </si>
  <si>
    <t xml:space="preserve">Network Detection &amp; Response (NDR) has not been deployed. This specific threat category operates undetected within the environment.</t>
  </si>
  <si>
    <t xml:space="preserve">Network traffic analysis detecting lateral movement, C2, and data exfiltration. Network Detection &amp; Response (NDR) is documented, consistently applied across all in-scope assets, reviewed at least annually, and formally governed. Exceptions are tracked and managed with named owners. This level meets the minimum regulatory evidence standard.</t>
  </si>
  <si>
    <t xml:space="preserve">Network Detection &amp; Response (NDR) is measured — alert volume, false-positive rate, MITRE ATT&amp;CK coverage percentage, and detection latency are tracked. Detection effectiveness is reported to SOC governance and informs purple team exercise scope.</t>
  </si>
  <si>
    <t xml:space="preserve">Network Detection &amp; Response (NDR) is continuously automated — detection rules self-update from threat intelligence, coverage gaps are automatically filled, and alert fidelity improves through automated machine learning. Purple team exercises validate coverage on a rolling basis.</t>
  </si>
  <si>
    <t xml:space="preserve">Cloud Detection &amp; Response has not been deployed. This specific threat category operates undetected within the environment.</t>
  </si>
  <si>
    <t xml:space="preserve">Cloud-native threat detection covering all CSPs with workload and control plane monitoring. Cloud Detection &amp; Response is documented, consistently applied across all in-scope assets, reviewed at least annually, and formally governed. Exceptions are tracked and managed with named owners. This level meets the minimum regulatory evidence standard.</t>
  </si>
  <si>
    <t xml:space="preserve">Cloud Detection &amp; Response is measured — alert volume, false-positive rate, MITRE ATT&amp;CK coverage percentage, and detection latency are tracked. Detection effectiveness is reported to SOC governance and informs purple team exercise scope.</t>
  </si>
  <si>
    <t xml:space="preserve">Cloud Detection &amp; Response is continuously automated — detection rules self-update from threat intelligence, coverage gaps are automatically filled, and alert fidelity improves through automated machine learning. Purple team exercises validate coverage on a rolling basis.</t>
  </si>
  <si>
    <t xml:space="preserve">Privacy Event Detection has not been deployed. This specific threat category operates undetected within the environment.</t>
  </si>
  <si>
    <t xml:space="preserve">Detection of privacy-relevant events including unauthorised access to personal data and bulk exports. Privacy Event Detection is documented, consistently applied across all in-scope assets, reviewed at least annually, and formally governed. Exceptions are tracked and managed with named owners. This level meets the minimum regulatory evidence standard.</t>
  </si>
  <si>
    <t xml:space="preserve">Privacy Event Detection is measured — alert volume, false-positive rate, MITRE ATT&amp;CK coverage percentage, and detection latency are tracked. Detection effectiveness is reported to SOC governance and informs purple team exercise scope.</t>
  </si>
  <si>
    <t xml:space="preserve">Privacy Event Detection is continuously automated — detection rules self-update from threat intelligence, coverage gaps are automatically filled, and alert fidelity improves through automated machine learning. Purple team exercises validate coverage on a rolling basis.</t>
  </si>
  <si>
    <t xml:space="preserve">SOX Financial System Monitoring has not been deployed. This specific threat category operates undetected within the environment.</t>
  </si>
  <si>
    <t xml:space="preserve">Monitoring of financial systems for change, access, and data integrity events. SOX Financial System Monitoring is documented, consistently applied across all in-scope assets, reviewed at least annually, and formally governed. Exceptions are tracked and managed with named owners. This level meets the minimum regulatory evidence standard.</t>
  </si>
  <si>
    <t xml:space="preserve">SOX Financial System Monitoring is measured — alert volume, false-positive rate, MITRE ATT&amp;CK coverage percentage, and detection latency are tracked. Detection effectiveness is reported to SOC governance and informs purple team exercise scope.</t>
  </si>
  <si>
    <t xml:space="preserve">SOX Financial System Monitoring is continuously automated — detection rules self-update from threat intelligence, coverage gaps are automatically filled, and alert fidelity improves through automated machine learning. Purple team exercises validate coverage on a rolling basis.</t>
  </si>
  <si>
    <t xml:space="preserve">Dark Web &amp; Exposure Monitoring has not been deployed. This specific threat category operates undetected within the environment.</t>
  </si>
  <si>
    <t xml:space="preserve">Continuous dark web and credential exposure monitoring with alerting. Dark Web &amp; Exposure Monitoring is documented, consistently applied across all in-scope assets, reviewed at least annually, and formally governed. Exceptions are tracked and managed with named owners. This level meets the minimum regulatory evidence standard.</t>
  </si>
  <si>
    <t xml:space="preserve">Dark Web &amp; Exposure Monitoring is measured — alert volume, false-positive rate, MITRE ATT&amp;CK coverage percentage, and detection latency are tracked. Detection effectiveness is reported to SOC governance and informs purple team exercise scope.</t>
  </si>
  <si>
    <t xml:space="preserve">Dark Web &amp; Exposure Monitoring is continuously automated — detection rules self-update from threat intelligence, coverage gaps are automatically filled, and alert fidelity improves through automated machine learning. Purple team exercises validate coverage on a rolling basis.</t>
  </si>
  <si>
    <t xml:space="preserve">AI-Specific Threat Detection has not been deployed. This specific threat category operates undetected within the environment.</t>
  </si>
  <si>
    <t xml:space="preserve">Detection capability for AI-specific threats including model poisoning and prompt injection attempts. AI-Specific Threat Detection is documented, consistently applied across all in-scope assets, reviewed at least annually, and formally governed. Exceptions are tracked and managed with named owners. This level meets the minimum regulatory evidence standard.</t>
  </si>
  <si>
    <t xml:space="preserve">AI-Specific Threat Detection is measured — alert volume, false-positive rate, MITRE ATT&amp;CK coverage percentage, and detection latency are tracked. Detection effectiveness is reported to SOC governance and informs purple team exercise scope.</t>
  </si>
  <si>
    <t xml:space="preserve">AI-Specific Threat Detection is continuously automated — detection rules self-update from threat intelligence, coverage gaps are automatically filled, and alert fidelity improves through automated machine learning. Purple team exercises validate coverage on a rolling basis.</t>
  </si>
  <si>
    <t xml:space="preserve">Detection Validation — Purple Team Exercises does not exist. Detection programme performance is unmeasured and unimproved.</t>
  </si>
  <si>
    <t xml:space="preserve">Basic metrics are captured for this area but measurement is manual, reporting is inconsistent, and trends are not tracked.</t>
  </si>
  <si>
    <t xml:space="preserve">Regular purple team exercises validating detection capability against real attack techniques. Detection Validation — Purple Team Exercises is documented, consistently applied across all in-scope assets, reviewed at least annually, and formally governed. Exceptions are tracked and managed with named owners. This level meets the minimum regulatory evidence standard.</t>
  </si>
  <si>
    <t xml:space="preserve">Detection Validation — Purple Team Exercises is fully instrumented — coverage, quality, and trend metrics are automated and reported to leadership on a defined schedule. Governance uses metrics output to drive investment and improvement decisions.</t>
  </si>
  <si>
    <t xml:space="preserve">Detection Validation — Purple Team Exercises is fully automated — metrics are self-generating from operational telemetry, dashboards self-populate, and threshold breaches trigger automated governance escalation. Independent validation confirms measurement accuracy.</t>
  </si>
  <si>
    <t xml:space="preserve">Security Metrics &amp; KPIs — Detection Domain does not exist. Detection programme performance is unmeasured and unimproved.</t>
  </si>
  <si>
    <t xml:space="preserve">Defined KPIs for the detection domain with automated measurement and trending. Security Metrics &amp; KPIs — Detection Domain is documented, consistently applied across all in-scope assets, reviewed at least annually, and formally governed. Exceptions are tracked and managed with named owners. This level meets the minimum regulatory evidence standard.</t>
  </si>
  <si>
    <t xml:space="preserve">Security Metrics &amp; KPIs — Detection Domain is fully instrumented — coverage, quality, and trend metrics are automated and reported to leadership on a defined schedule. Governance uses metrics output to drive investment and improvement decisions.</t>
  </si>
  <si>
    <t xml:space="preserve">Security Metrics &amp; KPIs — Detection Domain is fully automated — metrics are self-generating from operational telemetry, dashboards self-populate, and threshold breaches trigger automated governance escalation. Independent validation confirms measurement accuracy.</t>
  </si>
  <si>
    <t xml:space="preserve">Security Dashboard &amp; Visibility does not exist. Detection programme performance is unmeasured and unimproved.</t>
  </si>
  <si>
    <t xml:space="preserve">Executive and operational security dashboards providing real-time visibility. Security Dashboard &amp; Visibility is documented, consistently applied across all in-scope assets, reviewed at least annually, and formally governed. Exceptions are tracked and managed with named owners. This level meets the minimum regulatory evidence standard.</t>
  </si>
  <si>
    <t xml:space="preserve">Security Dashboard &amp; Visibility is fully instrumented — coverage, quality, and trend metrics are automated and reported to leadership on a defined schedule. Governance uses metrics output to drive investment and improvement decisions.</t>
  </si>
  <si>
    <t xml:space="preserve">Security Dashboard &amp; Visibility is fully automated — metrics are self-generating from operational telemetry, dashboards self-populate, and threshold breaches trigger automated governance escalation. Independent validation confirms measurement accuracy.</t>
  </si>
  <si>
    <t xml:space="preserve">Vulnerability Scanner Integration does not exist. Detection programme performance is unmeasured and unimproved.</t>
  </si>
  <si>
    <t xml:space="preserve">Vulnerability scanner feeds integrated with SIEM for correlated threat detection. Vulnerability Scanner Integration is documented, consistently applied across all in-scope assets, reviewed at least annually, and formally governed. Exceptions are tracked and managed with named owners. This level meets the minimum regulatory evidence standard.</t>
  </si>
  <si>
    <t xml:space="preserve">Vulnerability Scanner Integration is fully instrumented — coverage, quality, and trend metrics are automated and reported to leadership on a defined schedule. Governance uses metrics output to drive investment and improvement decisions.</t>
  </si>
  <si>
    <t xml:space="preserve">Vulnerability Scanner Integration is fully automated — metrics are self-generating from operational telemetry, dashboards self-populate, and threshold breaches trigger automated governance escalation. Independent validation confirms measurement accuracy.</t>
  </si>
  <si>
    <t xml:space="preserve">🚨  RESPOND — Incident Management &amp; Regulatory Notification  |  Controls 156–171  |  Weight: 11%</t>
  </si>
  <si>
    <t xml:space="preserve">Incident Response Plan (IRP) has not been established. Incident response is entirely improvised at time of occurrence.</t>
  </si>
  <si>
    <t xml:space="preserve">A basic incident response plan (irp) exists but has not been formally approved, roles are unclear, and notification obligations are incomplete.</t>
  </si>
  <si>
    <t xml:space="preserve">Documented, board-approved IRP tested within the last 12 months. Incident Response Plan (IRP) is documented, consistently applied across all in-scope assets, reviewed at least annually, and formally governed. Exceptions are tracked and managed with named owners. This level meets the minimum regulatory evidence standard.</t>
  </si>
  <si>
    <t xml:space="preserve">Incident Response Plan (IRP) is KPI-driven — activation time, stakeholder notification SLA, and post-incident review completion rate are measured. IRP effectiveness is benchmarked against regulatory timelines and reported to governance.</t>
  </si>
  <si>
    <t xml:space="preserve">Incident Response Plan (IRP) is continuously maintained and exercised. Notification workflows are automated and regulatory timelines are enforced by tooling. Independent tabletop exercises are conducted quarterly. IRP adapts automatically to regulatory and threat environment changes.</t>
  </si>
  <si>
    <t xml:space="preserve">Evidence Preservation &amp; Chain of Custody has not been established. Incident response is entirely improvised at time of occurrence.</t>
  </si>
  <si>
    <t xml:space="preserve">A basic evidence preservation &amp; chain of custody exists but has not been formally approved, roles are unclear, and notification obligations are incomplete.</t>
  </si>
  <si>
    <t xml:space="preserve">Forensic evidence preservation process maintaining chain of custody for all security incidents. Evidence Preservation &amp; Chain of Custody is documented, consistently applied across all in-scope assets, reviewed at least annually, and formally governed. Exceptions are tracked and managed with named owners. This level meets the minimum regulatory evidence standard.</t>
  </si>
  <si>
    <t xml:space="preserve">Evidence Preservation &amp; Chain of Custody is KPI-driven — activation time, stakeholder notification SLA, and post-incident review completion rate are measured. IRP effectiveness is benchmarked against regulatory timelines and reported to governance.</t>
  </si>
  <si>
    <t xml:space="preserve">Evidence Preservation &amp; Chain of Custody is continuously maintained and exercised. Notification workflows are automated and regulatory timelines are enforced by tooling. Independent tabletop exercises are conducted quarterly. IRP adapts automatically to regulatory and threat environment changes.</t>
  </si>
  <si>
    <t xml:space="preserve">Third-Party Incident Coordination has not been established. Incident response is entirely improvised at time of occurrence.</t>
  </si>
  <si>
    <t xml:space="preserve">A basic third-party incident coordination exists but has not been formally approved, roles are unclear, and notification obligations are incomplete.</t>
  </si>
  <si>
    <t xml:space="preserve">Process for coordinating incident response with third parties, cloud providers, and law enforcement. Third-Party Incident Coordination is documented, consistently applied across all in-scope assets, reviewed at least annually, and formally governed. Exceptions are tracked and managed with named owners. This level meets the minimum regulatory evidence standard.</t>
  </si>
  <si>
    <t xml:space="preserve">Third-Party Incident Coordination is KPI-driven — activation time, stakeholder notification SLA, and post-incident review completion rate are measured. IRP effectiveness is benchmarked against regulatory timelines and reported to governance.</t>
  </si>
  <si>
    <t xml:space="preserve">Third-Party Incident Coordination is continuously maintained and exercised. Notification workflows are automated and regulatory timelines are enforced by tooling. Independent tabletop exercises are conducted quarterly. IRP adapts automatically to regulatory and threat environment changes.</t>
  </si>
  <si>
    <t xml:space="preserve">Cyber Insurance Engagement &amp; Claim Management has not been established. Incident response is entirely improvised at time of occurrence.</t>
  </si>
  <si>
    <t xml:space="preserve">A basic cyber insurance engagement &amp; claim management exists but has not been formally approved, roles are unclear, and notification obligations are incomplete.</t>
  </si>
  <si>
    <t xml:space="preserve">Defined process for cyber insurance notification, engagement, and claim management. Cyber Insurance Engagement &amp; Claim Management is documented, consistently applied across all in-scope assets, reviewed at least annually, and formally governed. Exceptions are tracked and managed with named owners. This level meets the minimum regulatory evidence standard.</t>
  </si>
  <si>
    <t xml:space="preserve">Cyber Insurance Engagement &amp; Claim Management is KPI-driven — activation time, stakeholder notification SLA, and post-incident review completion rate are measured. IRP effectiveness is benchmarked against regulatory timelines and reported to governance.</t>
  </si>
  <si>
    <t xml:space="preserve">Cyber Insurance Engagement &amp; Claim Management is continuously maintained and exercised. Notification workflows are automated and regulatory timelines are enforced by tooling. Independent tabletop exercises are conducted quarterly. IRP adapts automatically to regulatory and threat environment changes.</t>
  </si>
  <si>
    <t xml:space="preserve">Incident Playbooks — Ransomware does not exist. Response to this incident type is unscripted and reliant on individual knowledge.</t>
  </si>
  <si>
    <t xml:space="preserve">A basic incident playbooks — ransomware exists in draft form but has not been tested, is not known to all responders, and decision trees are absent.</t>
  </si>
  <si>
    <t xml:space="preserve">Specific, tested playbook for ransomware incident response including isolation and recovery. Incident Playbooks — Ransomware is documented, consistently applied across all in-scope assets, reviewed at least annually, and formally governed. Exceptions are tracked and managed with named owners. This level meets the minimum regulatory evidence standard.</t>
  </si>
  <si>
    <t xml:space="preserve">Incident Playbooks — Ransomware is rehearsed on a defined schedule. Exercise findings are tracked to playbook updates within 30 days. Playbook currency is verified after every regulatory change and at least annually.</t>
  </si>
  <si>
    <t xml:space="preserve">Incident Playbooks — Ransomware is maintained in a living format with automated update triggers on regulatory change, threat intelligence signals, and post-incident findings. Independent tabletop exercises validate playbook effectiveness quarterly.</t>
  </si>
  <si>
    <t xml:space="preserve">Incident Playbooks — Data Breach does not exist. Response to this incident type is unscripted and reliant on individual knowledge.</t>
  </si>
  <si>
    <t xml:space="preserve">A basic incident playbooks — data breach exists in draft form but has not been tested, is not known to all responders, and decision trees are absent.</t>
  </si>
  <si>
    <t xml:space="preserve">Specific playbook for personal data breach response including regulatory notification workflow. Incident Playbooks — Data Breach is documented, consistently applied across all in-scope assets, reviewed at least annually, and formally governed. Exceptions are tracked and managed with named owners. This level meets the minimum regulatory evidence standard.</t>
  </si>
  <si>
    <t xml:space="preserve">Incident Playbooks — Data Breach is rehearsed on a defined schedule. Exercise findings are tracked to playbook updates within 30 days. Playbook currency is verified after every regulatory change and at least annually.</t>
  </si>
  <si>
    <t xml:space="preserve">Incident Playbooks — Data Breach is maintained in a living format with automated update triggers on regulatory change, threat intelligence signals, and post-incident findings. Independent tabletop exercises validate playbook effectiveness quarterly.</t>
  </si>
  <si>
    <t xml:space="preserve">Incident Playbooks — Business Email Compromise does not exist. Response to this incident type is unscripted and reliant on individual knowledge.</t>
  </si>
  <si>
    <t xml:space="preserve">A basic incident playbooks — business email compromise exists in draft form but has not been tested, is not known to all responders, and decision trees are absent.</t>
  </si>
  <si>
    <t xml:space="preserve">BEC-specific playbook covering payment reversal, email quarantine, and law enforcement. Incident Playbooks — Business Email Compromise is documented, consistently applied across all in-scope assets, reviewed at least annually, and formally governed. Exceptions are tracked and managed with named owners. This level meets the minimum regulatory evidence standard.</t>
  </si>
  <si>
    <t xml:space="preserve">Incident Playbooks — Business Email Compromise is rehearsed on a defined schedule. Exercise findings are tracked to playbook updates within 30 days. Playbook currency is verified after every regulatory change and at least annually.</t>
  </si>
  <si>
    <t xml:space="preserve">Incident Playbooks — Business Email Compromise is maintained in a living format with automated update triggers on regulatory change, threat intelligence signals, and post-incident findings. Independent tabletop exercises validate playbook effectiveness quarterly.</t>
  </si>
  <si>
    <t xml:space="preserve">Incident Playbooks — Cloud Security Incident does not exist. Response to this incident type is unscripted and reliant on individual knowledge.</t>
  </si>
  <si>
    <t xml:space="preserve">A basic incident playbooks — cloud security incident exists in draft form but has not been tested, is not known to all responders, and decision trees are absent.</t>
  </si>
  <si>
    <t xml:space="preserve">Cloud-specific incident response playbook covering CSP coordination and workload isolation. Incident Playbooks — Cloud Security Incident is documented, consistently applied across all in-scope assets, reviewed at least annually, and formally governed. Exceptions are tracked and managed with named owners. This level meets the minimum regulatory evidence standard.</t>
  </si>
  <si>
    <t xml:space="preserve">Incident Playbooks — Cloud Security Incident is rehearsed on a defined schedule. Exercise findings are tracked to playbook updates within 30 days. Playbook currency is verified after every regulatory change and at least annually.</t>
  </si>
  <si>
    <t xml:space="preserve">Incident Playbooks — Cloud Security Incident is maintained in a living format with automated update triggers on regulatory change, threat intelligence signals, and post-incident findings. Independent tabletop exercises validate playbook effectiveness quarterly.</t>
  </si>
  <si>
    <t xml:space="preserve">NIS2 Three-Stage Notification Process does not exist. The organisation cannot meet mandatory notification timelines for this regulatory obligation.</t>
  </si>
  <si>
    <t xml:space="preserve">A basic nis2 three-stage notification process process exists but templates are absent, contacts are incomplete, and notification timelines are undefined.</t>
  </si>
  <si>
    <t xml:space="preserve">NIS2-compliant notification process with 24h/72h/1-month stages for significant incidents. NIS2 Three-Stage Notification Process is documented, consistently applied across all in-scope assets, reviewed at least annually, and formally governed. Exceptions are tracked and managed with named owners. This level meets the minimum regulatory evidence standard.</t>
  </si>
  <si>
    <t xml:space="preserve">NIS2 Three-Stage Notification Process is continuously monitored with automated classification logic. Notification timelines are tracked against regulatory requirements and SLA adherence is reported to compliance governance.</t>
  </si>
  <si>
    <t xml:space="preserve">NIS2 Three-Stage Notification Process is fully automated — classification logic, notification drafting, and recipient management are tooling-driven. Regulatory timeline compliance is monitored and reported. Independent exercises validate the end-to-end notification process.</t>
  </si>
  <si>
    <t xml:space="preserve">DORA Major Incident Reporting Process does not exist. The organisation cannot meet mandatory notification timelines for this regulatory obligation.</t>
  </si>
  <si>
    <t xml:space="preserve">A basic dora major incident reporting process process exists but templates are absent, contacts are incomplete, and notification timelines are undefined.</t>
  </si>
  <si>
    <t xml:space="preserve">DORA-compliant ICT major incident reporting with 4h/72h/1-month stages for EU financial entities. DORA Major Incident Reporting Process is documented, consistently applied across all in-scope assets, reviewed at least annually, and formally governed. Exceptions are tracked and managed with named owners. This level meets the minimum regulatory evidence standard.</t>
  </si>
  <si>
    <t xml:space="preserve">DORA Major Incident Reporting Process is continuously monitored with automated classification logic. Notification timelines are tracked against regulatory requirements and SLA adherence is reported to compliance governance.</t>
  </si>
  <si>
    <t xml:space="preserve">DORA Major Incident Reporting Process is fully automated — classification logic, notification drafting, and recipient management are tooling-driven. Regulatory timeline compliance is monitored and reported. Independent exercises validate the end-to-end notification process.</t>
  </si>
  <si>
    <t xml:space="preserve">GDPR Breach Notification Process does not exist. The organisation cannot meet mandatory notification timelines for this regulatory obligation.</t>
  </si>
  <si>
    <t xml:space="preserve">A basic gdpr breach notification process process exists but templates are absent, contacts are incomplete, and notification timelines are undefined.</t>
  </si>
  <si>
    <t xml:space="preserve">GDPR 72-hour supervisory authority notification process with data subject communication plan. GDPR Breach Notification Process is documented, consistently applied across all in-scope assets, reviewed at least annually, and formally governed. Exceptions are tracked and managed with named owners. This level meets the minimum regulatory evidence standard.</t>
  </si>
  <si>
    <t xml:space="preserve">GDPR Breach Notification Process is continuously monitored with automated classification logic. Notification timelines are tracked against regulatory requirements and SLA adherence is reported to compliance governance.</t>
  </si>
  <si>
    <t xml:space="preserve">GDPR Breach Notification Process is fully automated — classification logic, notification drafting, and recipient management are tooling-driven. Regulatory timeline compliance is monitored and reported. Independent exercises validate the end-to-end notification process.</t>
  </si>
  <si>
    <t xml:space="preserve">Breach Materiality &amp; Regulatory Decision Tree does not exist. The organisation cannot meet mandatory notification timelines for this regulatory obligation.</t>
  </si>
  <si>
    <t xml:space="preserve">A basic breach materiality &amp; regulatory decision tree process exists but templates are absent, contacts are incomplete, and notification timelines are undefined.</t>
  </si>
  <si>
    <t xml:space="preserve">Structured decision tree determining notification obligations for each applicable regulation. Breach Materiality &amp; Regulatory Decision Tree is documented, consistently applied across all in-scope assets, reviewed at least annually, and formally governed. Exceptions are tracked and managed with named owners. This level meets the minimum regulatory evidence standard.</t>
  </si>
  <si>
    <t xml:space="preserve">Breach Materiality &amp; Regulatory Decision Tree is continuously monitored with automated classification logic. Notification timelines are tracked against regulatory requirements and SLA adherence is reported to compliance governance.</t>
  </si>
  <si>
    <t xml:space="preserve">Breach Materiality &amp; Regulatory Decision Tree is fully automated — classification logic, notification drafting, and recipient management are tooling-driven. Regulatory timeline compliance is monitored and reported. Independent exercises validate the end-to-end notification process.</t>
  </si>
  <si>
    <t xml:space="preserve">Tabletop Exercises — Technical has not been conducted. The incident response capability has not been validated under realistic conditions.</t>
  </si>
  <si>
    <t xml:space="preserve">Ad hoc tabletop exercises — technical activity occurs but is not scheduled, not formally structured, and findings are not systematically incorporated.</t>
  </si>
  <si>
    <t xml:space="preserve">Technical tabletop exercises simulating realistic incident scenarios. Tabletop Exercises — Technical is documented, consistently applied across all in-scope assets, reviewed at least annually, and formally governed. Exceptions are tracked and managed with named owners. This level meets the minimum regulatory evidence standard.</t>
  </si>
  <si>
    <t xml:space="preserve">Tabletop Exercises — Technical is conducted on a defined schedule. Exercise findings, root cause analyses, and improvement actions are formally tracked. Programme maturity trends are reported to governance annually.</t>
  </si>
  <si>
    <t xml:space="preserve">Tabletop Exercises — Technical is continuous and automated — exercises are regularly scheduled, findings are automatically tracked to closure, and improvement actions feed directly into the security programme backlog. Independent assurance validates programme improvement.</t>
  </si>
  <si>
    <t xml:space="preserve">Tabletop Exercises — Executive has not been conducted. The incident response capability has not been validated under realistic conditions.</t>
  </si>
  <si>
    <t xml:space="preserve">Ad hoc tabletop exercises — executive activity occurs but is not scheduled, not formally structured, and findings are not systematically incorporated.</t>
  </si>
  <si>
    <t xml:space="preserve">Executive-level tabletop exercises testing board and senior management decision-making. Tabletop Exercises — Executive is documented, consistently applied across all in-scope assets, reviewed at least annually, and formally governed. Exceptions are tracked and managed with named owners. This level meets the minimum regulatory evidence standard.</t>
  </si>
  <si>
    <t xml:space="preserve">Tabletop Exercises — Executive is conducted on a defined schedule. Exercise findings, root cause analyses, and improvement actions are formally tracked. Programme maturity trends are reported to governance annually.</t>
  </si>
  <si>
    <t xml:space="preserve">Tabletop Exercises — Executive is continuous and automated — exercises are regularly scheduled, findings are automatically tracked to closure, and improvement actions feed directly into the security programme backlog. Independent assurance validates programme improvement.</t>
  </si>
  <si>
    <t xml:space="preserve">Post-Incident Review &amp; Lessons Learned has not been conducted. The incident response capability has not been validated under realistic conditions.</t>
  </si>
  <si>
    <t xml:space="preserve">Ad hoc post-incident review &amp; lessons learned activity occurs but is not scheduled, not formally structured, and findings are not systematically incorporated.</t>
  </si>
  <si>
    <t xml:space="preserve">Structured post-incident review process with lessons learned integrated into controls. Post-Incident Review &amp; Lessons Learned is documented, consistently applied across all in-scope assets, reviewed at least annually, and formally governed. Exceptions are tracked and managed with named owners. This level meets the minimum regulatory evidence standard.</t>
  </si>
  <si>
    <t xml:space="preserve">Post-Incident Review &amp; Lessons Learned is conducted on a defined schedule. Exercise findings, root cause analyses, and improvement actions are formally tracked. Programme maturity trends are reported to governance annually.</t>
  </si>
  <si>
    <t xml:space="preserve">Post-Incident Review &amp; Lessons Learned is continuous and automated — exercises are regularly scheduled, findings are automatically tracked to closure, and improvement actions feed directly into the security programme backlog. Independent assurance validates programme improvement.</t>
  </si>
  <si>
    <t xml:space="preserve">Regulatory Investigation Management has not been conducted. The incident response capability has not been validated under realistic conditions.</t>
  </si>
  <si>
    <t xml:space="preserve">Ad hoc regulatory investigation management activity occurs but is not scheduled, not formally structured, and findings are not systematically incorporated.</t>
  </si>
  <si>
    <t xml:space="preserve">Process for managing regulatory investigations and enforcement actions. Regulatory Investigation Management is documented, consistently applied across all in-scope assets, reviewed at least annually, and formally governed. Exceptions are tracked and managed with named owners. This level meets the minimum regulatory evidence standard.</t>
  </si>
  <si>
    <t xml:space="preserve">Regulatory Investigation Management is conducted on a defined schedule. Exercise findings, root cause analyses, and improvement actions are formally tracked. Programme maturity trends are reported to governance annually.</t>
  </si>
  <si>
    <t xml:space="preserve">Regulatory Investigation Management is continuous and automated — exercises are regularly scheduled, findings are automatically tracked to closure, and improvement actions feed directly into the security programme backlog. Independent assurance validates programme improvement.</t>
  </si>
  <si>
    <t xml:space="preserve">♻️  RECOVER — Resilience, Continuity &amp; Validation  |  Controls 172–188  |  Weight: 10%</t>
  </si>
  <si>
    <t xml:space="preserve">Business Continuity Plan (BCP) has not been documented or approved. Recovery from a disruptive event would be entirely improvised.</t>
  </si>
  <si>
    <t xml:space="preserve">A business continuity plan (bcp) exists but has not been board-approved, tested, or validated against current system architecture.</t>
  </si>
  <si>
    <t xml:space="preserve">Board-approved BCP covering all critical services with defined RTO/RPO and tested recovery procedures. Business Continuity Plan (BCP) is documented, consistently applied across all in-scope assets, reviewed at least annually, and formally governed. Exceptions are tracked and managed with named owners. This level meets the minimum regulatory evidence standard.</t>
  </si>
  <si>
    <t xml:space="preserve">Business Continuity Plan (BCP) is KPI-driven — RTO/RPO achievement rate, test frequency, and supplier BCP compliance rate are measured. Business continuity posture is reported to the board and DORA Art.11 evidence is continuously produced.</t>
  </si>
  <si>
    <t xml:space="preserve">Business Continuity Plan (BCP) is fully automated and continuously evidenced — failover testing is automated, recovery procedures are self-validating, and DORA Art.11 and ISO 22301 evidence is continuously generated. Independent assurance validates BCP effectiveness.</t>
  </si>
  <si>
    <t xml:space="preserve">Disaster Recovery Plan (DRP) has not been documented or approved. Recovery from a disruptive event would be entirely improvised.</t>
  </si>
  <si>
    <t xml:space="preserve">A disaster recovery plan (drp) exists but has not been board-approved, tested, or validated against current system architecture.</t>
  </si>
  <si>
    <t xml:space="preserve">Technically detailed DRP aligned to BCP with system-level recovery procedures. Disaster Recovery Plan (DRP) is documented, consistently applied across all in-scope assets, reviewed at least annually, and formally governed. Exceptions are tracked and managed with named owners. This level meets the minimum regulatory evidence standard.</t>
  </si>
  <si>
    <t xml:space="preserve">Disaster Recovery Plan (DRP) is KPI-driven — RTO/RPO achievement rate, test frequency, and supplier BCP compliance rate are measured. Business continuity posture is reported to the board and DORA Art.11 evidence is continuously produced.</t>
  </si>
  <si>
    <t xml:space="preserve">Disaster Recovery Plan (DRP) is fully automated and continuously evidenced — failover testing is automated, recovery procedures are self-validating, and DORA Art.11 and ISO 22301 evidence is continuously generated. Independent assurance validates BCP effectiveness.</t>
  </si>
  <si>
    <t xml:space="preserve">Recovery Time Objective (RTO) Validation has not been documented or approved. Recovery from a disruptive event would be entirely improvised.</t>
  </si>
  <si>
    <t xml:space="preserve">A recovery time objective (rto) validation exists but has not been board-approved, tested, or validated against current system architecture.</t>
  </si>
  <si>
    <t xml:space="preserve">RTO targets tested and validated for all critical systems annually. Recovery Time Objective (RTO) Validation is documented, consistently applied across all in-scope assets, reviewed at least annually, and formally governed. Exceptions are tracked and managed with named owners. This level meets the minimum regulatory evidence standard.</t>
  </si>
  <si>
    <t xml:space="preserve">Recovery Time Objective (RTO) Validation is KPI-driven — RTO/RPO achievement rate, test frequency, and supplier BCP compliance rate are measured. Business continuity posture is reported to the board and DORA Art.11 evidence is continuously produced.</t>
  </si>
  <si>
    <t xml:space="preserve">Recovery Time Objective (RTO) Validation is fully automated and continuously evidenced — failover testing is automated, recovery procedures are self-validating, and DORA Art.11 and ISO 22301 evidence is continuously generated. Independent assurance validates BCP effectiveness.</t>
  </si>
  <si>
    <t xml:space="preserve">Recovery Point Objective (RPO) Validation has not been documented or approved. Recovery from a disruptive event would be entirely improvised.</t>
  </si>
  <si>
    <t xml:space="preserve">A recovery point objective (rpo) validation exists but has not been board-approved, tested, or validated against current system architecture.</t>
  </si>
  <si>
    <t xml:space="preserve">RPO targets tested through actual restoration to confirm data recovery within objective. Recovery Point Objective (RPO) Validation is documented, consistently applied across all in-scope assets, reviewed at least annually, and formally governed. Exceptions are tracked and managed with named owners. This level meets the minimum regulatory evidence standard.</t>
  </si>
  <si>
    <t xml:space="preserve">Recovery Point Objective (RPO) Validation is KPI-driven — RTO/RPO achievement rate, test frequency, and supplier BCP compliance rate are measured. Business continuity posture is reported to the board and DORA Art.11 evidence is continuously produced.</t>
  </si>
  <si>
    <t xml:space="preserve">Recovery Point Objective (RPO) Validation is fully automated and continuously evidenced — failover testing is automated, recovery procedures are self-validating, and DORA Art.11 and ISO 22301 evidence is continuously generated. Independent assurance validates BCP effectiveness.</t>
  </si>
  <si>
    <t xml:space="preserve">Crisis Communications Plan has not been documented or approved. Recovery from a disruptive event would be entirely improvised.</t>
  </si>
  <si>
    <t xml:space="preserve">A crisis communications plan exists but has not been board-approved, tested, or validated against current system architecture.</t>
  </si>
  <si>
    <t xml:space="preserve">Pre-prepared crisis communications plan for business continuity events. Crisis Communications Plan is documented, consistently applied across all in-scope assets, reviewed at least annually, and formally governed. Exceptions are tracked and managed with named owners. This level meets the minimum regulatory evidence standard.</t>
  </si>
  <si>
    <t xml:space="preserve">Crisis Communications Plan is KPI-driven — RTO/RPO achievement rate, test frequency, and supplier BCP compliance rate are measured. Business continuity posture is reported to the board and DORA Art.11 evidence is continuously produced.</t>
  </si>
  <si>
    <t xml:space="preserve">Crisis Communications Plan is fully automated and continuously evidenced — failover testing is automated, recovery procedures are self-validating, and DORA Art.11 and ISO 22301 evidence is continuously generated. Independent assurance validates BCP effectiveness.</t>
  </si>
  <si>
    <t xml:space="preserve">Recovery Testing — Full System Failover does not exist at a system level. Technical recovery procedures are absent or untested.</t>
  </si>
  <si>
    <t xml:space="preserve">Basic recovery documentation exists but RTO/RPO targets are aspirational rather than test-validated.</t>
  </si>
  <si>
    <t xml:space="preserve">Annual full failover test of critical systems with documented results and RTO achievement. Recovery Testing — Full System Failover is documented, consistently applied across all in-scope assets, reviewed at least annually, and formally governed. Exceptions are tracked and managed with named owners. This level meets the minimum regulatory evidence standard.</t>
  </si>
  <si>
    <t xml:space="preserve">Recovery Testing — Full System Failover is measured — RTO/RPO achievement in testing, recovery time variance, and failover success rate are tracked longitudinally. Recovery capability trends are reported to governance and drive infrastructure investment.</t>
  </si>
  <si>
    <t xml:space="preserve">Recovery Testing — Full System Failover is continuously automated — live failover testing, configuration drift detection, and post-recovery validation operate without manual scheduling. Independent DR assessment validates recovery capability against DORA Art.12 and ISO 22301 requirements.</t>
  </si>
  <si>
    <t xml:space="preserve">DORA Threat-Led Penetration Testing (TLPT) does not exist at a system level. Technical recovery procedures are absent or untested.</t>
  </si>
  <si>
    <t xml:space="preserve">DORA TLPT conducted per regulatory timeline for in-scope EU financial entities. DORA Threat-Led Penetration Testing (TLPT) is documented, consistently applied across all in-scope assets, reviewed at least annually, and formally governed. Exceptions are tracked and managed with named owners. This level meets the minimum regulatory evidence standard.</t>
  </si>
  <si>
    <t xml:space="preserve">DORA Threat-Led Penetration Testing (TLPT) is measured — RTO/RPO achievement in testing, recovery time variance, and failover success rate are tracked longitudinally. Recovery capability trends are reported to governance and drive infrastructure investment.</t>
  </si>
  <si>
    <t xml:space="preserve">DORA Threat-Led Penetration Testing (TLPT) is continuously automated — live failover testing, configuration drift detection, and post-recovery validation operate without manual scheduling. Independent DR assessment validates recovery capability against DORA Art.12 and ISO 22301 requirements.</t>
  </si>
  <si>
    <t xml:space="preserve">Post-Recovery Control Validation does not exist at a system level. Technical recovery procedures are absent or untested.</t>
  </si>
  <si>
    <t xml:space="preserve">Checklist-driven validation that all security controls are restored and operational after recovery. Post-Recovery Control Validation is documented, consistently applied across all in-scope assets, reviewed at least annually, and formally governed. Exceptions are tracked and managed with named owners. This level meets the minimum regulatory evidence standard.</t>
  </si>
  <si>
    <t xml:space="preserve">Post-Recovery Control Validation is measured — RTO/RPO achievement in testing, recovery time variance, and failover success rate are tracked longitudinally. Recovery capability trends are reported to governance and drive infrastructure investment.</t>
  </si>
  <si>
    <t xml:space="preserve">Post-Recovery Control Validation is continuously automated — live failover testing, configuration drift detection, and post-recovery validation operate without manual scheduling. Independent DR assessment validates recovery capability against DORA Art.12 and ISO 22301 requirements.</t>
  </si>
  <si>
    <t xml:space="preserve">Privacy Capability Restoration does not exist at a system level. Technical recovery procedures are absent or untested.</t>
  </si>
  <si>
    <t xml:space="preserve">Restoration process for privacy-critical systems including GDPR compliance verification. Privacy Capability Restoration is documented, consistently applied across all in-scope assets, reviewed at least annually, and formally governed. Exceptions are tracked and managed with named owners. This level meets the minimum regulatory evidence standard.</t>
  </si>
  <si>
    <t xml:space="preserve">Privacy Capability Restoration is measured — RTO/RPO achievement in testing, recovery time variance, and failover success rate are tracked longitudinally. Recovery capability trends are reported to governance and drive infrastructure investment.</t>
  </si>
  <si>
    <t xml:space="preserve">Privacy Capability Restoration is continuously automated — live failover testing, configuration drift detection, and post-recovery validation operate without manual scheduling. Independent DR assessment validates recovery capability against DORA Art.12 and ISO 22301 requirements.</t>
  </si>
  <si>
    <t xml:space="preserve">AI Model Integrity Validation (Post-Recovery) does not exist at a system level. Technical recovery procedures are absent or untested.</t>
  </si>
  <si>
    <t xml:space="preserve">Validation of AI model integrity and behaviour following any recovery or restore operation. AI Model Integrity Validation (Post-Recovery) is documented, consistently applied across all in-scope assets, reviewed at least annually, and formally governed. Exceptions are tracked and managed with named owners. This level meets the minimum regulatory evidence standard.</t>
  </si>
  <si>
    <t xml:space="preserve">AI Model Integrity Validation (Post-Recovery) is measured — RTO/RPO achievement in testing, recovery time variance, and failover success rate are tracked longitudinally. Recovery capability trends are reported to governance and drive infrastructure investment.</t>
  </si>
  <si>
    <t xml:space="preserve">AI Model Integrity Validation (Post-Recovery) is continuously automated — live failover testing, configuration drift detection, and post-recovery validation operate without manual scheduling. Independent DR assessment validates recovery capability against DORA Art.12 and ISO 22301 requirements.</t>
  </si>
  <si>
    <t xml:space="preserve">CDE Recovery &amp; PCI Compliance Re-validation does not exist at a system level. Technical recovery procedures are absent or untested.</t>
  </si>
  <si>
    <t xml:space="preserve">PCI DSS CDE security controls verified and compliant before resuming card processing post-incident. CDE Recovery &amp; PCI Compliance Re-validation is documented, consistently applied across all in-scope assets, reviewed at least annually, and formally governed. Exceptions are tracked and managed with named owners. This level meets the minimum regulatory evidence standard.</t>
  </si>
  <si>
    <t xml:space="preserve">CDE Recovery &amp; PCI Compliance Re-validation is measured — RTO/RPO achievement in testing, recovery time variance, and failover success rate are tracked longitudinally. Recovery capability trends are reported to governance and drive infrastructure investment.</t>
  </si>
  <si>
    <t xml:space="preserve">CDE Recovery &amp; PCI Compliance Re-validation is continuously automated — live failover testing, configuration drift detection, and post-recovery validation operate without manual scheduling. Independent DR assessment validates recovery capability against DORA Art.12 and ISO 22301 requirements.</t>
  </si>
  <si>
    <t xml:space="preserve">Continuity Testing — Tabletop &amp; Simulation has not been conducted. Recovery assumptions are unvalidated and recovery time expectations are not evidence-based.</t>
  </si>
  <si>
    <t xml:space="preserve">Some continuity testing — tabletop &amp; simulation activity occurs but is informal, infrequent, and not structured against defined recovery objectives.</t>
  </si>
  <si>
    <t xml:space="preserve">Regular business continuity tabletop exercises and simulated failover tests. Continuity Testing — Tabletop &amp; Simulation is documented, consistently applied across all in-scope assets, reviewed at least annually, and formally governed. Exceptions are tracked and managed with named owners. This level meets the minimum regulatory evidence standard.</t>
  </si>
  <si>
    <t xml:space="preserve">Continuity Testing — Tabletop &amp; Simulation is KPI-driven — test frequency, RTO/RPO achievement rate, and finding remediation rate are measured. Resilience maturity trends are reported to governance and regulators on a defined schedule.</t>
  </si>
  <si>
    <t xml:space="preserve">Continuity Testing — Tabletop &amp; Simulation is continuous — chaos engineering and automated fault injection operate on a defined schedule. Recovery capability is measured in production-equivalent conditions. Independent assurance validates the resilience testing programme.</t>
  </si>
  <si>
    <t xml:space="preserve">Lessons Learned — Continuity Programme Integration has not been conducted. Recovery assumptions are unvalidated and recovery time expectations are not evidence-based.</t>
  </si>
  <si>
    <t xml:space="preserve">Some lessons learned — continuity programme integration activity occurs but is informal, infrequent, and not structured against defined recovery objectives.</t>
  </si>
  <si>
    <t xml:space="preserve">Systematic integration of incident and test learnings into BCP/DRP improvements. Lessons Learned — Continuity Programme Integration is documented, consistently applied across all in-scope assets, reviewed at least annually, and formally governed. Exceptions are tracked and managed with named owners. This level meets the minimum regulatory evidence standard.</t>
  </si>
  <si>
    <t xml:space="preserve">Lessons Learned — Continuity Programme Integration is KPI-driven — test frequency, RTO/RPO achievement rate, and finding remediation rate are measured. Resilience maturity trends are reported to governance and regulators on a defined schedule.</t>
  </si>
  <si>
    <t xml:space="preserve">Lessons Learned — Continuity Programme Integration is continuous — chaos engineering and automated fault injection operate on a defined schedule. Recovery capability is measured in production-equivalent conditions. Independent assurance validates the resilience testing programme.</t>
  </si>
  <si>
    <t xml:space="preserve">Business Service Recovery Validation has not been conducted. Recovery assumptions are unvalidated and recovery time expectations are not evidence-based.</t>
  </si>
  <si>
    <t xml:space="preserve">Some business service recovery validation activity occurs but is informal, infrequent, and not structured against defined recovery objectives.</t>
  </si>
  <si>
    <t xml:space="preserve">End-to-end business service restoration testing covering dependencies and integrations. Business Service Recovery Validation is documented, consistently applied across all in-scope assets, reviewed at least annually, and formally governed. Exceptions are tracked and managed with named owners. This level meets the minimum regulatory evidence standard.</t>
  </si>
  <si>
    <t xml:space="preserve">Business Service Recovery Validation is KPI-driven — test frequency, RTO/RPO achievement rate, and finding remediation rate are measured. Resilience maturity trends are reported to governance and regulators on a defined schedule.</t>
  </si>
  <si>
    <t xml:space="preserve">Business Service Recovery Validation is continuous — chaos engineering and automated fault injection operate on a defined schedule. Recovery capability is measured in production-equivalent conditions. Independent assurance validates the resilience testing programme.</t>
  </si>
  <si>
    <t xml:space="preserve">Recovery Metrics — RTO/RPO Achievement Tracking has not been conducted. Recovery assumptions are unvalidated and recovery time expectations are not evidence-based.</t>
  </si>
  <si>
    <t xml:space="preserve">Some recovery metrics — rto/rpo achievement tracking activity occurs but is informal, infrequent, and not structured against defined recovery objectives.</t>
  </si>
  <si>
    <t xml:space="preserve">Longitudinal tracking of RTO/RPO achievement across all tests and real incidents. Recovery Metrics — RTO/RPO Achievement Tracking is documented, consistently applied across all in-scope assets, reviewed at least annually, and formally governed. Exceptions are tracked and managed with named owners. This level meets the minimum regulatory evidence standard.</t>
  </si>
  <si>
    <t xml:space="preserve">Recovery Metrics — RTO/RPO Achievement Tracking is KPI-driven — test frequency, RTO/RPO achievement rate, and finding remediation rate are measured. Resilience maturity trends are reported to governance and regulators on a defined schedule.</t>
  </si>
  <si>
    <t xml:space="preserve">Recovery Metrics — RTO/RPO Achievement Tracking is continuous — chaos engineering and automated fault injection operate on a defined schedule. Recovery capability is measured in production-equivalent conditions. Independent assurance validates the resilience testing programme.</t>
  </si>
  <si>
    <t xml:space="preserve">Operational Technology (OT) Continuity has not been conducted. Recovery assumptions are unvalidated and recovery time expectations are not evidence-based.</t>
  </si>
  <si>
    <t xml:space="preserve">Some operational technology (ot) continuity activity occurs but is informal, infrequent, and not structured against defined recovery objectives.</t>
  </si>
  <si>
    <t xml:space="preserve">OT/ICS-specific business continuity covering manual fallback and production safety. Operational Technology (OT) Continuity is documented, consistently applied across all in-scope assets, reviewed at least annually, and formally governed. Exceptions are tracked and managed with named owners. This level meets the minimum regulatory evidence standard.</t>
  </si>
  <si>
    <t xml:space="preserve">Operational Technology (OT) Continuity is KPI-driven — test frequency, RTO/RPO achievement rate, and finding remediation rate are measured. Resilience maturity trends are reported to governance and regulators on a defined schedule.</t>
  </si>
  <si>
    <t xml:space="preserve">Operational Technology (OT) Continuity is continuous — chaos engineering and automated fault injection operate on a defined schedule. Recovery capability is measured in production-equivalent conditions. Independent assurance validates the resilience testing programme.</t>
  </si>
  <si>
    <t xml:space="preserve">Supplier Resilience Assessment is absent. Recovery performance is unmeasured — no trending, no board reporting, no improvement baseline.</t>
  </si>
  <si>
    <t xml:space="preserve">Basic supplier resilience assessment are captured but are not trended, not reported to leadership, and not linked to improvement actions.</t>
  </si>
  <si>
    <t xml:space="preserve">Annual assessment of critical supplier resilience and recovery capability. Supplier Resilience Assessment is documented, consistently applied across all in-scope assets, reviewed at least annually, and formally governed. Exceptions are tracked and managed with named owners. This level meets the minimum regulatory evidence standard.</t>
  </si>
  <si>
    <t xml:space="preserve">Supplier Resilience Assessment is continuously measured and trended. RTO/RPO achievement rates, cost of recovery events, and improvement velocity are reported to boards and used to calibrate cyber insurance coverage.</t>
  </si>
  <si>
    <t xml:space="preserve">Supplier Resilience Assessment is fully automated — RTO/RPO achievement is measured in every recovery event, trends are auto-reported to boards and regulators, and anomalies trigger programme reviews automatically. Independent benchmarking validates performance against industry standards.</t>
  </si>
  <si>
    <t xml:space="preserve">NUCLEUS SYSTEMS  |  NS-CMMF v1.0  —  ASSESSMENT HISTORY</t>
  </si>
  <si>
    <t xml:space="preserve">Longitudinal maturity tracking — record each assessment to build regulatory evidence of improvement</t>
  </si>
  <si>
    <t xml:space="preserve">Date</t>
  </si>
  <si>
    <t xml:space="preserve">Assessor</t>
  </si>
  <si>
    <t xml:space="preserve">Weighted Overall</t>
  </si>
  <si>
    <t xml:space="preserve">LookupKey</t>
  </si>
  <si>
    <t xml:space="preserve">Recommendation</t>
  </si>
  <si>
    <t xml:space="preserve">1|2</t>
  </si>
  <si>
    <t xml:space="preserve">Establish the foundation for CISO / Security Leadership: assign a named owner, document the process with clear scope and objectives, and implement basic controls covering the most critical gaps. Focus on achieving consistent, basic coverage before advancing.</t>
  </si>
  <si>
    <t xml:space="preserve">1|3</t>
  </si>
  <si>
    <t xml:space="preserve">Standardise CISO / Security Leadership: formalise all documentation, apply the control consistently across all in-scope assets, close remaining coverage gaps, and ensure evidence is collected routinely. Exceptions must be formally managed with named owners and defined expiry dates.</t>
  </si>
  <si>
    <t xml:space="preserve">1|4</t>
  </si>
  <si>
    <t xml:space="preserve">Instrument CISO / Security Leadership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</si>
  <si>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1|5</t>
  </si>
  <si>
    <t xml:space="preserve">Automate and continuously assure CISO / Security Leadership: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</si>
  <si>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2|2</t>
  </si>
  <si>
    <t xml:space="preserve">Establish the foundation for Cybersecurity Strategy &amp; Programme: assign a named owner, document the process with clear scope and objectives, and implement basic controls covering the most critical gaps. Focus on achieving consistent, basic coverage before advancing.</t>
  </si>
  <si>
    <t xml:space="preserve">2|3</t>
  </si>
  <si>
    <t xml:space="preserve">Standardise Cybersecurity Strategy &amp; Programme: formalise all documentation, apply the control consistently across all in-scope assets, close remaining coverage gaps, and ensure evidence is collected routinely. Exceptions must be formally managed with named owners and defined expiry dates.</t>
  </si>
  <si>
    <t xml:space="preserve">2|4</t>
  </si>
  <si>
    <t xml:space="preserve">Instrument Cybersecurity Strategy &amp; Programme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</si>
  <si>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2|5</t>
  </si>
  <si>
    <t xml:space="preserve">Automate and continuously assure Cybersecurity Strategy &amp; Programme: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</si>
  <si>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3|2</t>
  </si>
  <si>
    <t xml:space="preserve">Establish the foundation for Cyber Budget &amp; Investment Model: assign a named owner, document the process with clear scope and objectives, and implement basic controls covering the most critical gaps. Focus on achieving consistent, basic coverage before advancing.</t>
  </si>
  <si>
    <t xml:space="preserve">3|3</t>
  </si>
  <si>
    <t xml:space="preserve">Standardise Cyber Budget &amp; Investment Model: formalise all documentation, apply the control consistently across all in-scope assets, close remaining coverage gaps, and ensure evidence is collected routinely. Exceptions must be formally managed with named owners and defined expiry dates.</t>
  </si>
  <si>
    <t xml:space="preserve">3|4</t>
  </si>
  <si>
    <t xml:space="preserve">Instrument Cyber Budget &amp; Investment Model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</si>
  <si>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3|5</t>
  </si>
  <si>
    <t xml:space="preserve">Automate and continuously assure Cyber Budget &amp; Investment Model: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</si>
  <si>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4|2</t>
  </si>
  <si>
    <t xml:space="preserve">Establish the foundation for Security Organisational Structure: assign a named owner, document the process with clear scope and objectives, and implement basic controls covering the most critical gaps. Focus on achieving consistent, basic coverage before advancing.</t>
  </si>
  <si>
    <t xml:space="preserve">4|3</t>
  </si>
  <si>
    <t xml:space="preserve">Standardise Security Organisational Structure: formalise all documentation, apply the control consistently across all in-scope assets, close remaining coverage gaps, and ensure evidence is collected routinely. Exceptions must be formally managed with named owners and defined expiry dates.</t>
  </si>
  <si>
    <t xml:space="preserve">4|4</t>
  </si>
  <si>
    <t xml:space="preserve">Instrument Security Organisational Structure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</si>
  <si>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4|5</t>
  </si>
  <si>
    <t xml:space="preserve">Automate and continuously assure Security Organisational Structure: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</si>
  <si>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5|2</t>
  </si>
  <si>
    <t xml:space="preserve">Establish the foundation for Board-Level Cybersecurity Oversight: assign a named owner, document the process with clear scope and objectives, and implement basic controls covering the most critical gaps. Focus on achieving consistent, basic coverage before advancing.</t>
  </si>
  <si>
    <t xml:space="preserve">5|3</t>
  </si>
  <si>
    <t xml:space="preserve">Standardise Board-Level Cybersecurity Oversight: formalise all documentation, apply the control consistently across all in-scope assets, close remaining coverage gaps, and ensure evidence is collected routinely. Exceptions must be formally managed with named owners and defined expiry dates.</t>
  </si>
  <si>
    <t xml:space="preserve">5|4</t>
  </si>
  <si>
    <t xml:space="preserve">Instrument Board-Level Cybersecurity Oversight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</si>
  <si>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5|5</t>
  </si>
  <si>
    <t xml:space="preserve">Automate and continuously assure Board-Level Cybersecurity Oversight: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</si>
  <si>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6|2</t>
  </si>
  <si>
    <t xml:space="preserve">Establish the foundation for Security Policy Framework &amp; Hierarchy: assign a named owner, document the process with clear scope and objectives, and implement basic controls covering the most critical gaps. Focus on achieving consistent, basic coverage before advancing.</t>
  </si>
  <si>
    <t xml:space="preserve">6|3</t>
  </si>
  <si>
    <t xml:space="preserve">Standardise Security Policy Framework &amp; Hierarchy: formalise all documentation, apply the control consistently across all in-scope assets, close remaining coverage gaps, and ensure evidence is collected routinely. Exceptions must be formally managed with named owners and defined expiry dates.</t>
  </si>
  <si>
    <t xml:space="preserve">6|4</t>
  </si>
  <si>
    <t xml:space="preserve">Instrument Security Policy Framework &amp; Hierarchy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</si>
  <si>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6|5</t>
  </si>
  <si>
    <t xml:space="preserve">Automate and continuously assure Security Policy Framework &amp; Hierarchy: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</si>
  <si>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7|2</t>
  </si>
  <si>
    <t xml:space="preserve">Establish the foundation for Policy Attestation &amp; Enforcement: assign a named owner, document the process with clear scope and objectives, and implement basic controls covering the most critical gaps. Focus on achieving consistent, basic coverage before advancing.</t>
  </si>
  <si>
    <t xml:space="preserve">7|3</t>
  </si>
  <si>
    <t xml:space="preserve">Standardise Policy Attestation &amp; Enforcement: formalise all documentation, apply the control consistently across all in-scope assets, close remaining coverage gaps, and ensure evidence is collected routinely. Exceptions must be formally managed with named owners and defined expiry dates.</t>
  </si>
  <si>
    <t xml:space="preserve">7|4</t>
  </si>
  <si>
    <t xml:space="preserve">Instrument Policy Attestation &amp; Enforcement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</si>
  <si>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7|5</t>
  </si>
  <si>
    <t xml:space="preserve">Automate and continuously assure Policy Attestation &amp; Enforcement: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</si>
  <si>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8|2</t>
  </si>
  <si>
    <t xml:space="preserve">Establish the foundation for Policy Exception Governance: assign a named owner, document the process with clear scope and objectives, and implement basic controls covering the most critical gaps. Focus on achieving consistent, basic coverage before advancing.</t>
  </si>
  <si>
    <t xml:space="preserve">8|3</t>
  </si>
  <si>
    <t xml:space="preserve">Standardise Policy Exception Governance: formalise all documentation, apply the control consistently across all in-scope assets, close remaining coverage gaps, and ensure evidence is collected routinely. Exceptions must be formally managed with named owners and defined expiry dates.</t>
  </si>
  <si>
    <t xml:space="preserve">8|4</t>
  </si>
  <si>
    <t xml:space="preserve">Instrument Policy Exception Governance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</si>
  <si>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8|5</t>
  </si>
  <si>
    <t xml:space="preserve">Automate and continuously assure Policy Exception Governance: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</si>
  <si>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9|2</t>
  </si>
  <si>
    <t xml:space="preserve">Establish the foundation for Control Standards Management: assign a named owner, document the process with clear scope and objectives, and implement basic controls covering the most critical gaps. Focus on achieving consistent, basic coverage before advancing.</t>
  </si>
  <si>
    <t xml:space="preserve">9|3</t>
  </si>
  <si>
    <t xml:space="preserve">Standardise Control Standards Management: formalise all documentation, apply the control consistently across all in-scope assets, close remaining coverage gaps, and ensure evidence is collected routinely. Exceptions must be formally managed with named owners and defined expiry dates.</t>
  </si>
  <si>
    <t xml:space="preserve">9|4</t>
  </si>
  <si>
    <t xml:space="preserve">Instrument Control Standards Management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</si>
  <si>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9|5</t>
  </si>
  <si>
    <t xml:space="preserve">Automate and continuously assure Control Standards Management: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</si>
  <si>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10|2</t>
  </si>
  <si>
    <t xml:space="preserve">Establish the foundation for Regulatory Obligation Register &amp; Mapping: assign a named owner, document the process with clear scope and objectives, and implement basic controls covering the most critical gaps. Focus on achieving consistent, basic coverage before advancing.</t>
  </si>
  <si>
    <t xml:space="preserve">10|3</t>
  </si>
  <si>
    <t xml:space="preserve">Standardise Regulatory Obligation Register &amp; Mapping: formalise all documentation, apply the control consistently across all in-scope assets, close remaining coverage gaps, and ensure evidence is collected routinely. Exceptions must be formally managed with named owners and defined expiry dates.</t>
  </si>
  <si>
    <t xml:space="preserve">10|4</t>
  </si>
  <si>
    <t xml:space="preserve">Instrument Regulatory Obligation Register &amp; Mapping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</si>
  <si>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10|5</t>
  </si>
  <si>
    <t xml:space="preserve">Automate and continuously assure Regulatory Obligation Register &amp; Mapping: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</si>
  <si>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11|2</t>
  </si>
  <si>
    <t xml:space="preserve">Establish the foundation for Regulatory Change Management: assign a named owner, document the process with clear scope and objectives, and implement basic controls covering the most critical gaps. Focus on achieving consistent, basic coverage before advancing.</t>
  </si>
  <si>
    <t xml:space="preserve">11|3</t>
  </si>
  <si>
    <t xml:space="preserve">Standardise Regulatory Change Management: formalise all documentation, apply the control consistently across all in-scope assets, close remaining coverage gaps, and ensure evidence is collected routinely. Exceptions must be formally managed with named owners and defined expiry dates.</t>
  </si>
  <si>
    <t xml:space="preserve">11|4</t>
  </si>
  <si>
    <t xml:space="preserve">Instrument Regulatory Change Management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</si>
  <si>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11|5</t>
  </si>
  <si>
    <t xml:space="preserve">Automate and continuously assure Regulatory Change Management: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</si>
  <si>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12|2</t>
  </si>
  <si>
    <t xml:space="preserve">Establish the foundation for Security Standards for Third Parties: assign a named owner, document the process with clear scope and objectives, and implement basic controls covering the most critical gaps. Focus on achieving consistent, basic coverage before advancing.</t>
  </si>
  <si>
    <t xml:space="preserve">12|3</t>
  </si>
  <si>
    <t xml:space="preserve">Standardise Security Standards for Third Parties: formalise all documentation, apply the control consistently across all in-scope assets, close remaining coverage gaps, and ensure evidence is collected routinely. Exceptions must be formally managed with named owners and defined expiry dates.</t>
  </si>
  <si>
    <t xml:space="preserve">12|4</t>
  </si>
  <si>
    <t xml:space="preserve">Instrument Security Standards for Third Parties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</si>
  <si>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12|5</t>
  </si>
  <si>
    <t xml:space="preserve">Automate and continuously assure Security Standards for Third Parties: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</si>
  <si>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13|2</t>
  </si>
  <si>
    <t xml:space="preserve">Establish the foundation for Enterprise Risk Framework Integration: assign a named owner, document the process with clear scope and objectives, and implement basic controls covering the most critical gaps. Focus on achieving consistent, basic coverage before advancing.</t>
  </si>
  <si>
    <t xml:space="preserve">13|3</t>
  </si>
  <si>
    <t xml:space="preserve">Standardise Enterprise Risk Framework Integration: formalise all documentation, apply the control consistently across all in-scope assets, close remaining coverage gaps, and ensure evidence is collected routinely. Exceptions must be formally managed with named owners and defined expiry dates.</t>
  </si>
  <si>
    <t xml:space="preserve">13|4</t>
  </si>
  <si>
    <t xml:space="preserve">Instrument Enterprise Risk Framework Integration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</si>
  <si>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13|5</t>
  </si>
  <si>
    <t xml:space="preserve">Automate and continuously assure Enterprise Risk Framework Integration: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</si>
  <si>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14|2</t>
  </si>
  <si>
    <t xml:space="preserve">Establish the foundation for Risk Appetite &amp; Tolerance Thresholds: assign a named owner, document the process with clear scope and objectives, and implement basic controls covering the most critical gaps. Focus on achieving consistent, basic coverage before advancing.</t>
  </si>
  <si>
    <t xml:space="preserve">14|3</t>
  </si>
  <si>
    <t xml:space="preserve">Standardise Risk Appetite &amp; Tolerance Thresholds: formalise all documentation, apply the control consistently across all in-scope assets, close remaining coverage gaps, and ensure evidence is collected routinely. Exceptions must be formally managed with named owners and defined expiry dates.</t>
  </si>
  <si>
    <t xml:space="preserve">14|4</t>
  </si>
  <si>
    <t xml:space="preserve">Instrument Risk Appetite &amp; Tolerance Thresholds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</si>
  <si>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14|5</t>
  </si>
  <si>
    <t xml:space="preserve">Automate and continuously assure Risk Appetite &amp; Tolerance Thresholds: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</si>
  <si>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15|2</t>
  </si>
  <si>
    <t xml:space="preserve">Establish the foundation for Risk Register Management &amp; Reporting: assign a named owner, document the process with clear scope and objectives, and implement basic controls covering the most critical gaps. Focus on achieving consistent, basic coverage before advancing.</t>
  </si>
  <si>
    <t xml:space="preserve">15|3</t>
  </si>
  <si>
    <t xml:space="preserve">Standardise Risk Register Management &amp; Reporting: formalise all documentation, apply the control consistently across all in-scope assets, close remaining coverage gaps, and ensure evidence is collected routinely. Exceptions must be formally managed with named owners and defined expiry dates.</t>
  </si>
  <si>
    <t xml:space="preserve">15|4</t>
  </si>
  <si>
    <t xml:space="preserve">Instrument Risk Register Management &amp; Reporting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</si>
  <si>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15|5</t>
  </si>
  <si>
    <t xml:space="preserve">Automate and continuously assure Risk Register Management &amp; Reporting: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</si>
  <si>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16|2</t>
  </si>
  <si>
    <t xml:space="preserve">Establish the foundation for Cyber Risk Quantification: assign a named owner, document the process with clear scope and objectives, and implement basic controls covering the most critical gaps. Focus on achieving consistent, basic coverage before advancing.</t>
  </si>
  <si>
    <t xml:space="preserve">16|3</t>
  </si>
  <si>
    <t xml:space="preserve">Standardise Cyber Risk Quantification: formalise all documentation, apply the control consistently across all in-scope assets, close remaining coverage gaps, and ensure evidence is collected routinely. Exceptions must be formally managed with named owners and defined expiry dates.</t>
  </si>
  <si>
    <t xml:space="preserve">16|4</t>
  </si>
  <si>
    <t xml:space="preserve">Instrument Cyber Risk Quantification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</si>
  <si>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16|5</t>
  </si>
  <si>
    <t xml:space="preserve">Automate and continuously assure Cyber Risk Quantification: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</si>
  <si>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17|2</t>
  </si>
  <si>
    <t xml:space="preserve">Establish the foundation for Third-Party Risk Management (TPRM) Programme: assign a named owner, document the process with clear scope and objectives, and implement basic controls covering the most critical gaps. Focus on achieving consistent, basic coverage before advancing.</t>
  </si>
  <si>
    <t xml:space="preserve">17|3</t>
  </si>
  <si>
    <t xml:space="preserve">Standardise Third-Party Risk Management (TPRM) Programme: formalise all documentation, apply the control consistently across all in-scope assets, close remaining coverage gaps, and ensure evidence is collected routinely. Exceptions must be formally managed with named owners and defined expiry dates.</t>
  </si>
  <si>
    <t xml:space="preserve">17|4</t>
  </si>
  <si>
    <t xml:space="preserve">Instrument Third-Party Risk Management (TPRM) Programme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</si>
  <si>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17|5</t>
  </si>
  <si>
    <t xml:space="preserve">Automate and continuously assure Third-Party Risk Management (TPRM) Programme: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</si>
  <si>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18|2</t>
  </si>
  <si>
    <t xml:space="preserve">Establish the foundation for Vendor Security Assessment Process: assign a named owner, document the process with clear scope and objectives, and implement basic controls covering the most critical gaps. Focus on achieving consistent, basic coverage before advancing.</t>
  </si>
  <si>
    <t xml:space="preserve">18|3</t>
  </si>
  <si>
    <t xml:space="preserve">Standardise Vendor Security Assessment Process: formalise all documentation, apply the control consistently across all in-scope assets, close remaining coverage gaps, and ensure evidence is collected routinely. Exceptions must be formally managed with named owners and defined expiry dates.</t>
  </si>
  <si>
    <t xml:space="preserve">18|4</t>
  </si>
  <si>
    <t xml:space="preserve">Instrument Vendor Security Assessment Process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</si>
  <si>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18|5</t>
  </si>
  <si>
    <t xml:space="preserve">Automate and continuously assure Vendor Security Assessment Process: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</si>
  <si>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19|2</t>
  </si>
  <si>
    <t xml:space="preserve">Establish the foundation for Vendor Contractual Security Obligations: assign a named owner, document the process with clear scope and objectives, and implement basic controls covering the most critical gaps. Focus on achieving consistent, basic coverage before advancing.</t>
  </si>
  <si>
    <t xml:space="preserve">19|3</t>
  </si>
  <si>
    <t xml:space="preserve">Standardise Vendor Contractual Security Obligations: formalise all documentation, apply the control consistently across all in-scope assets, close remaining coverage gaps, and ensure evidence is collected routinely. Exceptions must be formally managed with named owners and defined expiry dates.</t>
  </si>
  <si>
    <t xml:space="preserve">19|4</t>
  </si>
  <si>
    <t xml:space="preserve">Instrument Vendor Contractual Security Obligations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</si>
  <si>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19|5</t>
  </si>
  <si>
    <t xml:space="preserve">Automate and continuously assure Vendor Contractual Security Obligations: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</si>
  <si>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20|2</t>
  </si>
  <si>
    <t xml:space="preserve">Establish the foundation for Fourth-Party &amp; Sub-Processor Mapping: assign a named owner, document the process with clear scope and objectives, and implement basic controls covering the most critical gaps. Focus on achieving consistent, basic coverage before advancing.</t>
  </si>
  <si>
    <t xml:space="preserve">20|3</t>
  </si>
  <si>
    <t xml:space="preserve">Standardise Fourth-Party &amp; Sub-Processor Mapping: formalise all documentation, apply the control consistently across all in-scope assets, close remaining coverage gaps, and ensure evidence is collected routinely. Exceptions must be formally managed with named owners and defined expiry dates.</t>
  </si>
  <si>
    <t xml:space="preserve">20|4</t>
  </si>
  <si>
    <t xml:space="preserve">Instrument Fourth-Party &amp; Sub-Processor Mapping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</si>
  <si>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20|5</t>
  </si>
  <si>
    <t xml:space="preserve">Automate and continuously assure Fourth-Party &amp; Sub-Processor Mapping: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</si>
  <si>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21|2</t>
  </si>
  <si>
    <t xml:space="preserve">Establish the foundation for DORA TPSP Critical Register: assign a named owner, document the process with clear scope and objectives, and implement basic controls covering the most critical gaps. Focus on achieving consistent, basic coverage before advancing.</t>
  </si>
  <si>
    <t xml:space="preserve">21|3</t>
  </si>
  <si>
    <t xml:space="preserve">Standardise DORA TPSP Critical Register: formalise all documentation, apply the control consistently across all in-scope assets, close remaining coverage gaps, and ensure evidence is collected routinely. Exceptions must be formally managed with named owners and defined expiry dates.</t>
  </si>
  <si>
    <t xml:space="preserve">21|4</t>
  </si>
  <si>
    <t xml:space="preserve">Instrument DORA TPSP Critical Register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</si>
  <si>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21|5</t>
  </si>
  <si>
    <t xml:space="preserve">Automate and continuously assure DORA TPSP Critical Register: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</si>
  <si>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22|2</t>
  </si>
  <si>
    <t xml:space="preserve">Establish the foundation for Software Supply Chain Security Governance: assign a named owner, document the process with clear scope and objectives, and implement basic controls covering the most critical gaps. Focus on achieving consistent, basic coverage before advancing.</t>
  </si>
  <si>
    <t xml:space="preserve">22|3</t>
  </si>
  <si>
    <t xml:space="preserve">Standardise Software Supply Chain Security Governance: formalise all documentation, apply the control consistently across all in-scope assets, close remaining coverage gaps, and ensure evidence is collected routinely. Exceptions must be formally managed with named owners and defined expiry dates.</t>
  </si>
  <si>
    <t xml:space="preserve">22|4</t>
  </si>
  <si>
    <t xml:space="preserve">Instrument Software Supply Chain Security Governance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</si>
  <si>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22|5</t>
  </si>
  <si>
    <t xml:space="preserve">Automate and continuously assure Software Supply Chain Security Governance: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</si>
  <si>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23|2</t>
  </si>
  <si>
    <t xml:space="preserve">Establish the foundation for Supplier Resilience Requirements: assign a named owner, document the process with clear scope and objectives, and implement basic controls covering the most critical gaps. Focus on achieving consistent, basic coverage before advancing.</t>
  </si>
  <si>
    <t xml:space="preserve">23|3</t>
  </si>
  <si>
    <t xml:space="preserve">Standardise Supplier Resilience Requirements: formalise all documentation, apply the control consistently across all in-scope assets, close remaining coverage gaps, and ensure evidence is collected routinely. Exceptions must be formally managed with named owners and defined expiry dates.</t>
  </si>
  <si>
    <t xml:space="preserve">23|4</t>
  </si>
  <si>
    <t xml:space="preserve">Instrument Supplier Resilience Requirements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</si>
  <si>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23|5</t>
  </si>
  <si>
    <t xml:space="preserve">Automate and continuously assure Supplier Resilience Requirements: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</si>
  <si>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24|2</t>
  </si>
  <si>
    <t xml:space="preserve">Establish the foundation for Privacy Governance &amp; DPO/Privacy Lead: assign a named owner, document the process with clear scope and objectives, and implement basic controls covering the most critical gaps. Focus on achieving consistent, basic coverage before advancing.</t>
  </si>
  <si>
    <t xml:space="preserve">24|3</t>
  </si>
  <si>
    <t xml:space="preserve">Standardise Privacy Governance &amp; DPO/Privacy Lead: formalise all documentation, apply the control consistently across all in-scope assets, close remaining coverage gaps, and ensure evidence is collected routinely. Exceptions must be formally managed with named owners and defined expiry dates.</t>
  </si>
  <si>
    <t xml:space="preserve">24|4</t>
  </si>
  <si>
    <t xml:space="preserve">Instrument Privacy Governance &amp; DPO/Privacy Lead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</si>
  <si>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24|5</t>
  </si>
  <si>
    <t xml:space="preserve">Automate and continuously assure Privacy Governance &amp; DPO/Privacy Lead: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</si>
  <si>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25|2</t>
  </si>
  <si>
    <t xml:space="preserve">Establish the foundation for Records of Processing Activities (ROPA): assign a named owner, document the process with clear scope and objectives, and implement basic controls covering the most critical gaps. Focus on achieving consistent, basic coverage before advancing.</t>
  </si>
  <si>
    <t xml:space="preserve">25|3</t>
  </si>
  <si>
    <t xml:space="preserve">Standardise Records of Processing Activities (ROPA): formalise all documentation, apply the control consistently across all in-scope assets, close remaining coverage gaps, and ensure evidence is collected routinely. Exceptions must be formally managed with named owners and defined expiry dates.</t>
  </si>
  <si>
    <t xml:space="preserve">25|4</t>
  </si>
  <si>
    <t xml:space="preserve">Instrument Records of Processing Activities (ROPA)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</si>
  <si>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25|5</t>
  </si>
  <si>
    <t xml:space="preserve">Automate and continuously assure Records of Processing Activities (ROPA):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</si>
  <si>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26|2</t>
  </si>
  <si>
    <t xml:space="preserve">Establish the foundation for Data Protection Impact Assessments (DPIAs): assign a named owner, document the process with clear scope and objectives, and implement basic controls covering the most critical gaps. Focus on achieving consistent, basic coverage before advancing.</t>
  </si>
  <si>
    <t xml:space="preserve">26|3</t>
  </si>
  <si>
    <t xml:space="preserve">Standardise Data Protection Impact Assessments (DPIAs): formalise all documentation, apply the control consistently across all in-scope assets, close remaining coverage gaps, and ensure evidence is collected routinely. Exceptions must be formally managed with named owners and defined expiry dates.</t>
  </si>
  <si>
    <t xml:space="preserve">26|4</t>
  </si>
  <si>
    <t xml:space="preserve">Instrument Data Protection Impact Assessments (DPIAs)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</si>
  <si>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26|5</t>
  </si>
  <si>
    <t xml:space="preserve">Automate and continuously assure Data Protection Impact Assessments (DPIAs):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</si>
  <si>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27|2</t>
  </si>
  <si>
    <t xml:space="preserve">Establish the foundation for Cross-Border Data Transfer Controls: assign a named owner, document the process with clear scope and objectives, and implement basic controls covering the most critical gaps. Focus on achieving consistent, basic coverage before advancing.</t>
  </si>
  <si>
    <t xml:space="preserve">27|3</t>
  </si>
  <si>
    <t xml:space="preserve">Standardise Cross-Border Data Transfer Controls: formalise all documentation, apply the control consistently across all in-scope assets, close remaining coverage gaps, and ensure evidence is collected routinely. Exceptions must be formally managed with named owners and defined expiry dates.</t>
  </si>
  <si>
    <t xml:space="preserve">27|4</t>
  </si>
  <si>
    <t xml:space="preserve">Instrument Cross-Border Data Transfer Controls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</si>
  <si>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27|5</t>
  </si>
  <si>
    <t xml:space="preserve">Automate and continuously assure Cross-Border Data Transfer Controls: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</si>
  <si>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28|2</t>
  </si>
  <si>
    <t xml:space="preserve">Establish the foundation for Internal &amp; External Audit Programme: assign a named owner, document the process with clear scope and objectives, and implement basic controls covering the most critical gaps. Focus on achieving consistent, basic coverage before advancing.</t>
  </si>
  <si>
    <t xml:space="preserve">28|3</t>
  </si>
  <si>
    <t xml:space="preserve">Standardise Internal &amp; External Audit Programme: formalise all documentation, apply the control consistently across all in-scope assets, close remaining coverage gaps, and ensure evidence is collected routinely. Exceptions must be formally managed with named owners and defined expiry dates.</t>
  </si>
  <si>
    <t xml:space="preserve">28|4</t>
  </si>
  <si>
    <t xml:space="preserve">Instrument Internal &amp; External Audit Programme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</si>
  <si>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28|5</t>
  </si>
  <si>
    <t xml:space="preserve">Automate and continuously assure Internal &amp; External Audit Programme: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</si>
  <si>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29|2</t>
  </si>
  <si>
    <t xml:space="preserve">Establish the foundation for IT Hardware Asset Inventory (CMDB): assign a named owner, document the process with clear scope and objectives, and implement basic controls covering the most critical gaps. Focus on achieving consistent, basic coverage before advancing.</t>
  </si>
  <si>
    <t xml:space="preserve">29|3</t>
  </si>
  <si>
    <t xml:space="preserve">Standardise IT Hardware Asset Inventory (CMDB): formalise all documentation, apply the control consistently across all in-scope assets, close remaining coverage gaps, and ensure evidence is collected routinely. Exceptions must be formally managed with named owners and defined expiry dates.</t>
  </si>
  <si>
    <t xml:space="preserve">29|4</t>
  </si>
  <si>
    <t xml:space="preserve">Instrument IT Hardware Asset Inventory (CMDB)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</si>
  <si>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29|5</t>
  </si>
  <si>
    <t xml:space="preserve">Automate and continuously assure IT Hardware Asset Inventory (CMDB):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</si>
  <si>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30|2</t>
  </si>
  <si>
    <t xml:space="preserve">Establish the foundation for Software Asset Inventory: assign a named owner, document the process with clear scope and objectives, and implement basic controls covering the most critical gaps. Focus on achieving consistent, basic coverage before advancing.</t>
  </si>
  <si>
    <t xml:space="preserve">30|3</t>
  </si>
  <si>
    <t xml:space="preserve">Standardise Software Asset Inventory: formalise all documentation, apply the control consistently across all in-scope assets, close remaining coverage gaps, and ensure evidence is collected routinely. Exceptions must be formally managed with named owners and defined expiry dates.</t>
  </si>
  <si>
    <t xml:space="preserve">30|4</t>
  </si>
  <si>
    <t xml:space="preserve">Instrument Software Asset Inventory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</si>
  <si>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30|5</t>
  </si>
  <si>
    <t xml:space="preserve">Automate and continuously assure Software Asset Inventory: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</si>
  <si>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31|2</t>
  </si>
  <si>
    <t xml:space="preserve">Establish the foundation for Cloud Infrastructure Asset Inventory: assign a named owner, document the process with clear scope and objectives, and implement basic controls covering the most critical gaps. Focus on achieving consistent, basic coverage before advancing.</t>
  </si>
  <si>
    <t xml:space="preserve">31|3</t>
  </si>
  <si>
    <t xml:space="preserve">Standardise Cloud Infrastructure Asset Inventory: formalise all documentation, apply the control consistently across all in-scope assets, close remaining coverage gaps, and ensure evidence is collected routinely. Exceptions must be formally managed with named owners and defined expiry dates.</t>
  </si>
  <si>
    <t xml:space="preserve">31|4</t>
  </si>
  <si>
    <t xml:space="preserve">Instrument Cloud Infrastructure Asset Inventory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</si>
  <si>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31|5</t>
  </si>
  <si>
    <t xml:space="preserve">Automate and continuously assure Cloud Infrastructure Asset Inventory: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</si>
  <si>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32|2</t>
  </si>
  <si>
    <t xml:space="preserve">Establish the foundation for SaaS &amp; Shadow IT Discovery: assign a named owner, document the process with clear scope and objectives, and implement basic controls covering the most critical gaps. Focus on achieving consistent, basic coverage before advancing.</t>
  </si>
  <si>
    <t xml:space="preserve">32|3</t>
  </si>
  <si>
    <t xml:space="preserve">Standardise SaaS &amp; Shadow IT Discovery: formalise all documentation, apply the control consistently across all in-scope assets, close remaining coverage gaps, and ensure evidence is collected routinely. Exceptions must be formally managed with named owners and defined expiry dates.</t>
  </si>
  <si>
    <t xml:space="preserve">32|4</t>
  </si>
  <si>
    <t xml:space="preserve">Instrument SaaS &amp; Shadow IT Discovery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</si>
  <si>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32|5</t>
  </si>
  <si>
    <t xml:space="preserve">Automate and continuously assure SaaS &amp; Shadow IT Discovery: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</si>
  <si>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33|2</t>
  </si>
  <si>
    <t xml:space="preserve">Establish the foundation for Software Bill of Materials (SBOM): assign a named owner, document the process with clear scope and objectives, and implement basic controls covering the most critical gaps. Focus on achieving consistent, basic coverage before advancing.</t>
  </si>
  <si>
    <t xml:space="preserve">33|3</t>
  </si>
  <si>
    <t xml:space="preserve">Standardise Software Bill of Materials (SBOM): formalise all documentation, apply the control consistently across all in-scope assets, close remaining coverage gaps, and ensure evidence is collected routinely. Exceptions must be formally managed with named owners and defined expiry dates.</t>
  </si>
  <si>
    <t xml:space="preserve">33|4</t>
  </si>
  <si>
    <t xml:space="preserve">Instrument Software Bill of Materials (SBOM)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</si>
  <si>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33|5</t>
  </si>
  <si>
    <t xml:space="preserve">Automate and continuously assure Software Bill of Materials (SBOM):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</si>
  <si>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34|2</t>
  </si>
  <si>
    <t xml:space="preserve">Establish the foundation for Network Topology &amp; Architecture Documentation: assign a named owner, document the process with clear scope and objectives, and implement basic controls covering the most critical gaps. Focus on achieving consistent, basic coverage before advancing.</t>
  </si>
  <si>
    <t xml:space="preserve">34|3</t>
  </si>
  <si>
    <t xml:space="preserve">Standardise Network Topology &amp; Architecture Documentation: formalise all documentation, apply the control consistently across all in-scope assets, close remaining coverage gaps, and ensure evidence is collected routinely. Exceptions must be formally managed with named owners and defined expiry dates.</t>
  </si>
  <si>
    <t xml:space="preserve">34|4</t>
  </si>
  <si>
    <t xml:space="preserve">Instrument Network Topology &amp; Architecture Documentation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</si>
  <si>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34|5</t>
  </si>
  <si>
    <t xml:space="preserve">Automate and continuously assure Network Topology &amp; Architecture Documentation: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</si>
  <si>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35|2</t>
  </si>
  <si>
    <t xml:space="preserve">Establish the foundation for Technology Lifecycle Management: assign a named owner, document the process with clear scope and objectives, and implement basic controls covering the most critical gaps. Focus on achieving consistent, basic coverage before advancing.</t>
  </si>
  <si>
    <t xml:space="preserve">35|3</t>
  </si>
  <si>
    <t xml:space="preserve">Standardise Technology Lifecycle Management: formalise all documentation, apply the control consistently across all in-scope assets, close remaining coverage gaps, and ensure evidence is collected routinely. Exceptions must be formally managed with named owners and defined expiry dates.</t>
  </si>
  <si>
    <t xml:space="preserve">35|4</t>
  </si>
  <si>
    <t xml:space="preserve">Instrument Technology Lifecycle Management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</si>
  <si>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35|5</t>
  </si>
  <si>
    <t xml:space="preserve">Automate and continuously assure Technology Lifecycle Management: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</si>
  <si>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36|2</t>
  </si>
  <si>
    <t xml:space="preserve">Establish the foundation for Data Classification Framework &amp; Implementation: assign a named owner, document the process with clear scope and objectives, and implement basic controls covering the most critical gaps. Focus on achieving consistent, basic coverage before advancing.</t>
  </si>
  <si>
    <t xml:space="preserve">36|3</t>
  </si>
  <si>
    <t xml:space="preserve">Standardise Data Classification Framework &amp; Implementation: formalise all documentation, apply the control consistently across all in-scope assets, close remaining coverage gaps, and ensure evidence is collected routinely. Exceptions must be formally managed with named owners and defined expiry dates.</t>
  </si>
  <si>
    <t xml:space="preserve">36|4</t>
  </si>
  <si>
    <t xml:space="preserve">Instrument Data Classification Framework &amp; Implementation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</si>
  <si>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36|5</t>
  </si>
  <si>
    <t xml:space="preserve">Automate and continuously assure Data Classification Framework &amp; Implementation: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</si>
  <si>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37|2</t>
  </si>
  <si>
    <t xml:space="preserve">Establish the foundation for Sensitive Data Discovery &amp; Mapping: assign a named owner, document the process with clear scope and objectives, and implement basic controls covering the most critical gaps. Focus on achieving consistent, basic coverage before advancing.</t>
  </si>
  <si>
    <t xml:space="preserve">37|3</t>
  </si>
  <si>
    <t xml:space="preserve">Standardise Sensitive Data Discovery &amp; Mapping: formalise all documentation, apply the control consistently across all in-scope assets, close remaining coverage gaps, and ensure evidence is collected routinely. Exceptions must be formally managed with named owners and defined expiry dates.</t>
  </si>
  <si>
    <t xml:space="preserve">37|4</t>
  </si>
  <si>
    <t xml:space="preserve">Instrument Sensitive Data Discovery &amp; Mapping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</si>
  <si>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37|5</t>
  </si>
  <si>
    <t xml:space="preserve">Automate and continuously assure Sensitive Data Discovery &amp; Mapping: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</si>
  <si>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38|2</t>
  </si>
  <si>
    <t xml:space="preserve">Establish the foundation for Data Flow &amp; Transfer Mapping: assign a named owner, document the process with clear scope and objectives, and implement basic controls covering the most critical gaps. Focus on achieving consistent, basic coverage before advancing.</t>
  </si>
  <si>
    <t xml:space="preserve">38|3</t>
  </si>
  <si>
    <t xml:space="preserve">Standardise Data Flow &amp; Transfer Mapping: formalise all documentation, apply the control consistently across all in-scope assets, close remaining coverage gaps, and ensure evidence is collected routinely. Exceptions must be formally managed with named owners and defined expiry dates.</t>
  </si>
  <si>
    <t xml:space="preserve">38|4</t>
  </si>
  <si>
    <t xml:space="preserve">Instrument Data Flow &amp; Transfer Mapping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</si>
  <si>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38|5</t>
  </si>
  <si>
    <t xml:space="preserve">Automate and continuously assure Data Flow &amp; Transfer Mapping: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</si>
  <si>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39|2</t>
  </si>
  <si>
    <t xml:space="preserve">Establish the foundation for Retention Schedule &amp; Disposal Management: assign a named owner, document the process with clear scope and objectives, and implement basic controls covering the most critical gaps. Focus on achieving consistent, basic coverage before advancing.</t>
  </si>
  <si>
    <t xml:space="preserve">39|3</t>
  </si>
  <si>
    <t xml:space="preserve">Standardise Retention Schedule &amp; Disposal Management: formalise all documentation, apply the control consistently across all in-scope assets, close remaining coverage gaps, and ensure evidence is collected routinely. Exceptions must be formally managed with named owners and defined expiry dates.</t>
  </si>
  <si>
    <t xml:space="preserve">39|4</t>
  </si>
  <si>
    <t xml:space="preserve">Instrument Retention Schedule &amp; Disposal Management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</si>
  <si>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39|5</t>
  </si>
  <si>
    <t xml:space="preserve">Automate and continuously assure Retention Schedule &amp; Disposal Management: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</si>
  <si>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40|2</t>
  </si>
  <si>
    <t xml:space="preserve">Establish the foundation for Payment Data Scoping &amp; CDE Mapping: assign a named owner, document the process with clear scope and objectives, and implement basic controls covering the most critical gaps. Focus on achieving consistent, basic coverage before advancing.</t>
  </si>
  <si>
    <t xml:space="preserve">40|3</t>
  </si>
  <si>
    <t xml:space="preserve">Standardise Payment Data Scoping &amp; CDE Mapping: formalise all documentation, apply the control consistently across all in-scope assets, close remaining coverage gaps, and ensure evidence is collected routinely. Exceptions must be formally managed with named owners and defined expiry dates.</t>
  </si>
  <si>
    <t xml:space="preserve">40|4</t>
  </si>
  <si>
    <t xml:space="preserve">Instrument Payment Data Scoping &amp; CDE Mapping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</si>
  <si>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40|5</t>
  </si>
  <si>
    <t xml:space="preserve">Automate and continuously assure Payment Data Scoping &amp; CDE Mapping: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</si>
  <si>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41|2</t>
  </si>
  <si>
    <t xml:space="preserve">Establish the foundation for Business Impact Analysis (BIA): assign a named owner, document the process with clear scope and objectives, and implement basic controls covering the most critical gaps. Focus on achieving consistent, basic coverage before advancing.</t>
  </si>
  <si>
    <t xml:space="preserve">41|3</t>
  </si>
  <si>
    <t xml:space="preserve">Standardise Business Impact Analysis (BIA): formalise all documentation, apply the control consistently across all in-scope assets, close remaining coverage gaps, and ensure evidence is collected routinely. Exceptions must be formally managed with named owners and defined expiry dates.</t>
  </si>
  <si>
    <t xml:space="preserve">41|4</t>
  </si>
  <si>
    <t xml:space="preserve">Instrument Business Impact Analysis (BIA)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</si>
  <si>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41|5</t>
  </si>
  <si>
    <t xml:space="preserve">Automate and continuously assure Business Impact Analysis (BIA):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</si>
  <si>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42|2</t>
  </si>
  <si>
    <t xml:space="preserve">Establish the foundation for Threat Landscape Assessment: assign a named owner, document the process with clear scope and objectives, and implement basic controls covering the most critical gaps. Focus on achieving consistent, basic coverage before advancing.</t>
  </si>
  <si>
    <t xml:space="preserve">42|3</t>
  </si>
  <si>
    <t xml:space="preserve">Standardise Threat Landscape Assessment: formalise all documentation, apply the control consistently across all in-scope assets, close remaining coverage gaps, and ensure evidence is collected routinely. Exceptions must be formally managed with named owners and defined expiry dates.</t>
  </si>
  <si>
    <t xml:space="preserve">42|4</t>
  </si>
  <si>
    <t xml:space="preserve">Instrument Threat Landscape Assessment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</si>
  <si>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42|5</t>
  </si>
  <si>
    <t xml:space="preserve">Automate and continuously assure Threat Landscape Assessment: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</si>
  <si>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43|2</t>
  </si>
  <si>
    <t xml:space="preserve">Establish the foundation for Vulnerability Management Programme: assign a named owner, document the process with clear scope and objectives, and implement basic controls covering the most critical gaps. Focus on achieving consistent, basic coverage before advancing.</t>
  </si>
  <si>
    <t xml:space="preserve">43|3</t>
  </si>
  <si>
    <t xml:space="preserve">Standardise Vulnerability Management Programme: formalise all documentation, apply the control consistently across all in-scope assets, close remaining coverage gaps, and ensure evidence is collected routinely. Exceptions must be formally managed with named owners and defined expiry dates.</t>
  </si>
  <si>
    <t xml:space="preserve">43|4</t>
  </si>
  <si>
    <t xml:space="preserve">Instrument Vulnerability Management Programme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</si>
  <si>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43|5</t>
  </si>
  <si>
    <t xml:space="preserve">Automate and continuously assure Vulnerability Management Programme: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</si>
  <si>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44|2</t>
  </si>
  <si>
    <t xml:space="preserve">Establish the foundation for Penetration Testing Programme: assign a named owner, document the process with clear scope and objectives, and implement basic controls covering the most critical gaps. Focus on achieving consistent, basic coverage before advancing.</t>
  </si>
  <si>
    <t xml:space="preserve">44|3</t>
  </si>
  <si>
    <t xml:space="preserve">Standardise Penetration Testing Programme: formalise all documentation, apply the control consistently across all in-scope assets, close remaining coverage gaps, and ensure evidence is collected routinely. Exceptions must be formally managed with named owners and defined expiry dates.</t>
  </si>
  <si>
    <t xml:space="preserve">44|4</t>
  </si>
  <si>
    <t xml:space="preserve">Instrument Penetration Testing Programme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</si>
  <si>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44|5</t>
  </si>
  <si>
    <t xml:space="preserve">Automate and continuously assure Penetration Testing Programme: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</si>
  <si>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45|2</t>
  </si>
  <si>
    <t xml:space="preserve">Establish the foundation for Third-Party Security Rating Monitoring: assign a named owner, document the process with clear scope and objectives, and implement basic controls covering the most critical gaps. Focus on achieving consistent, basic coverage before advancing.</t>
  </si>
  <si>
    <t xml:space="preserve">45|3</t>
  </si>
  <si>
    <t xml:space="preserve">Standardise Third-Party Security Rating Monitoring: formalise all documentation, apply the control consistently across all in-scope assets, close remaining coverage gaps, and ensure evidence is collected routinely. Exceptions must be formally managed with named owners and defined expiry dates.</t>
  </si>
  <si>
    <t xml:space="preserve">45|4</t>
  </si>
  <si>
    <t xml:space="preserve">Instrument Third-Party Security Rating Monitoring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</si>
  <si>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45|5</t>
  </si>
  <si>
    <t xml:space="preserve">Automate and continuously assure Third-Party Security Rating Monitoring: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</si>
  <si>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46|2</t>
  </si>
  <si>
    <t xml:space="preserve">Establish the foundation for Critical Asset Identification &amp; Prioritisation: assign a named owner, document the process with clear scope and objectives, and implement basic controls covering the most critical gaps. Focus on achieving consistent, basic coverage before advancing.</t>
  </si>
  <si>
    <t xml:space="preserve">46|3</t>
  </si>
  <si>
    <t xml:space="preserve">Standardise Critical Asset Identification &amp; Prioritisation: formalise all documentation, apply the control consistently across all in-scope assets, close remaining coverage gaps, and ensure evidence is collected routinely. Exceptions must be formally managed with named owners and defined expiry dates.</t>
  </si>
  <si>
    <t xml:space="preserve">46|4</t>
  </si>
  <si>
    <t xml:space="preserve">Instrument Critical Asset Identification &amp; Prioritisation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</si>
  <si>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46|5</t>
  </si>
  <si>
    <t xml:space="preserve">Automate and continuously assure Critical Asset Identification &amp; Prioritisation: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</si>
  <si>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47|2</t>
  </si>
  <si>
    <t xml:space="preserve">Establish the foundation for SOX IT General Controls Assessment: assign a named owner, document the process with clear scope and objectives, and implement basic controls covering the most critical gaps. Focus on achieving consistent, basic coverage before advancing.</t>
  </si>
  <si>
    <t xml:space="preserve">47|3</t>
  </si>
  <si>
    <t xml:space="preserve">Standardise SOX IT General Controls Assessment: formalise all documentation, apply the control consistently across all in-scope assets, close remaining coverage gaps, and ensure evidence is collected routinely. Exceptions must be formally managed with named owners and defined expiry dates.</t>
  </si>
  <si>
    <t xml:space="preserve">47|4</t>
  </si>
  <si>
    <t xml:space="preserve">Instrument SOX IT General Controls Assessment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</si>
  <si>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47|5</t>
  </si>
  <si>
    <t xml:space="preserve">Automate and continuously assure SOX IT General Controls Assessment: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</si>
  <si>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48|2</t>
  </si>
  <si>
    <t xml:space="preserve">Establish the foundation for HIPAA Risk Analysis: assign a named owner, document the process with clear scope and objectives, and implement basic controls covering the most critical gaps. Focus on achieving consistent, basic coverage before advancing.</t>
  </si>
  <si>
    <t xml:space="preserve">48|3</t>
  </si>
  <si>
    <t xml:space="preserve">Standardise HIPAA Risk Analysis: formalise all documentation, apply the control consistently across all in-scope assets, close remaining coverage gaps, and ensure evidence is collected routinely. Exceptions must be formally managed with named owners and defined expiry dates.</t>
  </si>
  <si>
    <t xml:space="preserve">48|4</t>
  </si>
  <si>
    <t xml:space="preserve">Instrument HIPAA Risk Analysis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</si>
  <si>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48|5</t>
  </si>
  <si>
    <t xml:space="preserve">Automate and continuously assure HIPAA Risk Analysis: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</si>
  <si>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49|2</t>
  </si>
  <si>
    <t xml:space="preserve">Establish the foundation for Security Metrics &amp; Measurement Framework: assign a named owner, document the process with clear scope and objectives, and implement basic controls covering the most critical gaps. Focus on achieving consistent, basic coverage before advancing.</t>
  </si>
  <si>
    <t xml:space="preserve">49|3</t>
  </si>
  <si>
    <t xml:space="preserve">Standardise Security Metrics &amp; Measurement Framework: formalise all documentation, apply the control consistently across all in-scope assets, close remaining coverage gaps, and ensure evidence is collected routinely. Exceptions must be formally managed with named owners and defined expiry dates.</t>
  </si>
  <si>
    <t xml:space="preserve">49|4</t>
  </si>
  <si>
    <t xml:space="preserve">Instrument Security Metrics &amp; Measurement Framework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</si>
  <si>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49|5</t>
  </si>
  <si>
    <t xml:space="preserve">Automate and continuously assure Security Metrics &amp; Measurement Framework: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</si>
  <si>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50|2</t>
  </si>
  <si>
    <t xml:space="preserve">Establish the foundation for Red Team Programme: assign a named owner, document the process with clear scope and objectives, and implement basic controls covering the most critical gaps. Focus on achieving consistent, basic coverage before advancing.</t>
  </si>
  <si>
    <t xml:space="preserve">50|3</t>
  </si>
  <si>
    <t xml:space="preserve">Standardise Red Team Programme: formalise all documentation, apply the control consistently across all in-scope assets, close remaining coverage gaps, and ensure evidence is collected routinely. Exceptions must be formally managed with named owners and defined expiry dates.</t>
  </si>
  <si>
    <t xml:space="preserve">50|4</t>
  </si>
  <si>
    <t xml:space="preserve">Instrument Red Team Programme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</si>
  <si>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50|5</t>
  </si>
  <si>
    <t xml:space="preserve">Automate and continuously assure Red Team Programme: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</si>
  <si>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51|2</t>
  </si>
  <si>
    <t xml:space="preserve">Establish the foundation for Multi-Factor Authentication — All Users: assign a named owner, document the process with clear scope and objectives, and implement basic controls covering the most critical gaps. Focus on achieving consistent, basic coverage before advancing.</t>
  </si>
  <si>
    <t xml:space="preserve">51|3</t>
  </si>
  <si>
    <t xml:space="preserve">Standardise Multi-Factor Authentication — All Users: formalise all documentation, apply the control consistently across all in-scope assets, close remaining coverage gaps, and ensure evidence is collected routinely. Exceptions must be formally managed with named owners and defined expiry dates.</t>
  </si>
  <si>
    <t xml:space="preserve">51|4</t>
  </si>
  <si>
    <t xml:space="preserve">Instrument Multi-Factor Authentication — All Users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</si>
  <si>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51|5</t>
  </si>
  <si>
    <t xml:space="preserve">Automate and continuously assure Multi-Factor Authentication — All Users: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</si>
  <si>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52|2</t>
  </si>
  <si>
    <t xml:space="preserve">Establish the foundation for Phishing-Resistant MFA for Privileged Accounts: assign a named owner, document the process with clear scope and objectives, and implement basic controls covering the most critical gaps. Focus on achieving consistent, basic coverage before advancing.</t>
  </si>
  <si>
    <t xml:space="preserve">52|3</t>
  </si>
  <si>
    <t xml:space="preserve">Standardise Phishing-Resistant MFA for Privileged Accounts: formalise all documentation, apply the control consistently across all in-scope assets, close remaining coverage gaps, and ensure evidence is collected routinely. Exceptions must be formally managed with named owners and defined expiry dates.</t>
  </si>
  <si>
    <t xml:space="preserve">52|4</t>
  </si>
  <si>
    <t xml:space="preserve">Instrument Phishing-Resistant MFA for Privileged Accounts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</si>
  <si>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52|5</t>
  </si>
  <si>
    <t xml:space="preserve">Automate and continuously assure Phishing-Resistant MFA for Privileged Accounts: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</si>
  <si>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53|2</t>
  </si>
  <si>
    <t xml:space="preserve">Establish the foundation for Privileged Access Management (PAM): assign a named owner, document the process with clear scope and objectives, and implement basic controls covering the most critical gaps. Focus on achieving consistent, basic coverage before advancing.</t>
  </si>
  <si>
    <t xml:space="preserve">53|3</t>
  </si>
  <si>
    <t xml:space="preserve">Standardise Privileged Access Management (PAM): formalise all documentation, apply the control consistently across all in-scope assets, close remaining coverage gaps, and ensure evidence is collected routinely. Exceptions must be formally managed with named owners and defined expiry dates.</t>
  </si>
  <si>
    <t xml:space="preserve">53|4</t>
  </si>
  <si>
    <t xml:space="preserve">Instrument Privileged Access Management (PAM)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</si>
  <si>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53|5</t>
  </si>
  <si>
    <t xml:space="preserve">Automate and continuously assure Privileged Access Management (PAM):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</si>
  <si>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54|2</t>
  </si>
  <si>
    <t xml:space="preserve">Establish the foundation for Identity Lifecycle — Joiners Process: assign a named owner, document the process with clear scope and objectives, and implement basic controls covering the most critical gaps. Focus on achieving consistent, basic coverage before advancing.</t>
  </si>
  <si>
    <t xml:space="preserve">54|3</t>
  </si>
  <si>
    <t xml:space="preserve">Standardise Identity Lifecycle — Joiners Process: formalise all documentation, apply the control consistently across all in-scope assets, close remaining coverage gaps, and ensure evidence is collected routinely. Exceptions must be formally managed with named owners and defined expiry dates.</t>
  </si>
  <si>
    <t xml:space="preserve">54|4</t>
  </si>
  <si>
    <t xml:space="preserve">Instrument Identity Lifecycle — Joiners Process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</si>
  <si>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54|5</t>
  </si>
  <si>
    <t xml:space="preserve">Automate and continuously assure Identity Lifecycle — Joiners Process: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</si>
  <si>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55|2</t>
  </si>
  <si>
    <t xml:space="preserve">Establish the foundation for Identity Lifecycle — Movers Process: assign a named owner, document the process with clear scope and objectives, and implement basic controls covering the most critical gaps. Focus on achieving consistent, basic coverage before advancing.</t>
  </si>
  <si>
    <t xml:space="preserve">55|3</t>
  </si>
  <si>
    <t xml:space="preserve">Standardise Identity Lifecycle — Movers Process: formalise all documentation, apply the control consistently across all in-scope assets, close remaining coverage gaps, and ensure evidence is collected routinely. Exceptions must be formally managed with named owners and defined expiry dates.</t>
  </si>
  <si>
    <t xml:space="preserve">55|4</t>
  </si>
  <si>
    <t xml:space="preserve">Instrument Identity Lifecycle — Movers Process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</si>
  <si>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55|5</t>
  </si>
  <si>
    <t xml:space="preserve">Automate and continuously assure Identity Lifecycle — Movers Process: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</si>
  <si>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56|2</t>
  </si>
  <si>
    <t xml:space="preserve">Establish the foundation for Identity Lifecycle — Leavers Process: assign a named owner, document the process with clear scope and objectives, and implement basic controls covering the most critical gaps. Focus on achieving consistent, basic coverage before advancing.</t>
  </si>
  <si>
    <t xml:space="preserve">56|3</t>
  </si>
  <si>
    <t xml:space="preserve">Standardise Identity Lifecycle — Leavers Process: formalise all documentation, apply the control consistently across all in-scope assets, close remaining coverage gaps, and ensure evidence is collected routinely. Exceptions must be formally managed with named owners and defined expiry dates.</t>
  </si>
  <si>
    <t xml:space="preserve">56|4</t>
  </si>
  <si>
    <t xml:space="preserve">Instrument Identity Lifecycle — Leavers Process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</si>
  <si>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56|5</t>
  </si>
  <si>
    <t xml:space="preserve">Automate and continuously assure Identity Lifecycle — Leavers Process: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</si>
  <si>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57|2</t>
  </si>
  <si>
    <t xml:space="preserve">Establish the foundation for Quarterly Access Reviews (Access Certification): assign a named owner, document the process with clear scope and objectives, and implement basic controls covering the most critical gaps. Focus on achieving consistent, basic coverage before advancing.</t>
  </si>
  <si>
    <t xml:space="preserve">57|3</t>
  </si>
  <si>
    <t xml:space="preserve">Standardise Quarterly Access Reviews (Access Certification): formalise all documentation, apply the control consistently across all in-scope assets, close remaining coverage gaps, and ensure evidence is collected routinely. Exceptions must be formally managed with named owners and defined expiry dates.</t>
  </si>
  <si>
    <t xml:space="preserve">57|4</t>
  </si>
  <si>
    <t xml:space="preserve">Instrument Quarterly Access Reviews (Access Certification)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</si>
  <si>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57|5</t>
  </si>
  <si>
    <t xml:space="preserve">Automate and continuously assure Quarterly Access Reviews (Access Certification):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</si>
  <si>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58|2</t>
  </si>
  <si>
    <t xml:space="preserve">Establish the foundation for Single Sign-On (SSO) &amp; Federation: assign a named owner, document the process with clear scope and objectives, and implement basic controls covering the most critical gaps. Focus on achieving consistent, basic coverage before advancing.</t>
  </si>
  <si>
    <t xml:space="preserve">58|3</t>
  </si>
  <si>
    <t xml:space="preserve">Standardise Single Sign-On (SSO) &amp; Federation: formalise all documentation, apply the control consistently across all in-scope assets, close remaining coverage gaps, and ensure evidence is collected routinely. Exceptions must be formally managed with named owners and defined expiry dates.</t>
  </si>
  <si>
    <t xml:space="preserve">58|4</t>
  </si>
  <si>
    <t xml:space="preserve">Instrument Single Sign-On (SSO) &amp; Federation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</si>
  <si>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58|5</t>
  </si>
  <si>
    <t xml:space="preserve">Automate and continuously assure Single Sign-On (SSO) &amp; Federation: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</si>
  <si>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59|2</t>
  </si>
  <si>
    <t xml:space="preserve">Establish the foundation for Separation of Duties (SoD) Controls: assign a named owner, document the process with clear scope and objectives, and implement basic controls covering the most critical gaps. Focus on achieving consistent, basic coverage before advancing.</t>
  </si>
  <si>
    <t xml:space="preserve">59|3</t>
  </si>
  <si>
    <t xml:space="preserve">Standardise Separation of Duties (SoD) Controls: formalise all documentation, apply the control consistently across all in-scope assets, close remaining coverage gaps, and ensure evidence is collected routinely. Exceptions must be formally managed with named owners and defined expiry dates.</t>
  </si>
  <si>
    <t xml:space="preserve">59|4</t>
  </si>
  <si>
    <t xml:space="preserve">Instrument Separation of Duties (SoD) Controls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</si>
  <si>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59|5</t>
  </si>
  <si>
    <t xml:space="preserve">Automate and continuously assure Separation of Duties (SoD) Controls: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</si>
  <si>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60|2</t>
  </si>
  <si>
    <t xml:space="preserve">Establish the foundation for Dormant Account Detection &amp; Management: assign a named owner, document the process with clear scope and objectives, and implement basic controls covering the most critical gaps. Focus on achieving consistent, basic coverage before advancing.</t>
  </si>
  <si>
    <t xml:space="preserve">60|3</t>
  </si>
  <si>
    <t xml:space="preserve">Standardise Dormant Account Detection &amp; Management: formalise all documentation, apply the control consistently across all in-scope assets, close remaining coverage gaps, and ensure evidence is collected routinely. Exceptions must be formally managed with named owners and defined expiry dates.</t>
  </si>
  <si>
    <t xml:space="preserve">60|4</t>
  </si>
  <si>
    <t xml:space="preserve">Instrument Dormant Account Detection &amp; Management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</si>
  <si>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60|5</t>
  </si>
  <si>
    <t xml:space="preserve">Automate and continuously assure Dormant Account Detection &amp; Management: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</si>
  <si>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61|2</t>
  </si>
  <si>
    <t xml:space="preserve">Establish the foundation for Machine Identity &amp; Service Account Management: assign a named owner, document the process with clear scope and objectives, and implement basic controls covering the most critical gaps. Focus on achieving consistent, basic coverage before advancing.</t>
  </si>
  <si>
    <t xml:space="preserve">61|3</t>
  </si>
  <si>
    <t xml:space="preserve">Standardise Machine Identity &amp; Service Account Management: formalise all documentation, apply the control consistently across all in-scope assets, close remaining coverage gaps, and ensure evidence is collected routinely. Exceptions must be formally managed with named owners and defined expiry dates.</t>
  </si>
  <si>
    <t xml:space="preserve">61|4</t>
  </si>
  <si>
    <t xml:space="preserve">Instrument Machine Identity &amp; Service Account Management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</si>
  <si>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61|5</t>
  </si>
  <si>
    <t xml:space="preserve">Automate and continuously assure Machine Identity &amp; Service Account Management: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</si>
  <si>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62|2</t>
  </si>
  <si>
    <t xml:space="preserve">Establish the foundation for API Key &amp; Secrets Management: assign a named owner, document the process with clear scope and objectives, and implement basic controls covering the most critical gaps. Focus on achieving consistent, basic coverage before advancing.</t>
  </si>
  <si>
    <t xml:space="preserve">62|3</t>
  </si>
  <si>
    <t xml:space="preserve">Standardise API Key &amp; Secrets Management: formalise all documentation, apply the control consistently across all in-scope assets, close remaining coverage gaps, and ensure evidence is collected routinely. Exceptions must be formally managed with named owners and defined expiry dates.</t>
  </si>
  <si>
    <t xml:space="preserve">62|4</t>
  </si>
  <si>
    <t xml:space="preserve">Instrument API Key &amp; Secrets Management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</si>
  <si>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62|5</t>
  </si>
  <si>
    <t xml:space="preserve">Automate and continuously assure API Key &amp; Secrets Management: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</si>
  <si>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63|2</t>
  </si>
  <si>
    <t xml:space="preserve">Establish the foundation for Zero Trust Architecture (ZTA) Implementation: assign a named owner, document the process with clear scope and objectives, and implement basic controls covering the most critical gaps. Focus on achieving consistent, basic coverage before advancing.</t>
  </si>
  <si>
    <t xml:space="preserve">63|3</t>
  </si>
  <si>
    <t xml:space="preserve">Standardise Zero Trust Architecture (ZTA) Implementation: formalise all documentation, apply the control consistently across all in-scope assets, close remaining coverage gaps, and ensure evidence is collected routinely. Exceptions must be formally managed with named owners and defined expiry dates.</t>
  </si>
  <si>
    <t xml:space="preserve">63|4</t>
  </si>
  <si>
    <t xml:space="preserve">Instrument Zero Trust Architecture (ZTA) Implementation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</si>
  <si>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63|5</t>
  </si>
  <si>
    <t xml:space="preserve">Automate and continuously assure Zero Trust Architecture (ZTA) Implementation: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</si>
  <si>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64|2</t>
  </si>
  <si>
    <t xml:space="preserve">Establish the foundation for Encryption at Rest — Sensitive Data: assign a named owner, document the process with clear scope and objectives, and implement basic controls covering the most critical gaps. Focus on achieving consistent, basic coverage before advancing.</t>
  </si>
  <si>
    <t xml:space="preserve">64|3</t>
  </si>
  <si>
    <t xml:space="preserve">Standardise Encryption at Rest — Sensitive Data: formalise all documentation, apply the control consistently across all in-scope assets, close remaining coverage gaps, and ensure evidence is collected routinely. Exceptions must be formally managed with named owners and defined expiry dates.</t>
  </si>
  <si>
    <t xml:space="preserve">64|4</t>
  </si>
  <si>
    <t xml:space="preserve">Instrument Encryption at Rest — Sensitive Data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</si>
  <si>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64|5</t>
  </si>
  <si>
    <t xml:space="preserve">Automate and continuously assure Encryption at Rest — Sensitive Data: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</si>
  <si>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65|2</t>
  </si>
  <si>
    <t xml:space="preserve">Establish the foundation for Encryption in Transit — TLS Enforcement: assign a named owner, document the process with clear scope and objectives, and implement basic controls covering the most critical gaps. Focus on achieving consistent, basic coverage before advancing.</t>
  </si>
  <si>
    <t xml:space="preserve">65|3</t>
  </si>
  <si>
    <t xml:space="preserve">Standardise Encryption in Transit — TLS Enforcement: formalise all documentation, apply the control consistently across all in-scope assets, close remaining coverage gaps, and ensure evidence is collected routinely. Exceptions must be formally managed with named owners and defined expiry dates.</t>
  </si>
  <si>
    <t xml:space="preserve">65|4</t>
  </si>
  <si>
    <t xml:space="preserve">Instrument Encryption in Transit — TLS Enforcement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</si>
  <si>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65|5</t>
  </si>
  <si>
    <t xml:space="preserve">Automate and continuously assure Encryption in Transit — TLS Enforcement: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</si>
  <si>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66|2</t>
  </si>
  <si>
    <t xml:space="preserve">Establish the foundation for Data Loss Prevention (DLP) — Email: assign a named owner, document the process with clear scope and objectives, and implement basic controls covering the most critical gaps. Focus on achieving consistent, basic coverage before advancing.</t>
  </si>
  <si>
    <t xml:space="preserve">66|3</t>
  </si>
  <si>
    <t xml:space="preserve">Standardise Data Loss Prevention (DLP) — Email: formalise all documentation, apply the control consistently across all in-scope assets, close remaining coverage gaps, and ensure evidence is collected routinely. Exceptions must be formally managed with named owners and defined expiry dates.</t>
  </si>
  <si>
    <t xml:space="preserve">66|4</t>
  </si>
  <si>
    <t xml:space="preserve">Instrument Data Loss Prevention (DLP) — Email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</si>
  <si>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66|5</t>
  </si>
  <si>
    <t xml:space="preserve">Automate and continuously assure Data Loss Prevention (DLP) — Email: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</si>
  <si>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67|2</t>
  </si>
  <si>
    <t xml:space="preserve">Establish the foundation for Data Loss Prevention (DLP) — Endpoint: assign a named owner, document the process with clear scope and objectives, and implement basic controls covering the most critical gaps. Focus on achieving consistent, basic coverage before advancing.</t>
  </si>
  <si>
    <t xml:space="preserve">67|3</t>
  </si>
  <si>
    <t xml:space="preserve">Standardise Data Loss Prevention (DLP) — Endpoint: formalise all documentation, apply the control consistently across all in-scope assets, close remaining coverage gaps, and ensure evidence is collected routinely. Exceptions must be formally managed with named owners and defined expiry dates.</t>
  </si>
  <si>
    <t xml:space="preserve">67|4</t>
  </si>
  <si>
    <t xml:space="preserve">Instrument Data Loss Prevention (DLP) — Endpoint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</si>
  <si>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67|5</t>
  </si>
  <si>
    <t xml:space="preserve">Automate and continuously assure Data Loss Prevention (DLP) — Endpoint: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</si>
  <si>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68|2</t>
  </si>
  <si>
    <t xml:space="preserve">Establish the foundation for Data Loss Prevention (DLP) — Cloud &amp; SaaS: assign a named owner, document the process with clear scope and objectives, and implement basic controls covering the most critical gaps. Focus on achieving consistent, basic coverage before advancing.</t>
  </si>
  <si>
    <t xml:space="preserve">68|3</t>
  </si>
  <si>
    <t xml:space="preserve">Standardise Data Loss Prevention (DLP) — Cloud &amp; SaaS: formalise all documentation, apply the control consistently across all in-scope assets, close remaining coverage gaps, and ensure evidence is collected routinely. Exceptions must be formally managed with named owners and defined expiry dates.</t>
  </si>
  <si>
    <t xml:space="preserve">68|4</t>
  </si>
  <si>
    <t xml:space="preserve">Instrument Data Loss Prevention (DLP) — Cloud &amp; SaaS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</si>
  <si>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68|5</t>
  </si>
  <si>
    <t xml:space="preserve">Automate and continuously assure Data Loss Prevention (DLP) — Cloud &amp; SaaS: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</si>
  <si>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69|2</t>
  </si>
  <si>
    <t xml:space="preserve">Establish the foundation for Data Masking &amp; Pseudonymisation: assign a named owner, document the process with clear scope and objectives, and implement basic controls covering the most critical gaps. Focus on achieving consistent, basic coverage before advancing.</t>
  </si>
  <si>
    <t xml:space="preserve">69|3</t>
  </si>
  <si>
    <t xml:space="preserve">Standardise Data Masking &amp; Pseudonymisation: formalise all documentation, apply the control consistently across all in-scope assets, close remaining coverage gaps, and ensure evidence is collected routinely. Exceptions must be formally managed with named owners and defined expiry dates.</t>
  </si>
  <si>
    <t xml:space="preserve">69|4</t>
  </si>
  <si>
    <t xml:space="preserve">Instrument Data Masking &amp; Pseudonymisation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</si>
  <si>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69|5</t>
  </si>
  <si>
    <t xml:space="preserve">Automate and continuously assure Data Masking &amp; Pseudonymisation: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</si>
  <si>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70|2</t>
  </si>
  <si>
    <t xml:space="preserve">Establish the foundation for Payment Card Data (PAN) Protection: assign a named owner, document the process with clear scope and objectives, and implement basic controls covering the most critical gaps. Focus on achieving consistent, basic coverage before advancing.</t>
  </si>
  <si>
    <t xml:space="preserve">70|3</t>
  </si>
  <si>
    <t xml:space="preserve">Standardise Payment Card Data (PAN) Protection: formalise all documentation, apply the control consistently across all in-scope assets, close remaining coverage gaps, and ensure evidence is collected routinely. Exceptions must be formally managed with named owners and defined expiry dates.</t>
  </si>
  <si>
    <t xml:space="preserve">70|4</t>
  </si>
  <si>
    <t xml:space="preserve">Instrument Payment Card Data (PAN) Protection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</si>
  <si>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70|5</t>
  </si>
  <si>
    <t xml:space="preserve">Automate and continuously assure Payment Card Data (PAN) Protection: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</si>
  <si>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71|2</t>
  </si>
  <si>
    <t xml:space="preserve">Establish the foundation for Backup — Architecture &amp; Immutability: assign a named owner, document the process with clear scope and objectives, and implement basic controls covering the most critical gaps. Focus on achieving consistent, basic coverage before advancing.</t>
  </si>
  <si>
    <t xml:space="preserve">71|3</t>
  </si>
  <si>
    <t xml:space="preserve">Standardise Backup — Architecture &amp; Immutability: formalise all documentation, apply the control consistently across all in-scope assets, close remaining coverage gaps, and ensure evidence is collected routinely. Exceptions must be formally managed with named owners and defined expiry dates.</t>
  </si>
  <si>
    <t xml:space="preserve">71|4</t>
  </si>
  <si>
    <t xml:space="preserve">Instrument Backup — Architecture &amp; Immutability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</si>
  <si>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71|5</t>
  </si>
  <si>
    <t xml:space="preserve">Automate and continuously assure Backup — Architecture &amp; Immutability: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</si>
  <si>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72|2</t>
  </si>
  <si>
    <t xml:space="preserve">Establish the foundation for Backup — Restoration Testing: assign a named owner, document the process with clear scope and objectives, and implement basic controls covering the most critical gaps. Focus on achieving consistent, basic coverage before advancing.</t>
  </si>
  <si>
    <t xml:space="preserve">72|3</t>
  </si>
  <si>
    <t xml:space="preserve">Standardise Backup — Restoration Testing: formalise all documentation, apply the control consistently across all in-scope assets, close remaining coverage gaps, and ensure evidence is collected routinely. Exceptions must be formally managed with named owners and defined expiry dates.</t>
  </si>
  <si>
    <t xml:space="preserve">72|4</t>
  </si>
  <si>
    <t xml:space="preserve">Instrument Backup — Restoration Testing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</si>
  <si>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72|5</t>
  </si>
  <si>
    <t xml:space="preserve">Automate and continuously assure Backup — Restoration Testing: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</si>
  <si>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73|2</t>
  </si>
  <si>
    <t xml:space="preserve">Establish the foundation for Email Security — DMARC, DKIM, SPF: assign a named owner, document the process with clear scope and objectives, and implement basic controls covering the most critical gaps. Focus on achieving consistent, basic coverage before advancing.</t>
  </si>
  <si>
    <t xml:space="preserve">73|3</t>
  </si>
  <si>
    <t xml:space="preserve">Standardise Email Security — DMARC, DKIM, SPF: formalise all documentation, apply the control consistently across all in-scope assets, close remaining coverage gaps, and ensure evidence is collected routinely. Exceptions must be formally managed with named owners and defined expiry dates.</t>
  </si>
  <si>
    <t xml:space="preserve">73|4</t>
  </si>
  <si>
    <t xml:space="preserve">Instrument Email Security — DMARC, DKIM, SPF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</si>
  <si>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73|5</t>
  </si>
  <si>
    <t xml:space="preserve">Automate and continuously assure Email Security — DMARC, DKIM, SPF: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</si>
  <si>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74|2</t>
  </si>
  <si>
    <t xml:space="preserve">Establish the foundation for Email Security — Anti-Phishing &amp; Sandboxing: assign a named owner, document the process with clear scope and objectives, and implement basic controls covering the most critical gaps. Focus on achieving consistent, basic coverage before advancing.</t>
  </si>
  <si>
    <t xml:space="preserve">74|3</t>
  </si>
  <si>
    <t xml:space="preserve">Standardise Email Security — Anti-Phishing &amp; Sandboxing: formalise all documentation, apply the control consistently across all in-scope assets, close remaining coverage gaps, and ensure evidence is collected routinely. Exceptions must be formally managed with named owners and defined expiry dates.</t>
  </si>
  <si>
    <t xml:space="preserve">74|4</t>
  </si>
  <si>
    <t xml:space="preserve">Instrument Email Security — Anti-Phishing &amp; Sandboxing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</si>
  <si>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74|5</t>
  </si>
  <si>
    <t xml:space="preserve">Automate and continuously assure Email Security — Anti-Phishing &amp; Sandboxing: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</si>
  <si>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75|2</t>
  </si>
  <si>
    <t xml:space="preserve">Establish the foundation for Cryptographic Standards &amp; Key Lifecycle: assign a named owner, document the process with clear scope and objectives, and implement basic controls covering the most critical gaps. Focus on achieving consistent, basic coverage before advancing.</t>
  </si>
  <si>
    <t xml:space="preserve">75|3</t>
  </si>
  <si>
    <t xml:space="preserve">Standardise Cryptographic Standards &amp; Key Lifecycle: formalise all documentation, apply the control consistently across all in-scope assets, close remaining coverage gaps, and ensure evidence is collected routinely. Exceptions must be formally managed with named owners and defined expiry dates.</t>
  </si>
  <si>
    <t xml:space="preserve">75|4</t>
  </si>
  <si>
    <t xml:space="preserve">Instrument Cryptographic Standards &amp; Key Lifecycle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</si>
  <si>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75|5</t>
  </si>
  <si>
    <t xml:space="preserve">Automate and continuously assure Cryptographic Standards &amp; Key Lifecycle: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</si>
  <si>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76|2</t>
  </si>
  <si>
    <t xml:space="preserve">Establish the foundation for Endpoint Detection &amp; Response (EDR): assign a named owner, document the process with clear scope and objectives, and implement basic controls covering the most critical gaps. Focus on achieving consistent, basic coverage before advancing.</t>
  </si>
  <si>
    <t xml:space="preserve">76|3</t>
  </si>
  <si>
    <t xml:space="preserve">Standardise Endpoint Detection &amp; Response (EDR): formalise all documentation, apply the control consistently across all in-scope assets, close remaining coverage gaps, and ensure evidence is collected routinely. Exceptions must be formally managed with named owners and defined expiry dates.</t>
  </si>
  <si>
    <t xml:space="preserve">76|4</t>
  </si>
  <si>
    <t xml:space="preserve">Instrument Endpoint Detection &amp; Response (EDR)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</si>
  <si>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76|5</t>
  </si>
  <si>
    <t xml:space="preserve">Automate and continuously assure Endpoint Detection &amp; Response (EDR):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</si>
  <si>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77|2</t>
  </si>
  <si>
    <t xml:space="preserve">Establish the foundation for Endpoint Hardening &amp; CIS Benchmark Compliance: assign a named owner, document the process with clear scope and objectives, and implement basic controls covering the most critical gaps. Focus on achieving consistent, basic coverage before advancing.</t>
  </si>
  <si>
    <t xml:space="preserve">77|3</t>
  </si>
  <si>
    <t xml:space="preserve">Standardise Endpoint Hardening &amp; CIS Benchmark Compliance: formalise all documentation, apply the control consistently across all in-scope assets, close remaining coverage gaps, and ensure evidence is collected routinely. Exceptions must be formally managed with named owners and defined expiry dates.</t>
  </si>
  <si>
    <t xml:space="preserve">77|4</t>
  </si>
  <si>
    <t xml:space="preserve">Instrument Endpoint Hardening &amp; CIS Benchmark Compliance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</si>
  <si>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77|5</t>
  </si>
  <si>
    <t xml:space="preserve">Automate and continuously assure Endpoint Hardening &amp; CIS Benchmark Compliance: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</si>
  <si>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78|2</t>
  </si>
  <si>
    <t xml:space="preserve">Establish the foundation for Patch Management — Critical &amp; High Vulnerabilities: assign a named owner, document the process with clear scope and objectives, and implement basic controls covering the most critical gaps. Focus on achieving consistent, basic coverage before advancing.</t>
  </si>
  <si>
    <t xml:space="preserve">78|3</t>
  </si>
  <si>
    <t xml:space="preserve">Standardise Patch Management — Critical &amp; High Vulnerabilities: formalise all documentation, apply the control consistently across all in-scope assets, close remaining coverage gaps, and ensure evidence is collected routinely. Exceptions must be formally managed with named owners and defined expiry dates.</t>
  </si>
  <si>
    <t xml:space="preserve">78|4</t>
  </si>
  <si>
    <t xml:space="preserve">Instrument Patch Management — Critical &amp; High Vulnerabilities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</si>
  <si>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78|5</t>
  </si>
  <si>
    <t xml:space="preserve">Automate and continuously assure Patch Management — Critical &amp; High Vulnerabilities: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</si>
  <si>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79|2</t>
  </si>
  <si>
    <t xml:space="preserve">Establish the foundation for Patch Management — Medium &amp; Low Vulnerabilities: assign a named owner, document the process with clear scope and objectives, and implement basic controls covering the most critical gaps. Focus on achieving consistent, basic coverage before advancing.</t>
  </si>
  <si>
    <t xml:space="preserve">79|3</t>
  </si>
  <si>
    <t xml:space="preserve">Standardise Patch Management — Medium &amp; Low Vulnerabilities: formalise all documentation, apply the control consistently across all in-scope assets, close remaining coverage gaps, and ensure evidence is collected routinely. Exceptions must be formally managed with named owners and defined expiry dates.</t>
  </si>
  <si>
    <t xml:space="preserve">79|4</t>
  </si>
  <si>
    <t xml:space="preserve">Instrument Patch Management — Medium &amp; Low Vulnerabilities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</si>
  <si>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79|5</t>
  </si>
  <si>
    <t xml:space="preserve">Automate and continuously assure Patch Management — Medium &amp; Low Vulnerabilities: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</si>
  <si>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80|2</t>
  </si>
  <si>
    <t xml:space="preserve">Establish the foundation for End-of-Life (EOL) Software &amp; OS Management: assign a named owner, document the process with clear scope and objectives, and implement basic controls covering the most critical gaps. Focus on achieving consistent, basic coverage before advancing.</t>
  </si>
  <si>
    <t xml:space="preserve">80|3</t>
  </si>
  <si>
    <t xml:space="preserve">Standardise End-of-Life (EOL) Software &amp; OS Management: formalise all documentation, apply the control consistently across all in-scope assets, close remaining coverage gaps, and ensure evidence is collected routinely. Exceptions must be formally managed with named owners and defined expiry dates.</t>
  </si>
  <si>
    <t xml:space="preserve">80|4</t>
  </si>
  <si>
    <t xml:space="preserve">Instrument End-of-Life (EOL) Software &amp; OS Management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</si>
  <si>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80|5</t>
  </si>
  <si>
    <t xml:space="preserve">Automate and continuously assure End-of-Life (EOL) Software &amp; OS Management: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</si>
  <si>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81|2</t>
  </si>
  <si>
    <t xml:space="preserve">Establish the foundation for Application Whitelisting / Allowlisting: assign a named owner, document the process with clear scope and objectives, and implement basic controls covering the most critical gaps. Focus on achieving consistent, basic coverage before advancing.</t>
  </si>
  <si>
    <t xml:space="preserve">81|3</t>
  </si>
  <si>
    <t xml:space="preserve">Standardise Application Whitelisting / Allowlisting: formalise all documentation, apply the control consistently across all in-scope assets, close remaining coverage gaps, and ensure evidence is collected routinely. Exceptions must be formally managed with named owners and defined expiry dates.</t>
  </si>
  <si>
    <t xml:space="preserve">81|4</t>
  </si>
  <si>
    <t xml:space="preserve">Instrument Application Whitelisting / Allowlisting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</si>
  <si>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81|5</t>
  </si>
  <si>
    <t xml:space="preserve">Automate and continuously assure Application Whitelisting / Allowlisting: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</si>
  <si>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82|2</t>
  </si>
  <si>
    <t xml:space="preserve">Establish the foundation for Removable Media Controls: assign a named owner, document the process with clear scope and objectives, and implement basic controls covering the most critical gaps. Focus on achieving consistent, basic coverage before advancing.</t>
  </si>
  <si>
    <t xml:space="preserve">82|3</t>
  </si>
  <si>
    <t xml:space="preserve">Standardise Removable Media Controls: formalise all documentation, apply the control consistently across all in-scope assets, close remaining coverage gaps, and ensure evidence is collected routinely. Exceptions must be formally managed with named owners and defined expiry dates.</t>
  </si>
  <si>
    <t xml:space="preserve">82|4</t>
  </si>
  <si>
    <t xml:space="preserve">Instrument Removable Media Controls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</si>
  <si>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82|5</t>
  </si>
  <si>
    <t xml:space="preserve">Automate and continuously assure Removable Media Controls: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</si>
  <si>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83|2</t>
  </si>
  <si>
    <t xml:space="preserve">Establish the foundation for Mobile Device Management (MDM): assign a named owner, document the process with clear scope and objectives, and implement basic controls covering the most critical gaps. Focus on achieving consistent, basic coverage before advancing.</t>
  </si>
  <si>
    <t xml:space="preserve">83|3</t>
  </si>
  <si>
    <t xml:space="preserve">Standardise Mobile Device Management (MDM): formalise all documentation, apply the control consistently across all in-scope assets, close remaining coverage gaps, and ensure evidence is collected routinely. Exceptions must be formally managed with named owners and defined expiry dates.</t>
  </si>
  <si>
    <t xml:space="preserve">83|4</t>
  </si>
  <si>
    <t xml:space="preserve">Instrument Mobile Device Management (MDM)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</si>
  <si>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83|5</t>
  </si>
  <si>
    <t xml:space="preserve">Automate and continuously assure Mobile Device Management (MDM):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</si>
  <si>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84|2</t>
  </si>
  <si>
    <t xml:space="preserve">Establish the foundation for Network Segmentation — Zone Architecture: assign a named owner, document the process with clear scope and objectives, and implement basic controls covering the most critical gaps. Focus on achieving consistent, basic coverage before advancing.</t>
  </si>
  <si>
    <t xml:space="preserve">84|3</t>
  </si>
  <si>
    <t xml:space="preserve">Standardise Network Segmentation — Zone Architecture: formalise all documentation, apply the control consistently across all in-scope assets, close remaining coverage gaps, and ensure evidence is collected routinely. Exceptions must be formally managed with named owners and defined expiry dates.</t>
  </si>
  <si>
    <t xml:space="preserve">84|4</t>
  </si>
  <si>
    <t xml:space="preserve">Instrument Network Segmentation — Zone Architecture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</si>
  <si>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84|5</t>
  </si>
  <si>
    <t xml:space="preserve">Automate and continuously assure Network Segmentation — Zone Architecture: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</si>
  <si>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85|2</t>
  </si>
  <si>
    <t xml:space="preserve">Establish the foundation for Network Microsegmentation (Cloud &amp; Data Centre): assign a named owner, document the process with clear scope and objectives, and implement basic controls covering the most critical gaps. Focus on achieving consistent, basic coverage before advancing.</t>
  </si>
  <si>
    <t xml:space="preserve">85|3</t>
  </si>
  <si>
    <t xml:space="preserve">Standardise Network Microsegmentation (Cloud &amp; Data Centre): formalise all documentation, apply the control consistently across all in-scope assets, close remaining coverage gaps, and ensure evidence is collected routinely. Exceptions must be formally managed with named owners and defined expiry dates.</t>
  </si>
  <si>
    <t xml:space="preserve">85|4</t>
  </si>
  <si>
    <t xml:space="preserve">Instrument Network Microsegmentation (Cloud &amp; Data Centre)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</si>
  <si>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85|5</t>
  </si>
  <si>
    <t xml:space="preserve">Automate and continuously assure Network Microsegmentation (Cloud &amp; Data Centre):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</si>
  <si>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86|2</t>
  </si>
  <si>
    <t xml:space="preserve">Establish the foundation for CDE Network Segmentation Validation: assign a named owner, document the process with clear scope and objectives, and implement basic controls covering the most critical gaps. Focus on achieving consistent, basic coverage before advancing.</t>
  </si>
  <si>
    <t xml:space="preserve">86|3</t>
  </si>
  <si>
    <t xml:space="preserve">Standardise CDE Network Segmentation Validation: formalise all documentation, apply the control consistently across all in-scope assets, close remaining coverage gaps, and ensure evidence is collected routinely. Exceptions must be formally managed with named owners and defined expiry dates.</t>
  </si>
  <si>
    <t xml:space="preserve">86|4</t>
  </si>
  <si>
    <t xml:space="preserve">Instrument CDE Network Segmentation Validation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</si>
  <si>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86|5</t>
  </si>
  <si>
    <t xml:space="preserve">Automate and continuously assure CDE Network Segmentation Validation: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</si>
  <si>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87|2</t>
  </si>
  <si>
    <t xml:space="preserve">Establish the foundation for NGFW &amp; Firewall Rule Management: assign a named owner, document the process with clear scope and objectives, and implement basic controls covering the most critical gaps. Focus on achieving consistent, basic coverage before advancing.</t>
  </si>
  <si>
    <t xml:space="preserve">87|3</t>
  </si>
  <si>
    <t xml:space="preserve">Standardise NGFW &amp; Firewall Rule Management: formalise all documentation, apply the control consistently across all in-scope assets, close remaining coverage gaps, and ensure evidence is collected routinely. Exceptions must be formally managed with named owners and defined expiry dates.</t>
  </si>
  <si>
    <t xml:space="preserve">87|4</t>
  </si>
  <si>
    <t xml:space="preserve">Instrument NGFW &amp; Firewall Rule Management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</si>
  <si>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87|5</t>
  </si>
  <si>
    <t xml:space="preserve">Automate and continuously assure NGFW &amp; Firewall Rule Management: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</si>
  <si>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88|2</t>
  </si>
  <si>
    <t xml:space="preserve">Establish the foundation for Web Application Firewall (WAF): assign a named owner, document the process with clear scope and objectives, and implement basic controls covering the most critical gaps. Focus on achieving consistent, basic coverage before advancing.</t>
  </si>
  <si>
    <t xml:space="preserve">88|3</t>
  </si>
  <si>
    <t xml:space="preserve">Standardise Web Application Firewall (WAF): formalise all documentation, apply the control consistently across all in-scope assets, close remaining coverage gaps, and ensure evidence is collected routinely. Exceptions must be formally managed with named owners and defined expiry dates.</t>
  </si>
  <si>
    <t xml:space="preserve">88|4</t>
  </si>
  <si>
    <t xml:space="preserve">Instrument Web Application Firewall (WAF)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</si>
  <si>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88|5</t>
  </si>
  <si>
    <t xml:space="preserve">Automate and continuously assure Web Application Firewall (WAF):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</si>
  <si>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89|2</t>
  </si>
  <si>
    <t xml:space="preserve">Establish the foundation for Zero Trust Network Access (ZTNA): assign a named owner, document the process with clear scope and objectives, and implement basic controls covering the most critical gaps. Focus on achieving consistent, basic coverage before advancing.</t>
  </si>
  <si>
    <t xml:space="preserve">89|3</t>
  </si>
  <si>
    <t xml:space="preserve">Standardise Zero Trust Network Access (ZTNA): formalise all documentation, apply the control consistently across all in-scope assets, close remaining coverage gaps, and ensure evidence is collected routinely. Exceptions must be formally managed with named owners and defined expiry dates.</t>
  </si>
  <si>
    <t xml:space="preserve">89|4</t>
  </si>
  <si>
    <t xml:space="preserve">Instrument Zero Trust Network Access (ZTNA)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</si>
  <si>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89|5</t>
  </si>
  <si>
    <t xml:space="preserve">Automate and continuously assure Zero Trust Network Access (ZTNA):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</si>
  <si>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90|2</t>
  </si>
  <si>
    <t xml:space="preserve">Establish the foundation for SASE Architecture: assign a named owner, document the process with clear scope and objectives, and implement basic controls covering the most critical gaps. Focus on achieving consistent, basic coverage before advancing.</t>
  </si>
  <si>
    <t xml:space="preserve">90|3</t>
  </si>
  <si>
    <t xml:space="preserve">Standardise SASE Architecture: formalise all documentation, apply the control consistently across all in-scope assets, close remaining coverage gaps, and ensure evidence is collected routinely. Exceptions must be formally managed with named owners and defined expiry dates.</t>
  </si>
  <si>
    <t xml:space="preserve">90|4</t>
  </si>
  <si>
    <t xml:space="preserve">Instrument SASE Architecture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</si>
  <si>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90|5</t>
  </si>
  <si>
    <t xml:space="preserve">Automate and continuously assure SASE Architecture: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</si>
  <si>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91|2</t>
  </si>
  <si>
    <t xml:space="preserve">Establish the foundation for Protective DNS &amp; DNS Security: assign a named owner, document the process with clear scope and objectives, and implement basic controls covering the most critical gaps. Focus on achieving consistent, basic coverage before advancing.</t>
  </si>
  <si>
    <t xml:space="preserve">91|3</t>
  </si>
  <si>
    <t xml:space="preserve">Standardise Protective DNS &amp; DNS Security: formalise all documentation, apply the control consistently across all in-scope assets, close remaining coverage gaps, and ensure evidence is collected routinely. Exceptions must be formally managed with named owners and defined expiry dates.</t>
  </si>
  <si>
    <t xml:space="preserve">91|4</t>
  </si>
  <si>
    <t xml:space="preserve">Instrument Protective DNS &amp; DNS Security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</si>
  <si>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91|5</t>
  </si>
  <si>
    <t xml:space="preserve">Automate and continuously assure Protective DNS &amp; DNS Security: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</si>
  <si>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92|2</t>
  </si>
  <si>
    <t xml:space="preserve">Establish the foundation for Egress Filtering &amp; Allowlisting: assign a named owner, document the process with clear scope and objectives, and implement basic controls covering the most critical gaps. Focus on achieving consistent, basic coverage before advancing.</t>
  </si>
  <si>
    <t xml:space="preserve">92|3</t>
  </si>
  <si>
    <t xml:space="preserve">Standardise Egress Filtering &amp; Allowlisting: formalise all documentation, apply the control consistently across all in-scope assets, close remaining coverage gaps, and ensure evidence is collected routinely. Exceptions must be formally managed with named owners and defined expiry dates.</t>
  </si>
  <si>
    <t xml:space="preserve">92|4</t>
  </si>
  <si>
    <t xml:space="preserve">Instrument Egress Filtering &amp; Allowlisting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</si>
  <si>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92|5</t>
  </si>
  <si>
    <t xml:space="preserve">Automate and continuously assure Egress Filtering &amp; Allowlisting: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</si>
  <si>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93|2</t>
  </si>
  <si>
    <t xml:space="preserve">Establish the foundation for Network Intrusion Prevention (IPS): assign a named owner, document the process with clear scope and objectives, and implement basic controls covering the most critical gaps. Focus on achieving consistent, basic coverage before advancing.</t>
  </si>
  <si>
    <t xml:space="preserve">93|3</t>
  </si>
  <si>
    <t xml:space="preserve">Standardise Network Intrusion Prevention (IPS): formalise all documentation, apply the control consistently across all in-scope assets, close remaining coverage gaps, and ensure evidence is collected routinely. Exceptions must be formally managed with named owners and defined expiry dates.</t>
  </si>
  <si>
    <t xml:space="preserve">93|4</t>
  </si>
  <si>
    <t xml:space="preserve">Instrument Network Intrusion Prevention (IPS)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</si>
  <si>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93|5</t>
  </si>
  <si>
    <t xml:space="preserve">Automate and continuously assure Network Intrusion Prevention (IPS):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</si>
  <si>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94|2</t>
  </si>
  <si>
    <t xml:space="preserve">Establish the foundation for Remote Administration Security: assign a named owner, document the process with clear scope and objectives, and implement basic controls covering the most critical gaps. Focus on achieving consistent, basic coverage before advancing.</t>
  </si>
  <si>
    <t xml:space="preserve">94|3</t>
  </si>
  <si>
    <t xml:space="preserve">Standardise Remote Administration Security: formalise all documentation, apply the control consistently across all in-scope assets, close remaining coverage gaps, and ensure evidence is collected routinely. Exceptions must be formally managed with named owners and defined expiry dates.</t>
  </si>
  <si>
    <t xml:space="preserve">94|4</t>
  </si>
  <si>
    <t xml:space="preserve">Instrument Remote Administration Security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</si>
  <si>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94|5</t>
  </si>
  <si>
    <t xml:space="preserve">Automate and continuously assure Remote Administration Security: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</si>
  <si>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95|2</t>
  </si>
  <si>
    <t xml:space="preserve">Establish the foundation for Wireless Network Security: assign a named owner, document the process with clear scope and objectives, and implement basic controls covering the most critical gaps. Focus on achieving consistent, basic coverage before advancing.</t>
  </si>
  <si>
    <t xml:space="preserve">95|3</t>
  </si>
  <si>
    <t xml:space="preserve">Standardise Wireless Network Security: formalise all documentation, apply the control consistently across all in-scope assets, close remaining coverage gaps, and ensure evidence is collected routinely. Exceptions must be formally managed with named owners and defined expiry dates.</t>
  </si>
  <si>
    <t xml:space="preserve">95|4</t>
  </si>
  <si>
    <t xml:space="preserve">Instrument Wireless Network Security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</si>
  <si>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95|5</t>
  </si>
  <si>
    <t xml:space="preserve">Automate and continuously assure Wireless Network Security: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</si>
  <si>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96|2</t>
  </si>
  <si>
    <t xml:space="preserve">Establish the foundation for OT/ICS Network Security: assign a named owner, document the process with clear scope and objectives, and implement basic controls covering the most critical gaps. Focus on achieving consistent, basic coverage before advancing.</t>
  </si>
  <si>
    <t xml:space="preserve">96|3</t>
  </si>
  <si>
    <t xml:space="preserve">Standardise OT/ICS Network Security: formalise all documentation, apply the control consistently across all in-scope assets, close remaining coverage gaps, and ensure evidence is collected routinely. Exceptions must be formally managed with named owners and defined expiry dates.</t>
  </si>
  <si>
    <t xml:space="preserve">96|4</t>
  </si>
  <si>
    <t xml:space="preserve">Instrument OT/ICS Network Security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</si>
  <si>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96|5</t>
  </si>
  <si>
    <t xml:space="preserve">Automate and continuously assure OT/ICS Network Security: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</si>
  <si>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97|2</t>
  </si>
  <si>
    <t xml:space="preserve">Establish the foundation for Secure SDLC — Security Requirements: assign a named owner, document the process with clear scope and objectives, and implement basic controls covering the most critical gaps. Focus on achieving consistent, basic coverage before advancing.</t>
  </si>
  <si>
    <t xml:space="preserve">97|3</t>
  </si>
  <si>
    <t xml:space="preserve">Standardise Secure SDLC — Security Requirements: formalise all documentation, apply the control consistently across all in-scope assets, close remaining coverage gaps, and ensure evidence is collected routinely. Exceptions must be formally managed with named owners and defined expiry dates.</t>
  </si>
  <si>
    <t xml:space="preserve">97|4</t>
  </si>
  <si>
    <t xml:space="preserve">Instrument Secure SDLC — Security Requirements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</si>
  <si>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97|5</t>
  </si>
  <si>
    <t xml:space="preserve">Automate and continuously assure Secure SDLC — Security Requirements: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</si>
  <si>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98|2</t>
  </si>
  <si>
    <t xml:space="preserve">Establish the foundation for Secure SDLC — Static Analysis (SAST): assign a named owner, document the process with clear scope and objectives, and implement basic controls covering the most critical gaps. Focus on achieving consistent, basic coverage before advancing.</t>
  </si>
  <si>
    <t xml:space="preserve">98|3</t>
  </si>
  <si>
    <t xml:space="preserve">Standardise Secure SDLC — Static Analysis (SAST): formalise all documentation, apply the control consistently across all in-scope assets, close remaining coverage gaps, and ensure evidence is collected routinely. Exceptions must be formally managed with named owners and defined expiry dates.</t>
  </si>
  <si>
    <t xml:space="preserve">98|4</t>
  </si>
  <si>
    <t xml:space="preserve">Instrument Secure SDLC — Static Analysis (SAST)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</si>
  <si>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98|5</t>
  </si>
  <si>
    <t xml:space="preserve">Automate and continuously assure Secure SDLC — Static Analysis (SAST):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</si>
  <si>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99|2</t>
  </si>
  <si>
    <t xml:space="preserve">Establish the foundation for Secure SDLC — Software Composition Analysis (SCA): assign a named owner, document the process with clear scope and objectives, and implement basic controls covering the most critical gaps. Focus on achieving consistent, basic coverage before advancing.</t>
  </si>
  <si>
    <t xml:space="preserve">99|3</t>
  </si>
  <si>
    <t xml:space="preserve">Standardise Secure SDLC — Software Composition Analysis (SCA): formalise all documentation, apply the control consistently across all in-scope assets, close remaining coverage gaps, and ensure evidence is collected routinely. Exceptions must be formally managed with named owners and defined expiry dates.</t>
  </si>
  <si>
    <t xml:space="preserve">99|4</t>
  </si>
  <si>
    <t xml:space="preserve">Instrument Secure SDLC — Software Composition Analysis (SCA)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</si>
  <si>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99|5</t>
  </si>
  <si>
    <t xml:space="preserve">Automate and continuously assure Secure SDLC — Software Composition Analysis (SCA):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</si>
  <si>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100|2</t>
  </si>
  <si>
    <t xml:space="preserve">Establish the foundation for Secure SDLC — Dynamic Analysis (DAST): assign a named owner, document the process with clear scope and objectives, and implement basic controls covering the most critical gaps. Focus on achieving consistent, basic coverage before advancing.</t>
  </si>
  <si>
    <t xml:space="preserve">100|3</t>
  </si>
  <si>
    <t xml:space="preserve">Standardise Secure SDLC — Dynamic Analysis (DAST): formalise all documentation, apply the control consistently across all in-scope assets, close remaining coverage gaps, and ensure evidence is collected routinely. Exceptions must be formally managed with named owners and defined expiry dates.</t>
  </si>
  <si>
    <t xml:space="preserve">100|4</t>
  </si>
  <si>
    <t xml:space="preserve">Instrument Secure SDLC — Dynamic Analysis (DAST)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</si>
  <si>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100|5</t>
  </si>
  <si>
    <t xml:space="preserve">Automate and continuously assure Secure SDLC — Dynamic Analysis (DAST):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</si>
  <si>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101|2</t>
  </si>
  <si>
    <t xml:space="preserve">Establish the foundation for Secure SDLC — Release Security Sign-Off: assign a named owner, document the process with clear scope and objectives, and implement basic controls covering the most critical gaps. Focus on achieving consistent, basic coverage before advancing.</t>
  </si>
  <si>
    <t xml:space="preserve">101|3</t>
  </si>
  <si>
    <t xml:space="preserve">Standardise Secure SDLC — Release Security Sign-Off: formalise all documentation, apply the control consistently across all in-scope assets, close remaining coverage gaps, and ensure evidence is collected routinely. Exceptions must be formally managed with named owners and defined expiry dates.</t>
  </si>
  <si>
    <t xml:space="preserve">101|4</t>
  </si>
  <si>
    <t xml:space="preserve">Instrument Secure SDLC — Release Security Sign-Off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</si>
  <si>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101|5</t>
  </si>
  <si>
    <t xml:space="preserve">Automate and continuously assure Secure SDLC — Release Security Sign-Off: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</si>
  <si>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102|2</t>
  </si>
  <si>
    <t xml:space="preserve">Establish the foundation for API Security — Inventory &amp; Gateway: assign a named owner, document the process with clear scope and objectives, and implement basic controls covering the most critical gaps. Focus on achieving consistent, basic coverage before advancing.</t>
  </si>
  <si>
    <t xml:space="preserve">102|3</t>
  </si>
  <si>
    <t xml:space="preserve">Standardise API Security — Inventory &amp; Gateway: formalise all documentation, apply the control consistently across all in-scope assets, close remaining coverage gaps, and ensure evidence is collected routinely. Exceptions must be formally managed with named owners and defined expiry dates.</t>
  </si>
  <si>
    <t xml:space="preserve">102|4</t>
  </si>
  <si>
    <t xml:space="preserve">Instrument API Security — Inventory &amp; Gateway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</si>
  <si>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102|5</t>
  </si>
  <si>
    <t xml:space="preserve">Automate and continuously assure API Security — Inventory &amp; Gateway: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</si>
  <si>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103|2</t>
  </si>
  <si>
    <t xml:space="preserve">Establish the foundation for Container Security — Image Scanning: assign a named owner, document the process with clear scope and objectives, and implement basic controls covering the most critical gaps. Focus on achieving consistent, basic coverage before advancing.</t>
  </si>
  <si>
    <t xml:space="preserve">103|3</t>
  </si>
  <si>
    <t xml:space="preserve">Standardise Container Security — Image Scanning: formalise all documentation, apply the control consistently across all in-scope assets, close remaining coverage gaps, and ensure evidence is collected routinely. Exceptions must be formally managed with named owners and defined expiry dates.</t>
  </si>
  <si>
    <t xml:space="preserve">103|4</t>
  </si>
  <si>
    <t xml:space="preserve">Instrument Container Security — Image Scanning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</si>
  <si>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103|5</t>
  </si>
  <si>
    <t xml:space="preserve">Automate and continuously assure Container Security — Image Scanning: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</si>
  <si>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104|2</t>
  </si>
  <si>
    <t xml:space="preserve">Establish the foundation for Container Security — Runtime Protection: assign a named owner, document the process with clear scope and objectives, and implement basic controls covering the most critical gaps. Focus on achieving consistent, basic coverage before advancing.</t>
  </si>
  <si>
    <t xml:space="preserve">104|3</t>
  </si>
  <si>
    <t xml:space="preserve">Standardise Container Security — Runtime Protection: formalise all documentation, apply the control consistently across all in-scope assets, close remaining coverage gaps, and ensure evidence is collected routinely. Exceptions must be formally managed with named owners and defined expiry dates.</t>
  </si>
  <si>
    <t xml:space="preserve">104|4</t>
  </si>
  <si>
    <t xml:space="preserve">Instrument Container Security — Runtime Protection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</si>
  <si>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104|5</t>
  </si>
  <si>
    <t xml:space="preserve">Automate and continuously assure Container Security — Runtime Protection: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</si>
  <si>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105|2</t>
  </si>
  <si>
    <t xml:space="preserve">Establish the foundation for Secrets Exposure Prevention in Code: assign a named owner, document the process with clear scope and objectives, and implement basic controls covering the most critical gaps. Focus on achieving consistent, basic coverage before advancing.</t>
  </si>
  <si>
    <t xml:space="preserve">105|3</t>
  </si>
  <si>
    <t xml:space="preserve">Standardise Secrets Exposure Prevention in Code: formalise all documentation, apply the control consistently across all in-scope assets, close remaining coverage gaps, and ensure evidence is collected routinely. Exceptions must be formally managed with named owners and defined expiry dates.</t>
  </si>
  <si>
    <t xml:space="preserve">105|4</t>
  </si>
  <si>
    <t xml:space="preserve">Instrument Secrets Exposure Prevention in Code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</si>
  <si>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105|5</t>
  </si>
  <si>
    <t xml:space="preserve">Automate and continuously assure Secrets Exposure Prevention in Code: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</si>
  <si>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106|2</t>
  </si>
  <si>
    <t xml:space="preserve">Establish the foundation for Payment Page &amp; Script Integrity: assign a named owner, document the process with clear scope and objectives, and implement basic controls covering the most critical gaps. Focus on achieving consistent, basic coverage before advancing.</t>
  </si>
  <si>
    <t xml:space="preserve">106|3</t>
  </si>
  <si>
    <t xml:space="preserve">Standardise Payment Page &amp; Script Integrity: formalise all documentation, apply the control consistently across all in-scope assets, close remaining coverage gaps, and ensure evidence is collected routinely. Exceptions must be formally managed with named owners and defined expiry dates.</t>
  </si>
  <si>
    <t xml:space="preserve">106|4</t>
  </si>
  <si>
    <t xml:space="preserve">Instrument Payment Page &amp; Script Integrity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</si>
  <si>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106|5</t>
  </si>
  <si>
    <t xml:space="preserve">Automate and continuously assure Payment Page &amp; Script Integrity: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</si>
  <si>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107|2</t>
  </si>
  <si>
    <t xml:space="preserve">Establish the foundation for Software Supply Chain Security: assign a named owner, document the process with clear scope and objectives, and implement basic controls covering the most critical gaps. Focus on achieving consistent, basic coverage before advancing.</t>
  </si>
  <si>
    <t xml:space="preserve">107|3</t>
  </si>
  <si>
    <t xml:space="preserve">Standardise Software Supply Chain Security: formalise all documentation, apply the control consistently across all in-scope assets, close remaining coverage gaps, and ensure evidence is collected routinely. Exceptions must be formally managed with named owners and defined expiry dates.</t>
  </si>
  <si>
    <t xml:space="preserve">107|4</t>
  </si>
  <si>
    <t xml:space="preserve">Instrument Software Supply Chain Security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</si>
  <si>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107|5</t>
  </si>
  <si>
    <t xml:space="preserve">Automate and continuously assure Software Supply Chain Security: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</si>
  <si>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108|2</t>
  </si>
  <si>
    <t xml:space="preserve">Establish the foundation for Threat Modelling Programme: assign a named owner, document the process with clear scope and objectives, and implement basic controls covering the most critical gaps. Focus on achieving consistent, basic coverage before advancing.</t>
  </si>
  <si>
    <t xml:space="preserve">108|3</t>
  </si>
  <si>
    <t xml:space="preserve">Standardise Threat Modelling Programme: formalise all documentation, apply the control consistently across all in-scope assets, close remaining coverage gaps, and ensure evidence is collected routinely. Exceptions must be formally managed with named owners and defined expiry dates.</t>
  </si>
  <si>
    <t xml:space="preserve">108|4</t>
  </si>
  <si>
    <t xml:space="preserve">Instrument Threat Modelling Programme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</si>
  <si>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108|5</t>
  </si>
  <si>
    <t xml:space="preserve">Automate and continuously assure Threat Modelling Programme: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</si>
  <si>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109|2</t>
  </si>
  <si>
    <t xml:space="preserve">Establish the foundation for Cloud Security Posture Management (CSPM): assign a named owner, document the process with clear scope and objectives, and implement basic controls covering the most critical gaps. Focus on achieving consistent, basic coverage before advancing.</t>
  </si>
  <si>
    <t xml:space="preserve">109|3</t>
  </si>
  <si>
    <t xml:space="preserve">Standardise Cloud Security Posture Management (CSPM): formalise all documentation, apply the control consistently across all in-scope assets, close remaining coverage gaps, and ensure evidence is collected routinely. Exceptions must be formally managed with named owners and defined expiry dates.</t>
  </si>
  <si>
    <t xml:space="preserve">109|4</t>
  </si>
  <si>
    <t xml:space="preserve">Instrument Cloud Security Posture Management (CSPM)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</si>
  <si>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109|5</t>
  </si>
  <si>
    <t xml:space="preserve">Automate and continuously assure Cloud Security Posture Management (CSPM):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</si>
  <si>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110|2</t>
  </si>
  <si>
    <t xml:space="preserve">Establish the foundation for Cloud Infrastructure Entitlement Management (CIEM): assign a named owner, document the process with clear scope and objectives, and implement basic controls covering the most critical gaps. Focus on achieving consistent, basic coverage before advancing.</t>
  </si>
  <si>
    <t xml:space="preserve">110|3</t>
  </si>
  <si>
    <t xml:space="preserve">Standardise Cloud Infrastructure Entitlement Management (CIEM): formalise all documentation, apply the control consistently across all in-scope assets, close remaining coverage gaps, and ensure evidence is collected routinely. Exceptions must be formally managed with named owners and defined expiry dates.</t>
  </si>
  <si>
    <t xml:space="preserve">110|4</t>
  </si>
  <si>
    <t xml:space="preserve">Instrument Cloud Infrastructure Entitlement Management (CIEM)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</si>
  <si>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110|5</t>
  </si>
  <si>
    <t xml:space="preserve">Automate and continuously assure Cloud Infrastructure Entitlement Management (CIEM):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</si>
  <si>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111|2</t>
  </si>
  <si>
    <t xml:space="preserve">Establish the foundation for Cloud Shared Responsibility Matrix: assign a named owner, document the process with clear scope and objectives, and implement basic controls covering the most critical gaps. Focus on achieving consistent, basic coverage before advancing.</t>
  </si>
  <si>
    <t xml:space="preserve">111|3</t>
  </si>
  <si>
    <t xml:space="preserve">Standardise Cloud Shared Responsibility Matrix: formalise all documentation, apply the control consistently across all in-scope assets, close remaining coverage gaps, and ensure evidence is collected routinely. Exceptions must be formally managed with named owners and defined expiry dates.</t>
  </si>
  <si>
    <t xml:space="preserve">111|4</t>
  </si>
  <si>
    <t xml:space="preserve">Instrument Cloud Shared Responsibility Matrix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</si>
  <si>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111|5</t>
  </si>
  <si>
    <t xml:space="preserve">Automate and continuously assure Cloud Shared Responsibility Matrix: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</si>
  <si>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112|2</t>
  </si>
  <si>
    <t xml:space="preserve">Establish the foundation for Cloud Native Security Controls (AWS/Azure/GCP): assign a named owner, document the process with clear scope and objectives, and implement basic controls covering the most critical gaps. Focus on achieving consistent, basic coverage before advancing.</t>
  </si>
  <si>
    <t xml:space="preserve">112|3</t>
  </si>
  <si>
    <t xml:space="preserve">Standardise Cloud Native Security Controls (AWS/Azure/GCP): formalise all documentation, apply the control consistently across all in-scope assets, close remaining coverage gaps, and ensure evidence is collected routinely. Exceptions must be formally managed with named owners and defined expiry dates.</t>
  </si>
  <si>
    <t xml:space="preserve">112|4</t>
  </si>
  <si>
    <t xml:space="preserve">Instrument Cloud Native Security Controls (AWS/Azure/GCP)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</si>
  <si>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112|5</t>
  </si>
  <si>
    <t xml:space="preserve">Automate and continuously assure Cloud Native Security Controls (AWS/Azure/GCP):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</si>
  <si>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113|2</t>
  </si>
  <si>
    <t xml:space="preserve">Establish the foundation for Cloud Key Management &amp; HSM: assign a named owner, document the process with clear scope and objectives, and implement basic controls covering the most critical gaps. Focus on achieving consistent, basic coverage before advancing.</t>
  </si>
  <si>
    <t xml:space="preserve">113|3</t>
  </si>
  <si>
    <t xml:space="preserve">Standardise Cloud Key Management &amp; HSM: formalise all documentation, apply the control consistently across all in-scope assets, close remaining coverage gaps, and ensure evidence is collected routinely. Exceptions must be formally managed with named owners and defined expiry dates.</t>
  </si>
  <si>
    <t xml:space="preserve">113|4</t>
  </si>
  <si>
    <t xml:space="preserve">Instrument Cloud Key Management &amp; HSM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</si>
  <si>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113|5</t>
  </si>
  <si>
    <t xml:space="preserve">Automate and continuously assure Cloud Key Management &amp; HSM: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</si>
  <si>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114|2</t>
  </si>
  <si>
    <t xml:space="preserve">Establish the foundation for FedRAMP Compliance (where applicable): assign a named owner, document the process with clear scope and objectives, and implement basic controls covering the most critical gaps. Focus on achieving consistent, basic coverage before advancing.</t>
  </si>
  <si>
    <t xml:space="preserve">114|3</t>
  </si>
  <si>
    <t xml:space="preserve">Standardise FedRAMP Compliance (where applicable): formalise all documentation, apply the control consistently across all in-scope assets, close remaining coverage gaps, and ensure evidence is collected routinely. Exceptions must be formally managed with named owners and defined expiry dates.</t>
  </si>
  <si>
    <t xml:space="preserve">114|4</t>
  </si>
  <si>
    <t xml:space="preserve">Instrument FedRAMP Compliance (where applicable)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</si>
  <si>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114|5</t>
  </si>
  <si>
    <t xml:space="preserve">Automate and continuously assure FedRAMP Compliance (where applicable):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</si>
  <si>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115|2</t>
  </si>
  <si>
    <t xml:space="preserve">Establish the foundation for Data Residency &amp; Sovereignty Controls: assign a named owner, document the process with clear scope and objectives, and implement basic controls covering the most critical gaps. Focus on achieving consistent, basic coverage before advancing.</t>
  </si>
  <si>
    <t xml:space="preserve">115|3</t>
  </si>
  <si>
    <t xml:space="preserve">Standardise Data Residency &amp; Sovereignty Controls: formalise all documentation, apply the control consistently across all in-scope assets, close remaining coverage gaps, and ensure evidence is collected routinely. Exceptions must be formally managed with named owners and defined expiry dates.</t>
  </si>
  <si>
    <t xml:space="preserve">115|4</t>
  </si>
  <si>
    <t xml:space="preserve">Instrument Data Residency &amp; Sovereignty Controls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</si>
  <si>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115|5</t>
  </si>
  <si>
    <t xml:space="preserve">Automate and continuously assure Data Residency &amp; Sovereignty Controls: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</si>
  <si>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116|2</t>
  </si>
  <si>
    <t xml:space="preserve">Establish the foundation for SaaS Security &amp; CASB: assign a named owner, document the process with clear scope and objectives, and implement basic controls covering the most critical gaps. Focus on achieving consistent, basic coverage before advancing.</t>
  </si>
  <si>
    <t xml:space="preserve">116|3</t>
  </si>
  <si>
    <t xml:space="preserve">Standardise SaaS Security &amp; CASB: formalise all documentation, apply the control consistently across all in-scope assets, close remaining coverage gaps, and ensure evidence is collected routinely. Exceptions must be formally managed with named owners and defined expiry dates.</t>
  </si>
  <si>
    <t xml:space="preserve">116|4</t>
  </si>
  <si>
    <t xml:space="preserve">Instrument SaaS Security &amp; CASB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</si>
  <si>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116|5</t>
  </si>
  <si>
    <t xml:space="preserve">Automate and continuously assure SaaS Security &amp; CASB: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</si>
  <si>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117|2</t>
  </si>
  <si>
    <t xml:space="preserve">Establish the foundation for Cloud Configuration Drift Prevention: assign a named owner, document the process with clear scope and objectives, and implement basic controls covering the most critical gaps. Focus on achieving consistent, basic coverage before advancing.</t>
  </si>
  <si>
    <t xml:space="preserve">117|3</t>
  </si>
  <si>
    <t xml:space="preserve">Standardise Cloud Configuration Drift Prevention: formalise all documentation, apply the control consistently across all in-scope assets, close remaining coverage gaps, and ensure evidence is collected routinely. Exceptions must be formally managed with named owners and defined expiry dates.</t>
  </si>
  <si>
    <t xml:space="preserve">117|4</t>
  </si>
  <si>
    <t xml:space="preserve">Instrument Cloud Configuration Drift Prevention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</si>
  <si>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117|5</t>
  </si>
  <si>
    <t xml:space="preserve">Automate and continuously assure Cloud Configuration Drift Prevention: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</si>
  <si>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118|2</t>
  </si>
  <si>
    <t xml:space="preserve">Establish the foundation for Container Orchestration Security (Kubernetes): assign a named owner, document the process with clear scope and objectives, and implement basic controls covering the most critical gaps. Focus on achieving consistent, basic coverage before advancing.</t>
  </si>
  <si>
    <t xml:space="preserve">118|3</t>
  </si>
  <si>
    <t xml:space="preserve">Standardise Container Orchestration Security (Kubernetes): formalise all documentation, apply the control consistently across all in-scope assets, close remaining coverage gaps, and ensure evidence is collected routinely. Exceptions must be formally managed with named owners and defined expiry dates.</t>
  </si>
  <si>
    <t xml:space="preserve">118|4</t>
  </si>
  <si>
    <t xml:space="preserve">Instrument Container Orchestration Security (Kubernetes)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</si>
  <si>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118|5</t>
  </si>
  <si>
    <t xml:space="preserve">Automate and continuously assure Container Orchestration Security (Kubernetes):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</si>
  <si>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119|2</t>
  </si>
  <si>
    <t xml:space="preserve">Establish the foundation for Cloud Workload Protection Platform (CWPP): assign a named owner, document the process with clear scope and objectives, and implement basic controls covering the most critical gaps. Focus on achieving consistent, basic coverage before advancing.</t>
  </si>
  <si>
    <t xml:space="preserve">119|3</t>
  </si>
  <si>
    <t xml:space="preserve">Standardise Cloud Workload Protection Platform (CWPP): formalise all documentation, apply the control consistently across all in-scope assets, close remaining coverage gaps, and ensure evidence is collected routinely. Exceptions must be formally managed with named owners and defined expiry dates.</t>
  </si>
  <si>
    <t xml:space="preserve">119|4</t>
  </si>
  <si>
    <t xml:space="preserve">Instrument Cloud Workload Protection Platform (CWPP)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</si>
  <si>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119|5</t>
  </si>
  <si>
    <t xml:space="preserve">Automate and continuously assure Cloud Workload Protection Platform (CWPP):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</si>
  <si>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120|2</t>
  </si>
  <si>
    <t xml:space="preserve">Establish the foundation for Prompt Injection Prevention: assign a named owner, document the process with clear scope and objectives, and implement basic controls covering the most critical gaps. Focus on achieving consistent, basic coverage before advancing.</t>
  </si>
  <si>
    <t xml:space="preserve">120|3</t>
  </si>
  <si>
    <t xml:space="preserve">Standardise Prompt Injection Prevention: formalise all documentation, apply the control consistently across all in-scope assets, close remaining coverage gaps, and ensure evidence is collected routinely. Exceptions must be formally managed with named owners and defined expiry dates.</t>
  </si>
  <si>
    <t xml:space="preserve">120|4</t>
  </si>
  <si>
    <t xml:space="preserve">Instrument Prompt Injection Prevention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</si>
  <si>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120|5</t>
  </si>
  <si>
    <t xml:space="preserve">Automate and continuously assure Prompt Injection Prevention: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</si>
  <si>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121|2</t>
  </si>
  <si>
    <t xml:space="preserve">Establish the foundation for AI Model Access Control &amp; RBAC: assign a named owner, document the process with clear scope and objectives, and implement basic controls covering the most critical gaps. Focus on achieving consistent, basic coverage before advancing.</t>
  </si>
  <si>
    <t xml:space="preserve">121|3</t>
  </si>
  <si>
    <t xml:space="preserve">Standardise AI Model Access Control &amp; RBAC: formalise all documentation, apply the control consistently across all in-scope assets, close remaining coverage gaps, and ensure evidence is collected routinely. Exceptions must be formally managed with named owners and defined expiry dates.</t>
  </si>
  <si>
    <t xml:space="preserve">121|4</t>
  </si>
  <si>
    <t xml:space="preserve">Instrument AI Model Access Control &amp; RBAC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</si>
  <si>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121|5</t>
  </si>
  <si>
    <t xml:space="preserve">Automate and continuously assure AI Model Access Control &amp; RBAC: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</si>
  <si>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122|2</t>
  </si>
  <si>
    <t xml:space="preserve">Establish the foundation for AI Output Monitoring &amp; Content Filtering: assign a named owner, document the process with clear scope and objectives, and implement basic controls covering the most critical gaps. Focus on achieving consistent, basic coverage before advancing.</t>
  </si>
  <si>
    <t xml:space="preserve">122|3</t>
  </si>
  <si>
    <t xml:space="preserve">Standardise AI Output Monitoring &amp; Content Filtering: formalise all documentation, apply the control consistently across all in-scope assets, close remaining coverage gaps, and ensure evidence is collected routinely. Exceptions must be formally managed with named owners and defined expiry dates.</t>
  </si>
  <si>
    <t xml:space="preserve">122|4</t>
  </si>
  <si>
    <t xml:space="preserve">Instrument AI Output Monitoring &amp; Content Filtering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</si>
  <si>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122|5</t>
  </si>
  <si>
    <t xml:space="preserve">Automate and continuously assure AI Output Monitoring &amp; Content Filtering: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</si>
  <si>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123|2</t>
  </si>
  <si>
    <t xml:space="preserve">Establish the foundation for Adversarial AI Testing: assign a named owner, document the process with clear scope and objectives, and implement basic controls covering the most critical gaps. Focus on achieving consistent, basic coverage before advancing.</t>
  </si>
  <si>
    <t xml:space="preserve">123|3</t>
  </si>
  <si>
    <t xml:space="preserve">Standardise Adversarial AI Testing: formalise all documentation, apply the control consistently across all in-scope assets, close remaining coverage gaps, and ensure evidence is collected routinely. Exceptions must be formally managed with named owners and defined expiry dates.</t>
  </si>
  <si>
    <t xml:space="preserve">123|4</t>
  </si>
  <si>
    <t xml:space="preserve">Instrument Adversarial AI Testing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</si>
  <si>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123|5</t>
  </si>
  <si>
    <t xml:space="preserve">Automate and continuously assure Adversarial AI Testing: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</si>
  <si>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124|2</t>
  </si>
  <si>
    <t xml:space="preserve">Establish the foundation for Physical Access Control: assign a named owner, document the process with clear scope and objectives, and implement basic controls covering the most critical gaps. Focus on achieving consistent, basic coverage before advancing.</t>
  </si>
  <si>
    <t xml:space="preserve">124|3</t>
  </si>
  <si>
    <t xml:space="preserve">Standardise Physical Access Control: formalise all documentation, apply the control consistently across all in-scope assets, close remaining coverage gaps, and ensure evidence is collected routinely. Exceptions must be formally managed with named owners and defined expiry dates.</t>
  </si>
  <si>
    <t xml:space="preserve">124|4</t>
  </si>
  <si>
    <t xml:space="preserve">Instrument Physical Access Control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</si>
  <si>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124|5</t>
  </si>
  <si>
    <t xml:space="preserve">Automate and continuously assure Physical Access Control: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</si>
  <si>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125|2</t>
  </si>
  <si>
    <t xml:space="preserve">Establish the foundation for Clean Desk &amp; Screen Lock Policy: assign a named owner, document the process with clear scope and objectives, and implement basic controls covering the most critical gaps. Focus on achieving consistent, basic coverage before advancing.</t>
  </si>
  <si>
    <t xml:space="preserve">125|3</t>
  </si>
  <si>
    <t xml:space="preserve">Standardise Clean Desk &amp; Screen Lock Policy: formalise all documentation, apply the control consistently across all in-scope assets, close remaining coverage gaps, and ensure evidence is collected routinely. Exceptions must be formally managed with named owners and defined expiry dates.</t>
  </si>
  <si>
    <t xml:space="preserve">125|4</t>
  </si>
  <si>
    <t xml:space="preserve">Instrument Clean Desk &amp; Screen Lock Policy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</si>
  <si>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125|5</t>
  </si>
  <si>
    <t xml:space="preserve">Automate and continuously assure Clean Desk &amp; Screen Lock Policy: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</si>
  <si>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126|2</t>
  </si>
  <si>
    <t xml:space="preserve">Establish the foundation for Security Awareness Training — Annual: assign a named owner, document the process with clear scope and objectives, and implement basic controls covering the most critical gaps. Focus on achieving consistent, basic coverage before advancing.</t>
  </si>
  <si>
    <t xml:space="preserve">126|3</t>
  </si>
  <si>
    <t xml:space="preserve">Standardise Security Awareness Training — Annual: formalise all documentation, apply the control consistently across all in-scope assets, close remaining coverage gaps, and ensure evidence is collected routinely. Exceptions must be formally managed with named owners and defined expiry dates.</t>
  </si>
  <si>
    <t xml:space="preserve">126|4</t>
  </si>
  <si>
    <t xml:space="preserve">Instrument Security Awareness Training — Annual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</si>
  <si>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126|5</t>
  </si>
  <si>
    <t xml:space="preserve">Automate and continuously assure Security Awareness Training — Annual: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</si>
  <si>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127|2</t>
  </si>
  <si>
    <t xml:space="preserve">Establish the foundation for Role-Specific Security Training: assign a named owner, document the process with clear scope and objectives, and implement basic controls covering the most critical gaps. Focus on achieving consistent, basic coverage before advancing.</t>
  </si>
  <si>
    <t xml:space="preserve">127|3</t>
  </si>
  <si>
    <t xml:space="preserve">Standardise Role-Specific Security Training: formalise all documentation, apply the control consistently across all in-scope assets, close remaining coverage gaps, and ensure evidence is collected routinely. Exceptions must be formally managed with named owners and defined expiry dates.</t>
  </si>
  <si>
    <t xml:space="preserve">127|4</t>
  </si>
  <si>
    <t xml:space="preserve">Instrument Role-Specific Security Training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</si>
  <si>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127|5</t>
  </si>
  <si>
    <t xml:space="preserve">Automate and continuously assure Role-Specific Security Training: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</si>
  <si>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128|2</t>
  </si>
  <si>
    <t xml:space="preserve">Establish the foundation for Phishing Simulation Programme: assign a named owner, document the process with clear scope and objectives, and implement basic controls covering the most critical gaps. Focus on achieving consistent, basic coverage before advancing.</t>
  </si>
  <si>
    <t xml:space="preserve">128|3</t>
  </si>
  <si>
    <t xml:space="preserve">128|4</t>
  </si>
  <si>
    <t xml:space="preserve">Instrument Phishing Simulation Programme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</si>
  <si>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128|5</t>
  </si>
  <si>
    <t xml:space="preserve">Automate and continuously assure Phishing Simulation Programme: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</si>
  <si>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129|2</t>
  </si>
  <si>
    <t xml:space="preserve">Establish the foundation for AI Literacy &amp; Security Training: assign a named owner, document the process with clear scope and objectives, and implement basic controls covering the most critical gaps. Focus on achieving consistent, basic coverage before advancing.</t>
  </si>
  <si>
    <t xml:space="preserve">129|3</t>
  </si>
  <si>
    <t xml:space="preserve">Standardise AI Literacy &amp; Security Training: formalise all documentation, apply the control consistently across all in-scope assets, close remaining coverage gaps, and ensure evidence is collected routinely. Exceptions must be formally managed with named owners and defined expiry dates.</t>
  </si>
  <si>
    <t xml:space="preserve">129|4</t>
  </si>
  <si>
    <t xml:space="preserve">Instrument AI Literacy &amp; Security Training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</si>
  <si>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129|5</t>
  </si>
  <si>
    <t xml:space="preserve">Automate and continuously assure AI Literacy &amp; Security Training: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</si>
  <si>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130|2</t>
  </si>
  <si>
    <t xml:space="preserve">Establish the foundation for Data Subject Rights — Process &amp; Fulfilment: assign a named owner, document the process with clear scope and objectives, and implement basic controls covering the most critical gaps. Focus on achieving consistent, basic coverage before advancing.</t>
  </si>
  <si>
    <t xml:space="preserve">130|3</t>
  </si>
  <si>
    <t xml:space="preserve">Standardise Data Subject Rights — Process &amp; Fulfilment: formalise all documentation, apply the control consistently across all in-scope assets, close remaining coverage gaps, and ensure evidence is collected routinely. Exceptions must be formally managed with named owners and defined expiry dates.</t>
  </si>
  <si>
    <t xml:space="preserve">130|4</t>
  </si>
  <si>
    <t xml:space="preserve">Instrument Data Subject Rights — Process &amp; Fulfilment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</si>
  <si>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130|5</t>
  </si>
  <si>
    <t xml:space="preserve">Automate and continuously assure Data Subject Rights — Process &amp; Fulfilment: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</si>
  <si>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131|2</t>
  </si>
  <si>
    <t xml:space="preserve">Establish the foundation for Personnel Security — Background Screening: assign a named owner, document the process with clear scope and objectives, and implement basic controls covering the most critical gaps. Focus on achieving consistent, basic coverage before advancing.</t>
  </si>
  <si>
    <t xml:space="preserve">131|3</t>
  </si>
  <si>
    <t xml:space="preserve">Standardise Personnel Security — Background Screening: formalise all documentation, apply the control consistently across all in-scope assets, close remaining coverage gaps, and ensure evidence is collected routinely. Exceptions must be formally managed with named owners and defined expiry dates.</t>
  </si>
  <si>
    <t xml:space="preserve">131|4</t>
  </si>
  <si>
    <t xml:space="preserve">Instrument Personnel Security — Background Screening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</si>
  <si>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131|5</t>
  </si>
  <si>
    <t xml:space="preserve">Automate and continuously assure Personnel Security — Background Screening: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</si>
  <si>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132|2</t>
  </si>
  <si>
    <t xml:space="preserve">Establish the foundation for Security by Default — Product Configuration: assign a named owner, document the process with clear scope and objectives, and implement basic controls covering the most critical gaps. Focus on achieving consistent, basic coverage before advancing.</t>
  </si>
  <si>
    <t xml:space="preserve">132|3</t>
  </si>
  <si>
    <t xml:space="preserve">Standardise Security by Default — Product Configuration: formalise all documentation, apply the control consistently across all in-scope assets, close remaining coverage gaps, and ensure evidence is collected routinely. Exceptions must be formally managed with named owners and defined expiry dates.</t>
  </si>
  <si>
    <t xml:space="preserve">132|4</t>
  </si>
  <si>
    <t xml:space="preserve">Instrument Security by Default — Product Configuration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</si>
  <si>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132|5</t>
  </si>
  <si>
    <t xml:space="preserve">Automate and continuously assure Security by Default — Product Configuration: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</si>
  <si>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133|2</t>
  </si>
  <si>
    <t xml:space="preserve">Establish the foundation for NIS2 Supply Chain Security Obligations: assign a named owner, document the process with clear scope and objectives, and implement basic controls covering the most critical gaps. Focus on achieving consistent, basic coverage before advancing.</t>
  </si>
  <si>
    <t xml:space="preserve">133|3</t>
  </si>
  <si>
    <t xml:space="preserve">Standardise NIS2 Supply Chain Security Obligations: formalise all documentation, apply the control consistently across all in-scope assets, close remaining coverage gaps, and ensure evidence is collected routinely. Exceptions must be formally managed with named owners and defined expiry dates.</t>
  </si>
  <si>
    <t xml:space="preserve">133|4</t>
  </si>
  <si>
    <t xml:space="preserve">Instrument NIS2 Supply Chain Security Obligations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</si>
  <si>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133|5</t>
  </si>
  <si>
    <t xml:space="preserve">Automate and continuously assure NIS2 Supply Chain Security Obligations: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</si>
  <si>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134|2</t>
  </si>
  <si>
    <t xml:space="preserve">Establish the foundation for SIEM — Log Ingestion &amp; Coverage: assign a named owner, document the process with clear scope and objectives, and implement basic controls covering the most critical gaps. Focus on achieving consistent, basic coverage before advancing.</t>
  </si>
  <si>
    <t xml:space="preserve">134|3</t>
  </si>
  <si>
    <t xml:space="preserve">Standardise SIEM — Log Ingestion &amp; Coverage: formalise all documentation, apply the control consistently across all in-scope assets, close remaining coverage gaps, and ensure evidence is collected routinely. Exceptions must be formally managed with named owners and defined expiry dates.</t>
  </si>
  <si>
    <t xml:space="preserve">134|4</t>
  </si>
  <si>
    <t xml:space="preserve">Instrument SIEM — Log Ingestion &amp; Coverage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</si>
  <si>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134|5</t>
  </si>
  <si>
    <t xml:space="preserve">Automate and continuously assure SIEM — Log Ingestion &amp; Coverage: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</si>
  <si>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135|2</t>
  </si>
  <si>
    <t xml:space="preserve">Establish the foundation for SIEM — Use Case Library &amp; Threat Coverage: assign a named owner, document the process with clear scope and objectives, and implement basic controls covering the most critical gaps. Focus on achieving consistent, basic coverage before advancing.</t>
  </si>
  <si>
    <t xml:space="preserve">135|3</t>
  </si>
  <si>
    <t xml:space="preserve">Standardise SIEM — Use Case Library &amp; Threat Coverage: formalise all documentation, apply the control consistently across all in-scope assets, close remaining coverage gaps, and ensure evidence is collected routinely. Exceptions must be formally managed with named owners and defined expiry dates.</t>
  </si>
  <si>
    <t xml:space="preserve">135|4</t>
  </si>
  <si>
    <t xml:space="preserve">Instrument SIEM — Use Case Library &amp; Threat Coverage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</si>
  <si>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135|5</t>
  </si>
  <si>
    <t xml:space="preserve">Automate and continuously assure SIEM — Use Case Library &amp; Threat Coverage: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</si>
  <si>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136|2</t>
  </si>
  <si>
    <t xml:space="preserve">Establish the foundation for SIEM — Log Integrity &amp; Tamper Protection: assign a named owner, document the process with clear scope and objectives, and implement basic controls covering the most critical gaps. Focus on achieving consistent, basic coverage before advancing.</t>
  </si>
  <si>
    <t xml:space="preserve">136|3</t>
  </si>
  <si>
    <t xml:space="preserve">Standardise SIEM — Log Integrity &amp; Tamper Protection: formalise all documentation, apply the control consistently across all in-scope assets, close remaining coverage gaps, and ensure evidence is collected routinely. Exceptions must be formally managed with named owners and defined expiry dates.</t>
  </si>
  <si>
    <t xml:space="preserve">136|4</t>
  </si>
  <si>
    <t xml:space="preserve">Instrument SIEM — Log Integrity &amp; Tamper Protection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</si>
  <si>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136|5</t>
  </si>
  <si>
    <t xml:space="preserve">Automate and continuously assure SIEM — Log Integrity &amp; Tamper Protection: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</si>
  <si>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137|2</t>
  </si>
  <si>
    <t xml:space="preserve">Establish the foundation for SIEM — Compliance Monitoring Use Cases: assign a named owner, document the process with clear scope and objectives, and implement basic controls covering the most critical gaps. Focus on achieving consistent, basic coverage before advancing.</t>
  </si>
  <si>
    <t xml:space="preserve">137|3</t>
  </si>
  <si>
    <t xml:space="preserve">Standardise SIEM — Compliance Monitoring Use Cases: formalise all documentation, apply the control consistently across all in-scope assets, close remaining coverage gaps, and ensure evidence is collected routinely. Exceptions must be formally managed with named owners and defined expiry dates.</t>
  </si>
  <si>
    <t xml:space="preserve">137|4</t>
  </si>
  <si>
    <t xml:space="preserve">Instrument SIEM — Compliance Monitoring Use Cases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</si>
  <si>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137|5</t>
  </si>
  <si>
    <t xml:space="preserve">Automate and continuously assure SIEM — Compliance Monitoring Use Cases: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</si>
  <si>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138|2</t>
  </si>
  <si>
    <t xml:space="preserve">Establish the foundation for Log Retention &amp; Archival Management: assign a named owner, document the process with clear scope and objectives, and implement basic controls covering the most critical gaps. Focus on achieving consistent, basic coverage before advancing.</t>
  </si>
  <si>
    <t xml:space="preserve">138|3</t>
  </si>
  <si>
    <t xml:space="preserve">Standardise Log Retention &amp; Archival Management: formalise all documentation, apply the control consistently across all in-scope assets, close remaining coverage gaps, and ensure evidence is collected routinely. Exceptions must be formally managed with named owners and defined expiry dates.</t>
  </si>
  <si>
    <t xml:space="preserve">138|4</t>
  </si>
  <si>
    <t xml:space="preserve">Instrument Log Retention &amp; Archival Management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</si>
  <si>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138|5</t>
  </si>
  <si>
    <t xml:space="preserve">Automate and continuously assure Log Retention &amp; Archival Management: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</si>
  <si>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139|2</t>
  </si>
  <si>
    <t xml:space="preserve">Establish the foundation for Telemetry Coverage Management: assign a named owner, document the process with clear scope and objectives, and implement basic controls covering the most critical gaps. Focus on achieving consistent, basic coverage before advancing.</t>
  </si>
  <si>
    <t xml:space="preserve">139|3</t>
  </si>
  <si>
    <t xml:space="preserve">Standardise Telemetry Coverage Management: formalise all documentation, apply the control consistently across all in-scope assets, close remaining coverage gaps, and ensure evidence is collected routinely. Exceptions must be formally managed with named owners and defined expiry dates.</t>
  </si>
  <si>
    <t xml:space="preserve">139|4</t>
  </si>
  <si>
    <t xml:space="preserve">Instrument Telemetry Coverage Management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</si>
  <si>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139|5</t>
  </si>
  <si>
    <t xml:space="preserve">Automate and continuously assure Telemetry Coverage Management: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</si>
  <si>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140|2</t>
  </si>
  <si>
    <t xml:space="preserve">Establish the foundation for Detection Health Monitoring: assign a named owner, document the process with clear scope and objectives, and implement basic controls covering the most critical gaps. Focus on achieving consistent, basic coverage before advancing.</t>
  </si>
  <si>
    <t xml:space="preserve">140|3</t>
  </si>
  <si>
    <t xml:space="preserve">Standardise Detection Health Monitoring: formalise all documentation, apply the control consistently across all in-scope assets, close remaining coverage gaps, and ensure evidence is collected routinely. Exceptions must be formally managed with named owners and defined expiry dates.</t>
  </si>
  <si>
    <t xml:space="preserve">140|4</t>
  </si>
  <si>
    <t xml:space="preserve">Instrument Detection Health Monitoring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</si>
  <si>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140|5</t>
  </si>
  <si>
    <t xml:space="preserve">Automate and continuously assure Detection Health Monitoring: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</si>
  <si>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141|2</t>
  </si>
  <si>
    <t xml:space="preserve">Establish the foundation for SOC Operations — Triage &amp; Investigation: assign a named owner, document the process with clear scope and objectives, and implement basic controls covering the most critical gaps. Focus on achieving consistent, basic coverage before advancing.</t>
  </si>
  <si>
    <t xml:space="preserve">141|3</t>
  </si>
  <si>
    <t xml:space="preserve">Standardise SOC Operations — Triage &amp; Investigation: formalise all documentation, apply the control consistently across all in-scope assets, close remaining coverage gaps, and ensure evidence is collected routinely. Exceptions must be formally managed with named owners and defined expiry dates.</t>
  </si>
  <si>
    <t xml:space="preserve">141|4</t>
  </si>
  <si>
    <t xml:space="preserve">Instrument SOC Operations — Triage &amp; Investigation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</si>
  <si>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141|5</t>
  </si>
  <si>
    <t xml:space="preserve">Automate and continuously assure SOC Operations — Triage &amp; Investigation: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</si>
  <si>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142|2</t>
  </si>
  <si>
    <t xml:space="preserve">Establish the foundation for NIS2 Significant Incident Classification: assign a named owner, document the process with clear scope and objectives, and implement basic controls covering the most critical gaps. Focus on achieving consistent, basic coverage before advancing.</t>
  </si>
  <si>
    <t xml:space="preserve">142|3</t>
  </si>
  <si>
    <t xml:space="preserve">Standardise NIS2 Significant Incident Classification: formalise all documentation, apply the control consistently across all in-scope assets, close remaining coverage gaps, and ensure evidence is collected routinely. Exceptions must be formally managed with named owners and defined expiry dates.</t>
  </si>
  <si>
    <t xml:space="preserve">142|4</t>
  </si>
  <si>
    <t xml:space="preserve">Instrument NIS2 Significant Incident Classification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</si>
  <si>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142|5</t>
  </si>
  <si>
    <t xml:space="preserve">Automate and continuously assure NIS2 Significant Incident Classification: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</si>
  <si>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143|2</t>
  </si>
  <si>
    <t xml:space="preserve">Establish the foundation for DORA Major Incident Classification: assign a named owner, document the process with clear scope and objectives, and implement basic controls covering the most critical gaps. Focus on achieving consistent, basic coverage before advancing.</t>
  </si>
  <si>
    <t xml:space="preserve">143|3</t>
  </si>
  <si>
    <t xml:space="preserve">Standardise DORA Major Incident Classification: formalise all documentation, apply the control consistently across all in-scope assets, close remaining coverage gaps, and ensure evidence is collected routinely. Exceptions must be formally managed with named owners and defined expiry dates.</t>
  </si>
  <si>
    <t xml:space="preserve">143|4</t>
  </si>
  <si>
    <t xml:space="preserve">Instrument DORA Major Incident Classification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</si>
  <si>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143|5</t>
  </si>
  <si>
    <t xml:space="preserve">Automate and continuously assure DORA Major Incident Classification: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</si>
  <si>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144|2</t>
  </si>
  <si>
    <t xml:space="preserve">Establish the foundation for Threat Intelligence Integration: assign a named owner, document the process with clear scope and objectives, and implement basic controls covering the most critical gaps. Focus on achieving consistent, basic coverage before advancing.</t>
  </si>
  <si>
    <t xml:space="preserve">144|3</t>
  </si>
  <si>
    <t xml:space="preserve">Standardise Threat Intelligence Integration: formalise all documentation, apply the control consistently across all in-scope assets, close remaining coverage gaps, and ensure evidence is collected routinely. Exceptions must be formally managed with named owners and defined expiry dates.</t>
  </si>
  <si>
    <t xml:space="preserve">144|4</t>
  </si>
  <si>
    <t xml:space="preserve">Instrument Threat Intelligence Integration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</si>
  <si>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144|5</t>
  </si>
  <si>
    <t xml:space="preserve">Automate and continuously assure Threat Intelligence Integration: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</si>
  <si>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145|2</t>
  </si>
  <si>
    <t xml:space="preserve">Establish the foundation for User &amp; Entity Behaviour Analytics (UEBA): assign a named owner, document the process with clear scope and objectives, and implement basic controls covering the most critical gaps. Focus on achieving consistent, basic coverage before advancing.</t>
  </si>
  <si>
    <t xml:space="preserve">145|3</t>
  </si>
  <si>
    <t xml:space="preserve">Standardise User &amp; Entity Behaviour Analytics (UEBA): formalise all documentation, apply the control consistently across all in-scope assets, close remaining coverage gaps, and ensure evidence is collected routinely. Exceptions must be formally managed with named owners and defined expiry dates.</t>
  </si>
  <si>
    <t xml:space="preserve">145|4</t>
  </si>
  <si>
    <t xml:space="preserve">Instrument User &amp; Entity Behaviour Analytics (UEBA)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</si>
  <si>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145|5</t>
  </si>
  <si>
    <t xml:space="preserve">Automate and continuously assure User &amp; Entity Behaviour Analytics (UEBA):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</si>
  <si>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146|2</t>
  </si>
  <si>
    <t xml:space="preserve">Establish the foundation for Network Detection &amp; Response (NDR): assign a named owner, document the process with clear scope and objectives, and implement basic controls covering the most critical gaps. Focus on achieving consistent, basic coverage before advancing.</t>
  </si>
  <si>
    <t xml:space="preserve">146|3</t>
  </si>
  <si>
    <t xml:space="preserve">Standardise Network Detection &amp; Response (NDR): formalise all documentation, apply the control consistently across all in-scope assets, close remaining coverage gaps, and ensure evidence is collected routinely. Exceptions must be formally managed with named owners and defined expiry dates.</t>
  </si>
  <si>
    <t xml:space="preserve">146|4</t>
  </si>
  <si>
    <t xml:space="preserve">Instrument Network Detection &amp; Response (NDR)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</si>
  <si>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146|5</t>
  </si>
  <si>
    <t xml:space="preserve">Automate and continuously assure Network Detection &amp; Response (NDR):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</si>
  <si>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147|2</t>
  </si>
  <si>
    <t xml:space="preserve">Establish the foundation for Cloud Detection &amp; Response: assign a named owner, document the process with clear scope and objectives, and implement basic controls covering the most critical gaps. Focus on achieving consistent, basic coverage before advancing.</t>
  </si>
  <si>
    <t xml:space="preserve">147|3</t>
  </si>
  <si>
    <t xml:space="preserve">Standardise Cloud Detection &amp; Response: formalise all documentation, apply the control consistently across all in-scope assets, close remaining coverage gaps, and ensure evidence is collected routinely. Exceptions must be formally managed with named owners and defined expiry dates.</t>
  </si>
  <si>
    <t xml:space="preserve">147|4</t>
  </si>
  <si>
    <t xml:space="preserve">Instrument Cloud Detection &amp; Response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</si>
  <si>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147|5</t>
  </si>
  <si>
    <t xml:space="preserve">Automate and continuously assure Cloud Detection &amp; Response: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</si>
  <si>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148|2</t>
  </si>
  <si>
    <t xml:space="preserve">Establish the foundation for Privacy Event Detection: assign a named owner, document the process with clear scope and objectives, and implement basic controls covering the most critical gaps. Focus on achieving consistent, basic coverage before advancing.</t>
  </si>
  <si>
    <t xml:space="preserve">148|3</t>
  </si>
  <si>
    <t xml:space="preserve">Standardise Privacy Event Detection: formalise all documentation, apply the control consistently across all in-scope assets, close remaining coverage gaps, and ensure evidence is collected routinely. Exceptions must be formally managed with named owners and defined expiry dates.</t>
  </si>
  <si>
    <t xml:space="preserve">148|4</t>
  </si>
  <si>
    <t xml:space="preserve">Instrument Privacy Event Detection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</si>
  <si>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148|5</t>
  </si>
  <si>
    <t xml:space="preserve">Automate and continuously assure Privacy Event Detection: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</si>
  <si>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149|2</t>
  </si>
  <si>
    <t xml:space="preserve">Establish the foundation for SOX Financial System Monitoring: assign a named owner, document the process with clear scope and objectives, and implement basic controls covering the most critical gaps. Focus on achieving consistent, basic coverage before advancing.</t>
  </si>
  <si>
    <t xml:space="preserve">149|3</t>
  </si>
  <si>
    <t xml:space="preserve">Standardise SOX Financial System Monitoring: formalise all documentation, apply the control consistently across all in-scope assets, close remaining coverage gaps, and ensure evidence is collected routinely. Exceptions must be formally managed with named owners and defined expiry dates.</t>
  </si>
  <si>
    <t xml:space="preserve">149|4</t>
  </si>
  <si>
    <t xml:space="preserve">Instrument SOX Financial System Monitoring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</si>
  <si>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149|5</t>
  </si>
  <si>
    <t xml:space="preserve">Automate and continuously assure SOX Financial System Monitoring: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</si>
  <si>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150|2</t>
  </si>
  <si>
    <t xml:space="preserve">Establish the foundation for Dark Web &amp; Exposure Monitoring: assign a named owner, document the process with clear scope and objectives, and implement basic controls covering the most critical gaps. Focus on achieving consistent, basic coverage before advancing.</t>
  </si>
  <si>
    <t xml:space="preserve">150|3</t>
  </si>
  <si>
    <t xml:space="preserve">Standardise Dark Web &amp; Exposure Monitoring: formalise all documentation, apply the control consistently across all in-scope assets, close remaining coverage gaps, and ensure evidence is collected routinely. Exceptions must be formally managed with named owners and defined expiry dates.</t>
  </si>
  <si>
    <t xml:space="preserve">150|4</t>
  </si>
  <si>
    <t xml:space="preserve">Instrument Dark Web &amp; Exposure Monitoring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</si>
  <si>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150|5</t>
  </si>
  <si>
    <t xml:space="preserve">Automate and continuously assure Dark Web &amp; Exposure Monitoring: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</si>
  <si>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151|2</t>
  </si>
  <si>
    <t xml:space="preserve">Establish the foundation for AI-Specific Threat Detection: assign a named owner, document the process with clear scope and objectives, and implement basic controls covering the most critical gaps. Focus on achieving consistent, basic coverage before advancing.</t>
  </si>
  <si>
    <t xml:space="preserve">151|3</t>
  </si>
  <si>
    <t xml:space="preserve">Standardise AI-Specific Threat Detection: formalise all documentation, apply the control consistently across all in-scope assets, close remaining coverage gaps, and ensure evidence is collected routinely. Exceptions must be formally managed with named owners and defined expiry dates.</t>
  </si>
  <si>
    <t xml:space="preserve">151|4</t>
  </si>
  <si>
    <t xml:space="preserve">Instrument AI-Specific Threat Detection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</si>
  <si>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151|5</t>
  </si>
  <si>
    <t xml:space="preserve">Automate and continuously assure AI-Specific Threat Detection: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</si>
  <si>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152|2</t>
  </si>
  <si>
    <t xml:space="preserve">Establish the foundation for Detection Validation — Purple Team Exercises: assign a named owner, document the process with clear scope and objectives, and implement basic controls covering the most critical gaps. Focus on achieving consistent, basic coverage before advancing.</t>
  </si>
  <si>
    <t xml:space="preserve">152|3</t>
  </si>
  <si>
    <t xml:space="preserve">Standardise Detection Validation — Purple Team Exercises: formalise all documentation, apply the control consistently across all in-scope assets, close remaining coverage gaps, and ensure evidence is collected routinely. Exceptions must be formally managed with named owners and defined expiry dates.</t>
  </si>
  <si>
    <t xml:space="preserve">152|4</t>
  </si>
  <si>
    <t xml:space="preserve">Instrument Detection Validation — Purple Team Exercises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</si>
  <si>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152|5</t>
  </si>
  <si>
    <t xml:space="preserve">Automate and continuously assure Detection Validation — Purple Team Exercises: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</si>
  <si>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153|2</t>
  </si>
  <si>
    <t xml:space="preserve">Establish the foundation for Security Metrics &amp; KPIs — Detection Domain: assign a named owner, document the process with clear scope and objectives, and implement basic controls covering the most critical gaps. Focus on achieving consistent, basic coverage before advancing.</t>
  </si>
  <si>
    <t xml:space="preserve">153|3</t>
  </si>
  <si>
    <t xml:space="preserve">Standardise Security Metrics &amp; KPIs — Detection Domain: formalise all documentation, apply the control consistently across all in-scope assets, close remaining coverage gaps, and ensure evidence is collected routinely. Exceptions must be formally managed with named owners and defined expiry dates.</t>
  </si>
  <si>
    <t xml:space="preserve">153|4</t>
  </si>
  <si>
    <t xml:space="preserve">Instrument Security Metrics &amp; KPIs — Detection Domain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</si>
  <si>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153|5</t>
  </si>
  <si>
    <t xml:space="preserve">Automate and continuously assure Security Metrics &amp; KPIs — Detection Domain: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</si>
  <si>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154|2</t>
  </si>
  <si>
    <t xml:space="preserve">Establish the foundation for Security Dashboard &amp; Visibility: assign a named owner, document the process with clear scope and objectives, and implement basic controls covering the most critical gaps. Focus on achieving consistent, basic coverage before advancing.</t>
  </si>
  <si>
    <t xml:space="preserve">154|3</t>
  </si>
  <si>
    <t xml:space="preserve">Standardise Security Dashboard &amp; Visibility: formalise all documentation, apply the control consistently across all in-scope assets, close remaining coverage gaps, and ensure evidence is collected routinely. Exceptions must be formally managed with named owners and defined expiry dates.</t>
  </si>
  <si>
    <t xml:space="preserve">154|4</t>
  </si>
  <si>
    <t xml:space="preserve">Instrument Security Dashboard &amp; Visibility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</si>
  <si>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154|5</t>
  </si>
  <si>
    <t xml:space="preserve">Automate and continuously assure Security Dashboard &amp; Visibility: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</si>
  <si>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155|2</t>
  </si>
  <si>
    <t xml:space="preserve">Establish the foundation for Vulnerability Scanner Integration: assign a named owner, document the process with clear scope and objectives, and implement basic controls covering the most critical gaps. Focus on achieving consistent, basic coverage before advancing.</t>
  </si>
  <si>
    <t xml:space="preserve">155|3</t>
  </si>
  <si>
    <t xml:space="preserve">Standardise Vulnerability Scanner Integration: formalise all documentation, apply the control consistently across all in-scope assets, close remaining coverage gaps, and ensure evidence is collected routinely. Exceptions must be formally managed with named owners and defined expiry dates.</t>
  </si>
  <si>
    <t xml:space="preserve">155|4</t>
  </si>
  <si>
    <t xml:space="preserve">Instrument Vulnerability Scanner Integration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</si>
  <si>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155|5</t>
  </si>
  <si>
    <t xml:space="preserve">Automate and continuously assure Vulnerability Scanner Integration: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</si>
  <si>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156|2</t>
  </si>
  <si>
    <t xml:space="preserve">Establish the foundation for Incident Response Plan (IRP): assign a named owner, document the process with clear scope and objectives, and implement basic controls covering the most critical gaps. Focus on achieving consistent, basic coverage before advancing.</t>
  </si>
  <si>
    <t xml:space="preserve">156|3</t>
  </si>
  <si>
    <t xml:space="preserve">Standardise Incident Response Plan (IRP): formalise all documentation, apply the control consistently across all in-scope assets, close remaining coverage gaps, and ensure evidence is collected routinely. Exceptions must be formally managed with named owners and defined expiry dates.</t>
  </si>
  <si>
    <t xml:space="preserve">156|4</t>
  </si>
  <si>
    <t xml:space="preserve">Instrument Incident Response Plan (IRP)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</si>
  <si>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156|5</t>
  </si>
  <si>
    <t xml:space="preserve">Automate and continuously assure Incident Response Plan (IRP):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</si>
  <si>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157|2</t>
  </si>
  <si>
    <t xml:space="preserve">Establish the foundation for Evidence Preservation &amp; Chain of Custody: assign a named owner, document the process with clear scope and objectives, and implement basic controls covering the most critical gaps. Focus on achieving consistent, basic coverage before advancing.</t>
  </si>
  <si>
    <t xml:space="preserve">157|3</t>
  </si>
  <si>
    <t xml:space="preserve">Standardise Evidence Preservation &amp; Chain of Custody: formalise all documentation, apply the control consistently across all in-scope assets, close remaining coverage gaps, and ensure evidence is collected routinely. Exceptions must be formally managed with named owners and defined expiry dates.</t>
  </si>
  <si>
    <t xml:space="preserve">157|4</t>
  </si>
  <si>
    <t xml:space="preserve">Instrument Evidence Preservation &amp; Chain of Custody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</si>
  <si>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157|5</t>
  </si>
  <si>
    <t xml:space="preserve">Automate and continuously assure Evidence Preservation &amp; Chain of Custody: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</si>
  <si>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158|2</t>
  </si>
  <si>
    <t xml:space="preserve">Establish the foundation for Third-Party Incident Coordination: assign a named owner, document the process with clear scope and objectives, and implement basic controls covering the most critical gaps. Focus on achieving consistent, basic coverage before advancing.</t>
  </si>
  <si>
    <t xml:space="preserve">158|3</t>
  </si>
  <si>
    <t xml:space="preserve">Standardise Third-Party Incident Coordination: formalise all documentation, apply the control consistently across all in-scope assets, close remaining coverage gaps, and ensure evidence is collected routinely. Exceptions must be formally managed with named owners and defined expiry dates.</t>
  </si>
  <si>
    <t xml:space="preserve">158|4</t>
  </si>
  <si>
    <t xml:space="preserve">Instrument Third-Party Incident Coordination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</si>
  <si>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158|5</t>
  </si>
  <si>
    <t xml:space="preserve">Automate and continuously assure Third-Party Incident Coordination: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</si>
  <si>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159|2</t>
  </si>
  <si>
    <t xml:space="preserve">Establish the foundation for Cyber Insurance Engagement &amp; Claim Management: assign a named owner, document the process with clear scope and objectives, and implement basic controls covering the most critical gaps. Focus on achieving consistent, basic coverage before advancing.</t>
  </si>
  <si>
    <t xml:space="preserve">159|3</t>
  </si>
  <si>
    <t xml:space="preserve">Standardise Cyber Insurance Engagement &amp; Claim Management: formalise all documentation, apply the control consistently across all in-scope assets, close remaining coverage gaps, and ensure evidence is collected routinely. Exceptions must be formally managed with named owners and defined expiry dates.</t>
  </si>
  <si>
    <t xml:space="preserve">159|4</t>
  </si>
  <si>
    <t xml:space="preserve">Instrument Cyber Insurance Engagement &amp; Claim Management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</si>
  <si>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159|5</t>
  </si>
  <si>
    <t xml:space="preserve">Automate and continuously assure Cyber Insurance Engagement &amp; Claim Management: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</si>
  <si>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160|2</t>
  </si>
  <si>
    <t xml:space="preserve">Establish the foundation for Incident Playbooks — Ransomware: assign a named owner, document the process with clear scope and objectives, and implement basic controls covering the most critical gaps. Focus on achieving consistent, basic coverage before advancing.</t>
  </si>
  <si>
    <t xml:space="preserve">160|3</t>
  </si>
  <si>
    <t xml:space="preserve">Standardise Incident Playbooks — Ransomware: formalise all documentation, apply the control consistently across all in-scope assets, close remaining coverage gaps, and ensure evidence is collected routinely. Exceptions must be formally managed with named owners and defined expiry dates.</t>
  </si>
  <si>
    <t xml:space="preserve">160|4</t>
  </si>
  <si>
    <t xml:space="preserve">Instrument Incident Playbooks — Ransomware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</si>
  <si>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160|5</t>
  </si>
  <si>
    <t xml:space="preserve">Automate and continuously assure Incident Playbooks — Ransomware: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</si>
  <si>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161|2</t>
  </si>
  <si>
    <t xml:space="preserve">Establish the foundation for Incident Playbooks — Data Breach: assign a named owner, document the process with clear scope and objectives, and implement basic controls covering the most critical gaps. Focus on achieving consistent, basic coverage before advancing.</t>
  </si>
  <si>
    <t xml:space="preserve">161|3</t>
  </si>
  <si>
    <t xml:space="preserve">Standardise Incident Playbooks — Data Breach: formalise all documentation, apply the control consistently across all in-scope assets, close remaining coverage gaps, and ensure evidence is collected routinely. Exceptions must be formally managed with named owners and defined expiry dates.</t>
  </si>
  <si>
    <t xml:space="preserve">161|4</t>
  </si>
  <si>
    <t xml:space="preserve">Instrument Incident Playbooks — Data Breach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</si>
  <si>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161|5</t>
  </si>
  <si>
    <t xml:space="preserve">Automate and continuously assure Incident Playbooks — Data Breach: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</si>
  <si>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162|2</t>
  </si>
  <si>
    <t xml:space="preserve">Establish the foundation for Incident Playbooks — Business Email Compromise: assign a named owner, document the process with clear scope and objectives, and implement basic controls covering the most critical gaps. Focus on achieving consistent, basic coverage before advancing.</t>
  </si>
  <si>
    <t xml:space="preserve">162|3</t>
  </si>
  <si>
    <t xml:space="preserve">Standardise Incident Playbooks — Business Email Compromise: formalise all documentation, apply the control consistently across all in-scope assets, close remaining coverage gaps, and ensure evidence is collected routinely. Exceptions must be formally managed with named owners and defined expiry dates.</t>
  </si>
  <si>
    <t xml:space="preserve">162|4</t>
  </si>
  <si>
    <t xml:space="preserve">Instrument Incident Playbooks — Business Email Compromise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</si>
  <si>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162|5</t>
  </si>
  <si>
    <t xml:space="preserve">Automate and continuously assure Incident Playbooks — Business Email Compromise: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</si>
  <si>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163|2</t>
  </si>
  <si>
    <t xml:space="preserve">Establish the foundation for Incident Playbooks — Cloud Security Incident: assign a named owner, document the process with clear scope and objectives, and implement basic controls covering the most critical gaps. Focus on achieving consistent, basic coverage before advancing.</t>
  </si>
  <si>
    <t xml:space="preserve">163|3</t>
  </si>
  <si>
    <t xml:space="preserve">Standardise Incident Playbooks — Cloud Security Incident: formalise all documentation, apply the control consistently across all in-scope assets, close remaining coverage gaps, and ensure evidence is collected routinely. Exceptions must be formally managed with named owners and defined expiry dates.</t>
  </si>
  <si>
    <t xml:space="preserve">163|4</t>
  </si>
  <si>
    <t xml:space="preserve">Instrument Incident Playbooks — Cloud Security Incident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</si>
  <si>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163|5</t>
  </si>
  <si>
    <t xml:space="preserve">Automate and continuously assure Incident Playbooks — Cloud Security Incident: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</si>
  <si>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164|2</t>
  </si>
  <si>
    <t xml:space="preserve">Establish the foundation for NIS2 Three-Stage Notification Process: assign a named owner, document the process with clear scope and objectives, and implement basic controls covering the most critical gaps. Focus on achieving consistent, basic coverage before advancing.</t>
  </si>
  <si>
    <t xml:space="preserve">164|3</t>
  </si>
  <si>
    <t xml:space="preserve">Standardise NIS2 Three-Stage Notification Process: formalise all documentation, apply the control consistently across all in-scope assets, close remaining coverage gaps, and ensure evidence is collected routinely. Exceptions must be formally managed with named owners and defined expiry dates.</t>
  </si>
  <si>
    <t xml:space="preserve">164|4</t>
  </si>
  <si>
    <t xml:space="preserve">Instrument NIS2 Three-Stage Notification Process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</si>
  <si>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164|5</t>
  </si>
  <si>
    <t xml:space="preserve">Automate and continuously assure NIS2 Three-Stage Notification Process: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</si>
  <si>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165|2</t>
  </si>
  <si>
    <t xml:space="preserve">Establish the foundation for DORA Major Incident Reporting Process: assign a named owner, document the process with clear scope and objectives, and implement basic controls covering the most critical gaps. Focus on achieving consistent, basic coverage before advancing.</t>
  </si>
  <si>
    <t xml:space="preserve">165|3</t>
  </si>
  <si>
    <t xml:space="preserve">Standardise DORA Major Incident Reporting Process: formalise all documentation, apply the control consistently across all in-scope assets, close remaining coverage gaps, and ensure evidence is collected routinely. Exceptions must be formally managed with named owners and defined expiry dates.</t>
  </si>
  <si>
    <t xml:space="preserve">165|4</t>
  </si>
  <si>
    <t xml:space="preserve">Instrument DORA Major Incident Reporting Process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</si>
  <si>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165|5</t>
  </si>
  <si>
    <t xml:space="preserve">Automate and continuously assure DORA Major Incident Reporting Process: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</si>
  <si>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166|2</t>
  </si>
  <si>
    <t xml:space="preserve">Establish the foundation for GDPR Breach Notification Process: assign a named owner, document the process with clear scope and objectives, and implement basic controls covering the most critical gaps. Focus on achieving consistent, basic coverage before advancing.</t>
  </si>
  <si>
    <t xml:space="preserve">166|3</t>
  </si>
  <si>
    <t xml:space="preserve">Standardise GDPR Breach Notification Process: formalise all documentation, apply the control consistently across all in-scope assets, close remaining coverage gaps, and ensure evidence is collected routinely. Exceptions must be formally managed with named owners and defined expiry dates.</t>
  </si>
  <si>
    <t xml:space="preserve">166|4</t>
  </si>
  <si>
    <t xml:space="preserve">Instrument GDPR Breach Notification Process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</si>
  <si>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166|5</t>
  </si>
  <si>
    <t xml:space="preserve">Automate and continuously assure GDPR Breach Notification Process: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</si>
  <si>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167|2</t>
  </si>
  <si>
    <t xml:space="preserve">Establish the foundation for Breach Materiality &amp; Regulatory Decision Tree: assign a named owner, document the process with clear scope and objectives, and implement basic controls covering the most critical gaps. Focus on achieving consistent, basic coverage before advancing.</t>
  </si>
  <si>
    <t xml:space="preserve">167|3</t>
  </si>
  <si>
    <t xml:space="preserve">Standardise Breach Materiality &amp; Regulatory Decision Tree: formalise all documentation, apply the control consistently across all in-scope assets, close remaining coverage gaps, and ensure evidence is collected routinely. Exceptions must be formally managed with named owners and defined expiry dates.</t>
  </si>
  <si>
    <t xml:space="preserve">167|4</t>
  </si>
  <si>
    <t xml:space="preserve">Instrument Breach Materiality &amp; Regulatory Decision Tree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</si>
  <si>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167|5</t>
  </si>
  <si>
    <t xml:space="preserve">Automate and continuously assure Breach Materiality &amp; Regulatory Decision Tree: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</si>
  <si>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168|2</t>
  </si>
  <si>
    <t xml:space="preserve">Establish the foundation for Tabletop Exercises — Technical: assign a named owner, document the process with clear scope and objectives, and implement basic controls covering the most critical gaps. Focus on achieving consistent, basic coverage before advancing.</t>
  </si>
  <si>
    <t xml:space="preserve">168|3</t>
  </si>
  <si>
    <t xml:space="preserve">Standardise Tabletop Exercises — Technical: formalise all documentation, apply the control consistently across all in-scope assets, close remaining coverage gaps, and ensure evidence is collected routinely. Exceptions must be formally managed with named owners and defined expiry dates.</t>
  </si>
  <si>
    <t xml:space="preserve">168|4</t>
  </si>
  <si>
    <t xml:space="preserve">Instrument Tabletop Exercises — Technical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</si>
  <si>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168|5</t>
  </si>
  <si>
    <t xml:space="preserve">Automate and continuously assure Tabletop Exercises — Technical: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</si>
  <si>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169|2</t>
  </si>
  <si>
    <t xml:space="preserve">Establish the foundation for Tabletop Exercises — Executive: assign a named owner, document the process with clear scope and objectives, and implement basic controls covering the most critical gaps. Focus on achieving consistent, basic coverage before advancing.</t>
  </si>
  <si>
    <t xml:space="preserve">169|3</t>
  </si>
  <si>
    <t xml:space="preserve">Standardise Tabletop Exercises — Executive: formalise all documentation, apply the control consistently across all in-scope assets, close remaining coverage gaps, and ensure evidence is collected routinely. Exceptions must be formally managed with named owners and defined expiry dates.</t>
  </si>
  <si>
    <t xml:space="preserve">169|4</t>
  </si>
  <si>
    <t xml:space="preserve">Instrument Tabletop Exercises — Executive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</si>
  <si>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169|5</t>
  </si>
  <si>
    <t xml:space="preserve">Automate and continuously assure Tabletop Exercises — Executive: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</si>
  <si>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170|2</t>
  </si>
  <si>
    <t xml:space="preserve">Establish the foundation for Post-Incident Review &amp; Lessons Learned: assign a named owner, document the process with clear scope and objectives, and implement basic controls covering the most critical gaps. Focus on achieving consistent, basic coverage before advancing.</t>
  </si>
  <si>
    <t xml:space="preserve">170|3</t>
  </si>
  <si>
    <t xml:space="preserve">Standardise Post-Incident Review &amp; Lessons Learned: formalise all documentation, apply the control consistently across all in-scope assets, close remaining coverage gaps, and ensure evidence is collected routinely. Exceptions must be formally managed with named owners and defined expiry dates.</t>
  </si>
  <si>
    <t xml:space="preserve">170|4</t>
  </si>
  <si>
    <t xml:space="preserve">Instrument Post-Incident Review &amp; Lessons Learned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</si>
  <si>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170|5</t>
  </si>
  <si>
    <t xml:space="preserve">Automate and continuously assure Post-Incident Review &amp; Lessons Learned: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</si>
  <si>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171|2</t>
  </si>
  <si>
    <t xml:space="preserve">Establish the foundation for Regulatory Investigation Management: assign a named owner, document the process with clear scope and objectives, and implement basic controls covering the most critical gaps. Focus on achieving consistent, basic coverage before advancing.</t>
  </si>
  <si>
    <t xml:space="preserve">171|3</t>
  </si>
  <si>
    <t xml:space="preserve">Standardise Regulatory Investigation Management: formalise all documentation, apply the control consistently across all in-scope assets, close remaining coverage gaps, and ensure evidence is collected routinely. Exceptions must be formally managed with named owners and defined expiry dates.</t>
  </si>
  <si>
    <t xml:space="preserve">171|4</t>
  </si>
  <si>
    <t xml:space="preserve">Instrument Regulatory Investigation Management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</si>
  <si>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171|5</t>
  </si>
  <si>
    <t xml:space="preserve">Automate and continuously assure Regulatory Investigation Management: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</si>
  <si>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172|2</t>
  </si>
  <si>
    <t xml:space="preserve">Establish the foundation for Business Continuity Plan (BCP): assign a named owner, document the process with clear scope and objectives, and implement basic controls covering the most critical gaps. Focus on achieving consistent, basic coverage before advancing.</t>
  </si>
  <si>
    <t xml:space="preserve">172|3</t>
  </si>
  <si>
    <t xml:space="preserve">Standardise Business Continuity Plan (BCP): formalise all documentation, apply the control consistently across all in-scope assets, close remaining coverage gaps, and ensure evidence is collected routinely. Exceptions must be formally managed with named owners and defined expiry dates.</t>
  </si>
  <si>
    <t xml:space="preserve">172|4</t>
  </si>
  <si>
    <t xml:space="preserve">Instrument Business Continuity Plan (BCP)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</si>
  <si>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172|5</t>
  </si>
  <si>
    <t xml:space="preserve">Automate and continuously assure Business Continuity Plan (BCP):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</si>
  <si>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173|2</t>
  </si>
  <si>
    <t xml:space="preserve">Establish the foundation for Disaster Recovery Plan (DRP): assign a named owner, document the process with clear scope and objectives, and implement basic controls covering the most critical gaps. Focus on achieving consistent, basic coverage before advancing.</t>
  </si>
  <si>
    <t xml:space="preserve">173|3</t>
  </si>
  <si>
    <t xml:space="preserve">Standardise Disaster Recovery Plan (DRP): formalise all documentation, apply the control consistently across all in-scope assets, close remaining coverage gaps, and ensure evidence is collected routinely. Exceptions must be formally managed with named owners and defined expiry dates.</t>
  </si>
  <si>
    <t xml:space="preserve">173|4</t>
  </si>
  <si>
    <t xml:space="preserve">Instrument Disaster Recovery Plan (DRP)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</si>
  <si>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173|5</t>
  </si>
  <si>
    <t xml:space="preserve">Automate and continuously assure Disaster Recovery Plan (DRP):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</si>
  <si>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174|2</t>
  </si>
  <si>
    <t xml:space="preserve">Establish the foundation for Recovery Time Objective (RTO) Validation: assign a named owner, document the process with clear scope and objectives, and implement basic controls covering the most critical gaps. Focus on achieving consistent, basic coverage before advancing.</t>
  </si>
  <si>
    <t xml:space="preserve">174|3</t>
  </si>
  <si>
    <t xml:space="preserve">Standardise Recovery Time Objective (RTO) Validation: formalise all documentation, apply the control consistently across all in-scope assets, close remaining coverage gaps, and ensure evidence is collected routinely. Exceptions must be formally managed with named owners and defined expiry dates.</t>
  </si>
  <si>
    <t xml:space="preserve">174|4</t>
  </si>
  <si>
    <t xml:space="preserve">Instrument Recovery Time Objective (RTO) Validation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</si>
  <si>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174|5</t>
  </si>
  <si>
    <t xml:space="preserve">Automate and continuously assure Recovery Time Objective (RTO) Validation: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</si>
  <si>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175|2</t>
  </si>
  <si>
    <t xml:space="preserve">Establish the foundation for Recovery Point Objective (RPO) Validation: assign a named owner, document the process with clear scope and objectives, and implement basic controls covering the most critical gaps. Focus on achieving consistent, basic coverage before advancing.</t>
  </si>
  <si>
    <t xml:space="preserve">175|3</t>
  </si>
  <si>
    <t xml:space="preserve">Standardise Recovery Point Objective (RPO) Validation: formalise all documentation, apply the control consistently across all in-scope assets, close remaining coverage gaps, and ensure evidence is collected routinely. Exceptions must be formally managed with named owners and defined expiry dates.</t>
  </si>
  <si>
    <t xml:space="preserve">175|4</t>
  </si>
  <si>
    <t xml:space="preserve">Instrument Recovery Point Objective (RPO) Validation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</si>
  <si>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175|5</t>
  </si>
  <si>
    <t xml:space="preserve">Automate and continuously assure Recovery Point Objective (RPO) Validation: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</si>
  <si>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176|2</t>
  </si>
  <si>
    <t xml:space="preserve">Establish the foundation for Crisis Communications Plan: assign a named owner, document the process with clear scope and objectives, and implement basic controls covering the most critical gaps. Focus on achieving consistent, basic coverage before advancing.</t>
  </si>
  <si>
    <t xml:space="preserve">176|3</t>
  </si>
  <si>
    <t xml:space="preserve">Standardise Crisis Communications Plan: formalise all documentation, apply the control consistently across all in-scope assets, close remaining coverage gaps, and ensure evidence is collected routinely. Exceptions must be formally managed with named owners and defined expiry dates.</t>
  </si>
  <si>
    <t xml:space="preserve">176|4</t>
  </si>
  <si>
    <t xml:space="preserve">Instrument Crisis Communications Plan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</si>
  <si>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176|5</t>
  </si>
  <si>
    <t xml:space="preserve">Automate and continuously assure Crisis Communications Plan: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</si>
  <si>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177|2</t>
  </si>
  <si>
    <t xml:space="preserve">Establish the foundation for Recovery Testing — Full System Failover: assign a named owner, document the process with clear scope and objectives, and implement basic controls covering the most critical gaps. Focus on achieving consistent, basic coverage before advancing.</t>
  </si>
  <si>
    <t xml:space="preserve">177|3</t>
  </si>
  <si>
    <t xml:space="preserve">Standardise Recovery Testing — Full System Failover: formalise all documentation, apply the control consistently across all in-scope assets, close remaining coverage gaps, and ensure evidence is collected routinely. Exceptions must be formally managed with named owners and defined expiry dates.</t>
  </si>
  <si>
    <t xml:space="preserve">177|4</t>
  </si>
  <si>
    <t xml:space="preserve">Instrument Recovery Testing — Full System Failover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</si>
  <si>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177|5</t>
  </si>
  <si>
    <t xml:space="preserve">Automate and continuously assure Recovery Testing — Full System Failover: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</si>
  <si>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178|2</t>
  </si>
  <si>
    <t xml:space="preserve">Establish the foundation for DORA Threat-Led Penetration Testing (TLPT): assign a named owner, document the process with clear scope and objectives, and implement basic controls covering the most critical gaps. Focus on achieving consistent, basic coverage before advancing.</t>
  </si>
  <si>
    <t xml:space="preserve">178|3</t>
  </si>
  <si>
    <t xml:space="preserve">Standardise DORA Threat-Led Penetration Testing (TLPT): formalise all documentation, apply the control consistently across all in-scope assets, close remaining coverage gaps, and ensure evidence is collected routinely. Exceptions must be formally managed with named owners and defined expiry dates.</t>
  </si>
  <si>
    <t xml:space="preserve">178|4</t>
  </si>
  <si>
    <t xml:space="preserve">Instrument DORA Threat-Led Penetration Testing (TLPT)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</si>
  <si>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178|5</t>
  </si>
  <si>
    <t xml:space="preserve">Automate and continuously assure DORA Threat-Led Penetration Testing (TLPT):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</si>
  <si>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179|2</t>
  </si>
  <si>
    <t xml:space="preserve">Establish the foundation for Post-Recovery Control Validation: assign a named owner, document the process with clear scope and objectives, and implement basic controls covering the most critical gaps. Focus on achieving consistent, basic coverage before advancing.</t>
  </si>
  <si>
    <t xml:space="preserve">179|3</t>
  </si>
  <si>
    <t xml:space="preserve">Standardise Post-Recovery Control Validation: formalise all documentation, apply the control consistently across all in-scope assets, close remaining coverage gaps, and ensure evidence is collected routinely. Exceptions must be formally managed with named owners and defined expiry dates.</t>
  </si>
  <si>
    <t xml:space="preserve">179|4</t>
  </si>
  <si>
    <t xml:space="preserve">Instrument Post-Recovery Control Validation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</si>
  <si>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179|5</t>
  </si>
  <si>
    <t xml:space="preserve">Automate and continuously assure Post-Recovery Control Validation: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</si>
  <si>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180|2</t>
  </si>
  <si>
    <t xml:space="preserve">Establish the foundation for Privacy Capability Restoration: assign a named owner, document the process with clear scope and objectives, and implement basic controls covering the most critical gaps. Focus on achieving consistent, basic coverage before advancing.</t>
  </si>
  <si>
    <t xml:space="preserve">180|3</t>
  </si>
  <si>
    <t xml:space="preserve">Standardise Privacy Capability Restoration: formalise all documentation, apply the control consistently across all in-scope assets, close remaining coverage gaps, and ensure evidence is collected routinely. Exceptions must be formally managed with named owners and defined expiry dates.</t>
  </si>
  <si>
    <t xml:space="preserve">180|4</t>
  </si>
  <si>
    <t xml:space="preserve">Instrument Privacy Capability Restoration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</si>
  <si>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180|5</t>
  </si>
  <si>
    <t xml:space="preserve">Automate and continuously assure Privacy Capability Restoration: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</si>
  <si>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181|2</t>
  </si>
  <si>
    <t xml:space="preserve">Establish the foundation for AI Model Integrity Validation (Post-Recovery): assign a named owner, document the process with clear scope and objectives, and implement basic controls covering the most critical gaps. Focus on achieving consistent, basic coverage before advancing.</t>
  </si>
  <si>
    <t xml:space="preserve">181|3</t>
  </si>
  <si>
    <t xml:space="preserve">Standardise AI Model Integrity Validation (Post-Recovery): formalise all documentation, apply the control consistently across all in-scope assets, close remaining coverage gaps, and ensure evidence is collected routinely. Exceptions must be formally managed with named owners and defined expiry dates.</t>
  </si>
  <si>
    <t xml:space="preserve">181|4</t>
  </si>
  <si>
    <t xml:space="preserve">Instrument AI Model Integrity Validation (Post-Recovery)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</si>
  <si>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181|5</t>
  </si>
  <si>
    <t xml:space="preserve">Automate and continuously assure AI Model Integrity Validation (Post-Recovery):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</si>
  <si>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182|2</t>
  </si>
  <si>
    <t xml:space="preserve">Establish the foundation for CDE Recovery &amp; PCI Compliance Re-validation: assign a named owner, document the process with clear scope and objectives, and implement basic controls covering the most critical gaps. Focus on achieving consistent, basic coverage before advancing.</t>
  </si>
  <si>
    <t xml:space="preserve">182|3</t>
  </si>
  <si>
    <t xml:space="preserve">Standardise CDE Recovery &amp; PCI Compliance Re-validation: formalise all documentation, apply the control consistently across all in-scope assets, close remaining coverage gaps, and ensure evidence is collected routinely. Exceptions must be formally managed with named owners and defined expiry dates.</t>
  </si>
  <si>
    <t xml:space="preserve">182|4</t>
  </si>
  <si>
    <t xml:space="preserve">Instrument CDE Recovery &amp; PCI Compliance Re-validation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</si>
  <si>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182|5</t>
  </si>
  <si>
    <t xml:space="preserve">Automate and continuously assure CDE Recovery &amp; PCI Compliance Re-validation: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</si>
  <si>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183|2</t>
  </si>
  <si>
    <t xml:space="preserve">Establish the foundation for Continuity Testing — Tabletop &amp; Simulation: assign a named owner, document the process with clear scope and objectives, and implement basic controls covering the most critical gaps. Focus on achieving consistent, basic coverage before advancing.</t>
  </si>
  <si>
    <t xml:space="preserve">183|3</t>
  </si>
  <si>
    <t xml:space="preserve">Standardise Continuity Testing — Tabletop &amp; Simulation: formalise all documentation, apply the control consistently across all in-scope assets, close remaining coverage gaps, and ensure evidence is collected routinely. Exceptions must be formally managed with named owners and defined expiry dates.</t>
  </si>
  <si>
    <t xml:space="preserve">183|4</t>
  </si>
  <si>
    <t xml:space="preserve">Instrument Continuity Testing — Tabletop &amp; Simulation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</si>
  <si>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183|5</t>
  </si>
  <si>
    <t xml:space="preserve">Automate and continuously assure Continuity Testing — Tabletop &amp; Simulation: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</si>
  <si>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184|2</t>
  </si>
  <si>
    <t xml:space="preserve">Establish the foundation for Lessons Learned — Continuity Programme Integration: assign a named owner, document the process with clear scope and objectives, and implement basic controls covering the most critical gaps. Focus on achieving consistent, basic coverage before advancing.</t>
  </si>
  <si>
    <t xml:space="preserve">184|3</t>
  </si>
  <si>
    <t xml:space="preserve">Standardise Lessons Learned — Continuity Programme Integration: formalise all documentation, apply the control consistently across all in-scope assets, close remaining coverage gaps, and ensure evidence is collected routinely. Exceptions must be formally managed with named owners and defined expiry dates.</t>
  </si>
  <si>
    <t xml:space="preserve">184|4</t>
  </si>
  <si>
    <t xml:space="preserve">Instrument Lessons Learned — Continuity Programme Integration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</si>
  <si>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184|5</t>
  </si>
  <si>
    <t xml:space="preserve">Automate and continuously assure Lessons Learned — Continuity Programme Integration: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</si>
  <si>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185|2</t>
  </si>
  <si>
    <t xml:space="preserve">Establish the foundation for Business Service Recovery Validation: assign a named owner, document the process with clear scope and objectives, and implement basic controls covering the most critical gaps. Focus on achieving consistent, basic coverage before advancing.</t>
  </si>
  <si>
    <t xml:space="preserve">185|3</t>
  </si>
  <si>
    <t xml:space="preserve">Standardise Business Service Recovery Validation: formalise all documentation, apply the control consistently across all in-scope assets, close remaining coverage gaps, and ensure evidence is collected routinely. Exceptions must be formally managed with named owners and defined expiry dates.</t>
  </si>
  <si>
    <t xml:space="preserve">185|4</t>
  </si>
  <si>
    <t xml:space="preserve">Instrument Business Service Recovery Validation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</si>
  <si>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185|5</t>
  </si>
  <si>
    <t xml:space="preserve">Automate and continuously assure Business Service Recovery Validation: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</si>
  <si>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186|2</t>
  </si>
  <si>
    <t xml:space="preserve">Establish the foundation for Recovery Metrics — RTO/RPO Achievement Tracking: assign a named owner, document the process with clear scope and objectives, and implement basic controls covering the most critical gaps. Focus on achieving consistent, basic coverage before advancing.</t>
  </si>
  <si>
    <t xml:space="preserve">186|3</t>
  </si>
  <si>
    <t xml:space="preserve">Standardise Recovery Metrics — RTO/RPO Achievement Tracking: formalise all documentation, apply the control consistently across all in-scope assets, close remaining coverage gaps, and ensure evidence is collected routinely. Exceptions must be formally managed with named owners and defined expiry dates.</t>
  </si>
  <si>
    <t xml:space="preserve">186|4</t>
  </si>
  <si>
    <t xml:space="preserve">Instrument Recovery Metrics — RTO/RPO Achievement Tracking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</si>
  <si>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186|5</t>
  </si>
  <si>
    <t xml:space="preserve">Automate and continuously assure Recovery Metrics — RTO/RPO Achievement Tracking: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</si>
  <si>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187|2</t>
  </si>
  <si>
    <t xml:space="preserve">Establish the foundation for Operational Technology (OT) Continuity: assign a named owner, document the process with clear scope and objectives, and implement basic controls covering the most critical gaps. Focus on achieving consistent, basic coverage before advancing.</t>
  </si>
  <si>
    <t xml:space="preserve">187|3</t>
  </si>
  <si>
    <t xml:space="preserve">Standardise Operational Technology (OT) Continuity: formalise all documentation, apply the control consistently across all in-scope assets, close remaining coverage gaps, and ensure evidence is collected routinely. Exceptions must be formally managed with named owners and defined expiry dates.</t>
  </si>
  <si>
    <t xml:space="preserve">187|4</t>
  </si>
  <si>
    <t xml:space="preserve">Instrument Operational Technology (OT) Continuity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</si>
  <si>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187|5</t>
  </si>
  <si>
    <t xml:space="preserve">Automate and continuously assure Operational Technology (OT) Continuity: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</si>
  <si>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188|2</t>
  </si>
  <si>
    <t xml:space="preserve">Establish the foundation for Supplier Resilience Assessment: assign a named owner, document the process with clear scope and objectives, and implement basic controls covering the most critical gaps. Focus on achieving consistent, basic coverage before advancing.</t>
  </si>
  <si>
    <t xml:space="preserve">188|3</t>
  </si>
  <si>
    <t xml:space="preserve">Standardise Supplier Resilience Assessment: formalise all documentation, apply the control consistently across all in-scope assets, close remaining coverage gaps, and ensure evidence is collected routinely. Exceptions must be formally managed with named owners and defined expiry dates.</t>
  </si>
  <si>
    <t xml:space="preserve">188|4</t>
  </si>
  <si>
    <t xml:space="preserve">Instrument Supplier Resilience Assessment with measurable KPIs: define performance thresholds (coverage %, SLA adherence, exception count), establish automated telemetry where possible, and integrate reporting into quarterly governance cycles. Evidence must be system-generated and reviewed at each governance cycle.</t>
  </si>
  <si>
    <t xml:space="preserve">188|5</t>
  </si>
  <si>
    <t xml:space="preserve">Automate and continuously assure Supplier Resilience Assessment: implement self-healing controls, continuous evidence generation, and predictive monitoring. Commission independent assurance through internal audit or third-party validation. Drive continuous improvement through data-driven insights, peer benchmarking, and adaptive responses to new threats and regulatory changes.</t>
  </si>
  <si>
    <t xml:space="preserve">L1 — Initial: CISO / Security Leadership is absent or ad hoc. No formal process, no documentation, no named owner. Controls exist only reactively after incidents.</t>
  </si>
  <si>
    <t xml:space="preserve">L1 — Initial: Cybersecurity Strategy &amp; Programme is absent or ad hoc. No formal process, no documentation, no named owner. Controls exist only reactively after incidents.</t>
  </si>
  <si>
    <t xml:space="preserve">L1 — Initial: Cyber Budget &amp; Investment Model is absent or ad hoc. No formal process, no documentation, no named owner. Controls exist only reactively after incidents.</t>
  </si>
  <si>
    <t xml:space="preserve">L1 — Initial: Security Organisational Structure is absent or ad hoc. No formal process, no documentation, no named owner. Controls exist only reactively after incidents.</t>
  </si>
  <si>
    <t xml:space="preserve">L1 — Initial: Board-Level Cybersecurity Oversight is absent or ad hoc. No formal process, no documentation, no named owner. Controls exist only reactively after incidents.</t>
  </si>
  <si>
    <t xml:space="preserve">L1 — Initial: Security Policy Framework &amp; Hierarchy is absent or ad hoc. No formal process, no documentation, no named owner. Controls exist only reactively after incidents.</t>
  </si>
  <si>
    <t xml:space="preserve">L1 — Initial: Policy Attestation &amp; Enforcement is absent or ad hoc. No formal process, no documentation, no named owner. Controls exist only reactively after incidents.</t>
  </si>
  <si>
    <t xml:space="preserve">L1 — Initial: Policy Exception Governance is absent or ad hoc. No formal process, no documentation, no named owner. Controls exist only reactively after incidents.</t>
  </si>
  <si>
    <t xml:space="preserve">L1 — Initial: Control Standards Management is absent or ad hoc. No formal process, no documentation, no named owner. Controls exist only reactively after incidents.</t>
  </si>
  <si>
    <t xml:space="preserve">L1 — Initial: Regulatory Obligation Register &amp; Mapping is absent or ad hoc. No formal process, no documentation, no named owner. Controls exist only reactively after incidents.</t>
  </si>
  <si>
    <t xml:space="preserve">L1 — Initial: Regulatory Change Management is absent or ad hoc. No formal process, no documentation, no named owner. Controls exist only reactively after incidents.</t>
  </si>
  <si>
    <t xml:space="preserve">L1 — Initial: Security Standards for Third Parties is absent or ad hoc. No formal process, no documentation, no named owner. Controls exist only reactively after incidents.</t>
  </si>
  <si>
    <t xml:space="preserve">L1 — Initial: Enterprise Risk Framework Integration is absent or ad hoc. No formal process, no documentation, no named owner. Controls exist only reactively after incidents.</t>
  </si>
  <si>
    <t xml:space="preserve">L1 — Initial: Risk Appetite &amp; Tolerance Thresholds is absent or ad hoc. No formal process, no documentation, no named owner. Controls exist only reactively after incidents.</t>
  </si>
  <si>
    <t xml:space="preserve">L1 — Initial: Risk Register Management &amp; Reporting is absent or ad hoc. No formal process, no documentation, no named owner. Controls exist only reactively after incidents.</t>
  </si>
  <si>
    <t xml:space="preserve">L1 — Initial: Cyber Risk Quantification is absent or ad hoc. No formal process, no documentation, no named owner. Controls exist only reactively after incidents.</t>
  </si>
  <si>
    <t xml:space="preserve">L1 — Initial: Third-Party Risk Management (TPRM) Programme is absent or ad hoc. No formal process, no documentation, no named owner. Controls exist only reactively after incidents.</t>
  </si>
  <si>
    <t xml:space="preserve">L1 — Initial: Vendor Security Assessment Process is absent or ad hoc. No formal process, no documentation, no named owner. Controls exist only reactively after incidents.</t>
  </si>
  <si>
    <t xml:space="preserve">L1 — Initial: Vendor Contractual Security Obligations is absent or ad hoc. No formal process, no documentation, no named owner. Controls exist only reactively after incidents.</t>
  </si>
  <si>
    <t xml:space="preserve">L1 — Initial: Fourth-Party &amp; Sub-Processor Mapping is absent or ad hoc. No formal process, no documentation, no named owner. Controls exist only reactively after incidents.</t>
  </si>
  <si>
    <t xml:space="preserve">L1 — Initial: DORA TPSP Critical Register is absent or ad hoc. No formal process, no documentation, no named owner. Controls exist only reactively after incidents.</t>
  </si>
  <si>
    <t xml:space="preserve">L1 — Initial: Software Supply Chain Security Governance is absent or ad hoc. No formal process, no documentation, no named owner. Controls exist only reactively after incidents.</t>
  </si>
  <si>
    <t xml:space="preserve">L1 — Initial: Supplier Resilience Requirements is absent or ad hoc. No formal process, no documentation, no named owner. Controls exist only reactively after incidents.</t>
  </si>
  <si>
    <t xml:space="preserve">L1 — Initial: Privacy Governance &amp; DPO/Privacy Lead is absent or ad hoc. No formal process, no documentation, no named owner. Controls exist only reactively after incidents.</t>
  </si>
  <si>
    <t xml:space="preserve">L1 — Initial: Records of Processing Activities (ROPA) is absent or ad hoc. No formal process, no documentation, no named owner. Controls exist only reactively after incidents.</t>
  </si>
  <si>
    <t xml:space="preserve">L1 — Initial: Data Protection Impact Assessments (DPIAs) is absent or ad hoc. No formal process, no documentation, no named owner. Controls exist only reactively after incidents.</t>
  </si>
  <si>
    <t xml:space="preserve">L1 — Initial: Cross-Border Data Transfer Controls is absent or ad hoc. No formal process, no documentation, no named owner. Controls exist only reactively after incidents.</t>
  </si>
  <si>
    <t xml:space="preserve">L1 — Initial: Internal &amp; External Audit Programme is absent or ad hoc. No formal process, no documentation, no named owner. Controls exist only reactively after incidents.</t>
  </si>
  <si>
    <t xml:space="preserve">L1 — Initial: IT Hardware Asset Inventory (CMDB) is absent or ad hoc. No formal process, no documentation, no named owner. Controls exist only reactively after incidents.</t>
  </si>
  <si>
    <t xml:space="preserve">L1 — Initial: Software Asset Inventory is absent or ad hoc. No formal process, no documentation, no named owner. Controls exist only reactively after incidents.</t>
  </si>
  <si>
    <t xml:space="preserve">L1 — Initial: Cloud Infrastructure Asset Inventory is absent or ad hoc. No formal process, no documentation, no named owner. Controls exist only reactively after incidents.</t>
  </si>
  <si>
    <t xml:space="preserve">L1 — Initial: SaaS &amp; Shadow IT Discovery is absent or ad hoc. No formal process, no documentation, no named owner. Controls exist only reactively after incidents.</t>
  </si>
  <si>
    <t xml:space="preserve">L1 — Initial: Software Bill of Materials (SBOM) is absent or ad hoc. No formal process, no documentation, no named owner. Controls exist only reactively after incidents.</t>
  </si>
  <si>
    <t xml:space="preserve">L1 — Initial: Network Topology &amp; Architecture Documentation is absent or ad hoc. No formal process, no documentation, no named owner. Controls exist only reactively after incidents.</t>
  </si>
  <si>
    <t xml:space="preserve">L1 — Initial: Technology Lifecycle Management is absent or ad hoc. No formal process, no documentation, no named owner. Controls exist only reactively after incidents.</t>
  </si>
  <si>
    <t xml:space="preserve">L1 — Initial: Data Classification Framework &amp; Implementation is absent or ad hoc. No formal process, no documentation, no named owner. Controls exist only reactively after incidents.</t>
  </si>
  <si>
    <t xml:space="preserve">L1 — Initial: Sensitive Data Discovery &amp; Mapping is absent or ad hoc. No formal process, no documentation, no named owner. Controls exist only reactively after incidents.</t>
  </si>
  <si>
    <t xml:space="preserve">L1 — Initial: Data Flow &amp; Transfer Mapping is absent or ad hoc. No formal process, no documentation, no named owner. Controls exist only reactively after incidents.</t>
  </si>
  <si>
    <t xml:space="preserve">L1 — Initial: Retention Schedule &amp; Disposal Management is absent or ad hoc. No formal process, no documentation, no named owner. Controls exist only reactively after incidents.</t>
  </si>
  <si>
    <t xml:space="preserve">L1 — Initial: Payment Data Scoping &amp; CDE Mapping is absent or ad hoc. No formal process, no documentation, no named owner. Controls exist only reactively after incidents.</t>
  </si>
  <si>
    <t xml:space="preserve">L1 — Initial: Business Impact Analysis (BIA) is absent or ad hoc. No formal process, no documentation, no named owner. Controls exist only reactively after incidents.</t>
  </si>
  <si>
    <t xml:space="preserve">L1 — Initial: Threat Landscape Assessment is absent or ad hoc. No formal process, no documentation, no named owner. Controls exist only reactively after incidents.</t>
  </si>
  <si>
    <t xml:space="preserve">L1 — Initial: Vulnerability Management Programme is absent or ad hoc. No formal process, no documentation, no named owner. Controls exist only reactively after incidents.</t>
  </si>
  <si>
    <t xml:space="preserve">L1 — Initial: Penetration Testing Programme is absent or ad hoc. No formal process, no documentation, no named owner. Controls exist only reactively after incidents.</t>
  </si>
  <si>
    <t xml:space="preserve">L1 — Initial: Third-Party Security Rating Monitoring is absent or ad hoc. No formal process, no documentation, no named owner. Controls exist only reactively after incidents.</t>
  </si>
  <si>
    <t xml:space="preserve">L1 — Initial: Critical Asset Identification &amp; Prioritisation is absent or ad hoc. No formal process, no documentation, no named owner. Controls exist only reactively after incidents.</t>
  </si>
  <si>
    <t xml:space="preserve">L1 — Initial: SOX IT General Controls Assessment is absent or ad hoc. No formal process, no documentation, no named owner. Controls exist only reactively after incidents.</t>
  </si>
  <si>
    <t xml:space="preserve">L1 — Initial: HIPAA Risk Analysis is absent or ad hoc. No formal process, no documentation, no named owner. Controls exist only reactively after incidents.</t>
  </si>
  <si>
    <t xml:space="preserve">L1 — Initial: Security Metrics &amp; Measurement Framework is absent or ad hoc. No formal process, no documentation, no named owner. Controls exist only reactively after incidents.</t>
  </si>
  <si>
    <t xml:space="preserve">L1 — Initial: Red Team Programme is absent or ad hoc. No formal process, no documentation, no named owner. Controls exist only reactively after incidents.</t>
  </si>
  <si>
    <t xml:space="preserve">L1 — Initial: Multi-Factor Authentication — All Users is absent or ad hoc. No formal process, no documentation, no named owner. Controls exist only reactively after incidents.</t>
  </si>
  <si>
    <t xml:space="preserve">L1 — Initial: Phishing-Resistant MFA for Privileged Accounts is absent or ad hoc. No formal process, no documentation, no named owner. Controls exist only reactively after incidents.</t>
  </si>
  <si>
    <t xml:space="preserve">L1 — Initial: Privileged Access Management (PAM) is absent or ad hoc. No formal process, no documentation, no named owner. Controls exist only reactively after incidents.</t>
  </si>
  <si>
    <t xml:space="preserve">L1 — Initial: Identity Lifecycle — Joiners Process is absent or ad hoc. No formal process, no documentation, no named owner. Controls exist only reactively after incidents.</t>
  </si>
  <si>
    <t xml:space="preserve">L1 — Initial: Identity Lifecycle — Movers Process is absent or ad hoc. No formal process, no documentation, no named owner. Controls exist only reactively after incidents.</t>
  </si>
  <si>
    <t xml:space="preserve">L1 — Initial: Identity Lifecycle — Leavers Process is absent or ad hoc. No formal process, no documentation, no named owner. Controls exist only reactively after incidents.</t>
  </si>
  <si>
    <t xml:space="preserve">L1 — Initial: Quarterly Access Reviews (Access Certification) is absent or ad hoc. No formal process, no documentation, no named owner. Controls exist only reactively after incidents.</t>
  </si>
  <si>
    <t xml:space="preserve">L1 — Initial: Single Sign-On (SSO) &amp; Federation is absent or ad hoc. No formal process, no documentation, no named owner. Controls exist only reactively after incidents.</t>
  </si>
  <si>
    <t xml:space="preserve">L1 — Initial: Separation of Duties (SoD) Controls is absent or ad hoc. No formal process, no documentation, no named owner. Controls exist only reactively after incidents.</t>
  </si>
  <si>
    <t xml:space="preserve">L1 — Initial: Dormant Account Detection &amp; Management is absent or ad hoc. No formal process, no documentation, no named owner. Controls exist only reactively after incidents.</t>
  </si>
  <si>
    <t xml:space="preserve">L1 — Initial: Machine Identity &amp; Service Account Management is absent or ad hoc. No formal process, no documentation, no named owner. Controls exist only reactively after incidents.</t>
  </si>
  <si>
    <t xml:space="preserve">L1 — Initial: API Key &amp; Secrets Management is absent or ad hoc. No formal process, no documentation, no named owner. Controls exist only reactively after incidents.</t>
  </si>
  <si>
    <t xml:space="preserve">L1 — Initial: Zero Trust Architecture (ZTA) Implementation is absent or ad hoc. No formal process, no documentation, no named owner. Controls exist only reactively after incidents.</t>
  </si>
  <si>
    <t xml:space="preserve">L1 — Initial: Encryption at Rest — Sensitive Data is absent or ad hoc. No formal process, no documentation, no named owner. Controls exist only reactively after incidents.</t>
  </si>
  <si>
    <t xml:space="preserve">L1 — Initial: Encryption in Transit — TLS Enforcement is absent or ad hoc. No formal process, no documentation, no named owner. Controls exist only reactively after incidents.</t>
  </si>
  <si>
    <t xml:space="preserve">L1 — Initial: Data Loss Prevention (DLP) — Email is absent or ad hoc. No formal process, no documentation, no named owner. Controls exist only reactively after incidents.</t>
  </si>
  <si>
    <t xml:space="preserve">L1 — Initial: Data Loss Prevention (DLP) — Endpoint is absent or ad hoc. No formal process, no documentation, no named owner. Controls exist only reactively after incidents.</t>
  </si>
  <si>
    <t xml:space="preserve">L1 — Initial: Data Loss Prevention (DLP) — Cloud &amp; SaaS is absent or ad hoc. No formal process, no documentation, no named owner. Controls exist only reactively after incidents.</t>
  </si>
  <si>
    <t xml:space="preserve">L1 — Initial: Data Masking &amp; Pseudonymisation is absent or ad hoc. No formal process, no documentation, no named owner. Controls exist only reactively after incidents.</t>
  </si>
  <si>
    <t xml:space="preserve">L1 — Initial: Payment Card Data (PAN) Protection is absent or ad hoc. No formal process, no documentation, no named owner. Controls exist only reactively after incidents.</t>
  </si>
  <si>
    <t xml:space="preserve">L1 — Initial: Backup — Architecture &amp; Immutability is absent or ad hoc. No formal process, no documentation, no named owner. Controls exist only reactively after incidents.</t>
  </si>
  <si>
    <t xml:space="preserve">L1 — Initial: Backup — Restoration Testing is absent or ad hoc. No formal process, no documentation, no named owner. Controls exist only reactively after incidents.</t>
  </si>
  <si>
    <t xml:space="preserve">L1 — Initial: Email Security — DMARC, DKIM, SPF is absent or ad hoc. No formal process, no documentation, no named owner. Controls exist only reactively after incidents.</t>
  </si>
  <si>
    <t xml:space="preserve">L1 — Initial: Email Security — Anti-Phishing &amp; Sandboxing is absent or ad hoc. No formal process, no documentation, no named owner. Controls exist only reactively after incidents.</t>
  </si>
  <si>
    <t xml:space="preserve">L1 — Initial: Cryptographic Standards &amp; Key Lifecycle is absent or ad hoc. No formal process, no documentation, no named owner. Controls exist only reactively after incidents.</t>
  </si>
  <si>
    <t xml:space="preserve">L1 — Initial: Endpoint Detection &amp; Response (EDR) is absent or ad hoc. No formal process, no documentation, no named owner. Controls exist only reactively after incidents.</t>
  </si>
  <si>
    <t xml:space="preserve">L1 — Initial: Endpoint Hardening &amp; CIS Benchmark Compliance is absent or ad hoc. No formal process, no documentation, no named owner. Controls exist only reactively after incidents.</t>
  </si>
  <si>
    <t xml:space="preserve">L1 — Initial: Patch Management — Critical &amp; High Vulnerabilities is absent or ad hoc. No formal process, no documentation, no named owner. Controls exist only reactively after incidents.</t>
  </si>
  <si>
    <t xml:space="preserve">L1 — Initial: Patch Management — Medium &amp; Low Vulnerabilities is absent or ad hoc. No formal process, no documentation, no named owner. Controls exist only reactively after incidents.</t>
  </si>
  <si>
    <t xml:space="preserve">L1 — Initial: End-of-Life (EOL) Software &amp; OS Management is absent or ad hoc. No formal process, no documentation, no named owner. Controls exist only reactively after incidents.</t>
  </si>
  <si>
    <t xml:space="preserve">L1 — Initial: Application Whitelisting / Allowlisting is absent or ad hoc. No formal process, no documentation, no named owner. Controls exist only reactively after incidents.</t>
  </si>
  <si>
    <t xml:space="preserve">L1 — Initial: Removable Media Controls is absent or ad hoc. No formal process, no documentation, no named owner. Controls exist only reactively after incidents.</t>
  </si>
  <si>
    <t xml:space="preserve">L1 — Initial: Mobile Device Management (MDM) is absent or ad hoc. No formal process, no documentation, no named owner. Controls exist only reactively after incidents.</t>
  </si>
  <si>
    <t xml:space="preserve">L1 — Initial: Network Segmentation — Zone Architecture is absent or ad hoc. No formal process, no documentation, no named owner. Controls exist only reactively after incidents.</t>
  </si>
  <si>
    <t xml:space="preserve">L1 — Initial: Network Microsegmentation (Cloud &amp; Data Centre) is absent or ad hoc. No formal process, no documentation, no named owner. Controls exist only reactively after incidents.</t>
  </si>
  <si>
    <t xml:space="preserve">L1 — Initial: CDE Network Segmentation Validation is absent or ad hoc. No formal process, no documentation, no named owner. Controls exist only reactively after incidents.</t>
  </si>
  <si>
    <t xml:space="preserve">L1 — Initial: NGFW &amp; Firewall Rule Management is absent or ad hoc. No formal process, no documentation, no named owner. Controls exist only reactively after incidents.</t>
  </si>
  <si>
    <t xml:space="preserve">L1 — Initial: Web Application Firewall (WAF) is absent or ad hoc. No formal process, no documentation, no named owner. Controls exist only reactively after incidents.</t>
  </si>
  <si>
    <t xml:space="preserve">L1 — Initial: Zero Trust Network Access (ZTNA) is absent or ad hoc. No formal process, no documentation, no named owner. Controls exist only reactively after incidents.</t>
  </si>
  <si>
    <t xml:space="preserve">L1 — Initial: SASE Architecture is absent or ad hoc. No formal process, no documentation, no named owner. Controls exist only reactively after incidents.</t>
  </si>
  <si>
    <t xml:space="preserve">L1 — Initial: Protective DNS &amp; DNS Security is absent or ad hoc. No formal process, no documentation, no named owner. Controls exist only reactively after incidents.</t>
  </si>
  <si>
    <t xml:space="preserve">L1 — Initial: Egress Filtering &amp; Allowlisting is absent or ad hoc. No formal process, no documentation, no named owner. Controls exist only reactively after incidents.</t>
  </si>
  <si>
    <t xml:space="preserve">L1 — Initial: Network Intrusion Prevention (IPS) is absent or ad hoc. No formal process, no documentation, no named owner. Controls exist only reactively after incidents.</t>
  </si>
  <si>
    <t xml:space="preserve">L1 — Initial: Remote Administration Security is absent or ad hoc. No formal process, no documentation, no named owner. Controls exist only reactively after incidents.</t>
  </si>
  <si>
    <t xml:space="preserve">L1 — Initial: Wireless Network Security is absent or ad hoc. No formal process, no documentation, no named owner. Controls exist only reactively after incidents.</t>
  </si>
  <si>
    <t xml:space="preserve">L1 — Initial: OT/ICS Network Security is absent or ad hoc. No formal process, no documentation, no named owner. Controls exist only reactively after incidents.</t>
  </si>
  <si>
    <t xml:space="preserve">L1 — Initial: Secure SDLC — Security Requirements is absent or ad hoc. No formal process, no documentation, no named owner. Controls exist only reactively after incidents.</t>
  </si>
  <si>
    <t xml:space="preserve">L1 — Initial: Secure SDLC — Static Analysis (SAST) is absent or ad hoc. No formal process, no documentation, no named owner. Controls exist only reactively after incidents.</t>
  </si>
  <si>
    <t xml:space="preserve">L1 — Initial: Secure SDLC — Software Composition Analysis (SCA) is absent or ad hoc. No formal process, no documentation, no named owner. Controls exist only reactively after incidents.</t>
  </si>
  <si>
    <t xml:space="preserve">L1 — Initial: Secure SDLC — Dynamic Analysis (DAST) is absent or ad hoc. No formal process, no documentation, no named owner. Controls exist only reactively after incidents.</t>
  </si>
  <si>
    <t xml:space="preserve">L1 — Initial: Secure SDLC — Release Security Sign-Off is absent or ad hoc. No formal process, no documentation, no named owner. Controls exist only reactively after incidents.</t>
  </si>
  <si>
    <t xml:space="preserve">L1 — Initial: API Security — Inventory &amp; Gateway is absent or ad hoc. No formal process, no documentation, no named owner. Controls exist only reactively after incidents.</t>
  </si>
  <si>
    <t xml:space="preserve">L1 — Initial: Container Security — Image Scanning is absent or ad hoc. No formal process, no documentation, no named owner. Controls exist only reactively after incidents.</t>
  </si>
  <si>
    <t xml:space="preserve">L1 — Initial: Container Security — Runtime Protection is absent or ad hoc. No formal process, no documentation, no named owner. Controls exist only reactively after incidents.</t>
  </si>
  <si>
    <t xml:space="preserve">L1 — Initial: Secrets Exposure Prevention in Code is absent or ad hoc. No formal process, no documentation, no named owner. Controls exist only reactively after incidents.</t>
  </si>
  <si>
    <t xml:space="preserve">L1 — Initial: Payment Page &amp; Script Integrity is absent or ad hoc. No formal process, no documentation, no named owner. Controls exist only reactively after incidents.</t>
  </si>
  <si>
    <t xml:space="preserve">L1 — Initial: Software Supply Chain Security is absent or ad hoc. No formal process, no documentation, no named owner. Controls exist only reactively after incidents.</t>
  </si>
  <si>
    <t xml:space="preserve">L1 — Initial: Threat Modelling Programme is absent or ad hoc. No formal process, no documentation, no named owner. Controls exist only reactively after incidents.</t>
  </si>
  <si>
    <t xml:space="preserve">L1 — Initial: Cloud Security Posture Management (CSPM) is absent or ad hoc. No formal process, no documentation, no named owner. Controls exist only reactively after incidents.</t>
  </si>
  <si>
    <t xml:space="preserve">L1 — Initial: Cloud Infrastructure Entitlement Management (CIEM) is absent or ad hoc. No formal process, no documentation, no named owner. Controls exist only reactively after incidents.</t>
  </si>
  <si>
    <t xml:space="preserve">L1 — Initial: Cloud Shared Responsibility Matrix is absent or ad hoc. No formal process, no documentation, no named owner. Controls exist only reactively after incidents.</t>
  </si>
  <si>
    <t xml:space="preserve">L1 — Initial: Cloud Native Security Controls (AWS/Azure/GCP) is absent or ad hoc. No formal process, no documentation, no named owner. Controls exist only reactively after incidents.</t>
  </si>
  <si>
    <t xml:space="preserve">L1 — Initial: Cloud Key Management &amp; HSM is absent or ad hoc. No formal process, no documentation, no named owner. Controls exist only reactively after incidents.</t>
  </si>
  <si>
    <t xml:space="preserve">L1 — Initial: FedRAMP Compliance (where applicable) is absent or ad hoc. No formal process, no documentation, no named owner. Controls exist only reactively after incidents.</t>
  </si>
  <si>
    <t xml:space="preserve">L1 — Initial: Data Residency &amp; Sovereignty Controls is absent or ad hoc. No formal process, no documentation, no named owner. Controls exist only reactively after incidents.</t>
  </si>
  <si>
    <t xml:space="preserve">L1 — Initial: SaaS Security &amp; CASB is absent or ad hoc. No formal process, no documentation, no named owner. Controls exist only reactively after incidents.</t>
  </si>
  <si>
    <t xml:space="preserve">L1 — Initial: Cloud Configuration Drift Prevention is absent or ad hoc. No formal process, no documentation, no named owner. Controls exist only reactively after incidents.</t>
  </si>
  <si>
    <t xml:space="preserve">L1 — Initial: Container Orchestration Security (Kubernetes) is absent or ad hoc. No formal process, no documentation, no named owner. Controls exist only reactively after incidents.</t>
  </si>
  <si>
    <t xml:space="preserve">L1 — Initial: Cloud Workload Protection Platform (CWPP) is absent or ad hoc. No formal process, no documentation, no named owner. Controls exist only reactively after incidents.</t>
  </si>
  <si>
    <t xml:space="preserve">L1 — Initial: Prompt Injection Prevention is absent or ad hoc. No formal process, no documentation, no named owner. Controls exist only reactively after incidents.</t>
  </si>
  <si>
    <t xml:space="preserve">L1 — Initial: AI Model Access Control &amp; RBAC is absent or ad hoc. No formal process, no documentation, no named owner. Controls exist only reactively after incidents.</t>
  </si>
  <si>
    <t xml:space="preserve">L1 — Initial: AI Output Monitoring &amp; Content Filtering is absent or ad hoc. No formal process, no documentation, no named owner. Controls exist only reactively after incidents.</t>
  </si>
  <si>
    <t xml:space="preserve">L1 — Initial: Adversarial AI Testing is absent or ad hoc. No formal process, no documentation, no named owner. Controls exist only reactively after incidents.</t>
  </si>
  <si>
    <t xml:space="preserve">L1 — Initial: Physical Access Control is absent or ad hoc. No formal process, no documentation, no named owner. Controls exist only reactively after incidents.</t>
  </si>
  <si>
    <t xml:space="preserve">L1 — Initial: Clean Desk &amp; Screen Lock Policy is absent or ad hoc. No formal process, no documentation, no named owner. Controls exist only reactively after incidents.</t>
  </si>
  <si>
    <t xml:space="preserve">L1 — Initial: Security Awareness Training — Annual is absent or ad hoc. No formal process, no documentation, no named owner. Controls exist only reactively after incidents.</t>
  </si>
  <si>
    <t xml:space="preserve">L1 — Initial: Role-Specific Security Training is absent or ad hoc. No formal process, no documentation, no named owner. Controls exist only reactively after incidents.</t>
  </si>
  <si>
    <t xml:space="preserve">L1 — Initial: Phishing Simulation Programme is absent or ad hoc. No formal process, no documentation, no named owner. Controls exist only reactively after incidents.</t>
  </si>
  <si>
    <t xml:space="preserve">L1 — Initial: AI Literacy &amp; Security Training is absent or ad hoc. No formal process, no documentation, no named owner. Controls exist only reactively after incidents.</t>
  </si>
  <si>
    <t xml:space="preserve">L1 — Initial: Data Subject Rights — Process &amp; Fulfilment is absent or ad hoc. No formal process, no documentation, no named owner. Controls exist only reactively after incidents.</t>
  </si>
  <si>
    <t xml:space="preserve">L1 — Initial: Personnel Security — Background Screening is absent or ad hoc. No formal process, no documentation, no named owner. Controls exist only reactively after incidents.</t>
  </si>
  <si>
    <t xml:space="preserve">L1 — Initial: Security by Default — Product Configuration is absent or ad hoc. No formal process, no documentation, no named owner. Controls exist only reactively after incidents.</t>
  </si>
  <si>
    <t xml:space="preserve">L1 — Initial: NIS2 Supply Chain Security Obligations is absent or ad hoc. No formal process, no documentation, no named owner. Controls exist only reactively after incidents.</t>
  </si>
  <si>
    <t xml:space="preserve">L1 — Initial: SIEM — Log Ingestion &amp; Coverage is absent or ad hoc. No formal process, no documentation, no named owner. Controls exist only reactively after incidents.</t>
  </si>
  <si>
    <t xml:space="preserve">L1 — Initial: SIEM — Use Case Library &amp; Threat Coverage is absent or ad hoc. No formal process, no documentation, no named owner. Controls exist only reactively after incidents.</t>
  </si>
  <si>
    <t xml:space="preserve">L1 — Initial: SIEM — Log Integrity &amp; Tamper Protection is absent or ad hoc. No formal process, no documentation, no named owner. Controls exist only reactively after incidents.</t>
  </si>
  <si>
    <t xml:space="preserve">L1 — Initial: SIEM — Compliance Monitoring Use Cases is absent or ad hoc. No formal process, no documentation, no named owner. Controls exist only reactively after incidents.</t>
  </si>
  <si>
    <t xml:space="preserve">L1 — Initial: Log Retention &amp; Archival Management is absent or ad hoc. No formal process, no documentation, no named owner. Controls exist only reactively after incidents.</t>
  </si>
  <si>
    <t xml:space="preserve">L1 — Initial: Telemetry Coverage Management is absent or ad hoc. No formal process, no documentation, no named owner. Controls exist only reactively after incidents.</t>
  </si>
  <si>
    <t xml:space="preserve">L1 — Initial: Detection Health Monitoring is absent or ad hoc. No formal process, no documentation, no named owner. Controls exist only reactively after incidents.</t>
  </si>
  <si>
    <t xml:space="preserve">L1 — Initial: SOC Operations — Triage &amp; Investigation is absent or ad hoc. No formal process, no documentation, no named owner. Controls exist only reactively after incidents.</t>
  </si>
  <si>
    <t xml:space="preserve">L1 — Initial: NIS2 Significant Incident Classification is absent or ad hoc. No formal process, no documentation, no named owner. Controls exist only reactively after incidents.</t>
  </si>
  <si>
    <t xml:space="preserve">L1 — Initial: DORA Major Incident Classification is absent or ad hoc. No formal process, no documentation, no named owner. Controls exist only reactively after incidents.</t>
  </si>
  <si>
    <t xml:space="preserve">L1 — Initial: Threat Intelligence Integration is absent or ad hoc. No formal process, no documentation, no named owner. Controls exist only reactively after incidents.</t>
  </si>
  <si>
    <t xml:space="preserve">L1 — Initial: User &amp; Entity Behaviour Analytics (UEBA) is absent or ad hoc. No formal process, no documentation, no named owner. Controls exist only reactively after incidents.</t>
  </si>
  <si>
    <t xml:space="preserve">L1 — Initial: Network Detection &amp; Response (NDR) is absent or ad hoc. No formal process, no documentation, no named owner. Controls exist only reactively after incidents.</t>
  </si>
  <si>
    <t xml:space="preserve">L1 — Initial: Cloud Detection &amp; Response is absent or ad hoc. No formal process, no documentation, no named owner. Controls exist only reactively after incidents.</t>
  </si>
  <si>
    <t xml:space="preserve">L1 — Initial: Privacy Event Detection is absent or ad hoc. No formal process, no documentation, no named owner. Controls exist only reactively after incidents.</t>
  </si>
  <si>
    <t xml:space="preserve">L1 — Initial: SOX Financial System Monitoring is absent or ad hoc. No formal process, no documentation, no named owner. Controls exist only reactively after incidents.</t>
  </si>
  <si>
    <t xml:space="preserve">L1 — Initial: Dark Web &amp; Exposure Monitoring is absent or ad hoc. No formal process, no documentation, no named owner. Controls exist only reactively after incidents.</t>
  </si>
  <si>
    <t xml:space="preserve">L1 — Initial: AI-Specific Threat Detection is absent or ad hoc. No formal process, no documentation, no named owner. Controls exist only reactively after incidents.</t>
  </si>
  <si>
    <t xml:space="preserve">L1 — Initial: Detection Validation — Purple Team Exercises is absent or ad hoc. No formal process, no documentation, no named owner. Controls exist only reactively after incidents.</t>
  </si>
  <si>
    <t xml:space="preserve">L1 — Initial: Security Metrics &amp; KPIs — Detection Domain is absent or ad hoc. No formal process, no documentation, no named owner. Controls exist only reactively after incidents.</t>
  </si>
  <si>
    <t xml:space="preserve">L1 — Initial: Security Dashboard &amp; Visibility is absent or ad hoc. No formal process, no documentation, no named owner. Controls exist only reactively after incidents.</t>
  </si>
  <si>
    <t xml:space="preserve">L1 — Initial: Vulnerability Scanner Integration is absent or ad hoc. No formal process, no documentation, no named owner. Controls exist only reactively after incidents.</t>
  </si>
  <si>
    <t xml:space="preserve">L1 — Initial: Incident Response Plan (IRP) is absent or ad hoc. No formal process, no documentation, no named owner. Controls exist only reactively after incidents.</t>
  </si>
  <si>
    <t xml:space="preserve">L1 — Initial: Evidence Preservation &amp; Chain of Custody is absent or ad hoc. No formal process, no documentation, no named owner. Controls exist only reactively after incidents.</t>
  </si>
  <si>
    <t xml:space="preserve">L1 — Initial: Third-Party Incident Coordination is absent or ad hoc. No formal process, no documentation, no named owner. Controls exist only reactively after incidents.</t>
  </si>
  <si>
    <t xml:space="preserve">L1 — Initial: Cyber Insurance Engagement &amp; Claim Management is absent or ad hoc. No formal process, no documentation, no named owner. Controls exist only reactively after incidents.</t>
  </si>
  <si>
    <t xml:space="preserve">L1 — Initial: Incident Playbooks — Ransomware is absent or ad hoc. No formal process, no documentation, no named owner. Controls exist only reactively after incidents.</t>
  </si>
  <si>
    <t xml:space="preserve">L1 — Initial: Incident Playbooks — Data Breach is absent or ad hoc. No formal process, no documentation, no named owner. Controls exist only reactively after incidents.</t>
  </si>
  <si>
    <t xml:space="preserve">L1 — Initial: Incident Playbooks — Business Email Compromise is absent or ad hoc. No formal process, no documentation, no named owner. Controls exist only reactively after incidents.</t>
  </si>
  <si>
    <t xml:space="preserve">L1 — Initial: Incident Playbooks — Cloud Security Incident is absent or ad hoc. No formal process, no documentation, no named owner. Controls exist only reactively after incidents.</t>
  </si>
  <si>
    <t xml:space="preserve">L1 — Initial: NIS2 Three-Stage Notification Process is absent or ad hoc. No formal process, no documentation, no named owner. Controls exist only reactively after incidents.</t>
  </si>
  <si>
    <t xml:space="preserve">L1 — Initial: DORA Major Incident Reporting Process is absent or ad hoc. No formal process, no documentation, no named owner. Controls exist only reactively after incidents.</t>
  </si>
  <si>
    <t xml:space="preserve">L1 — Initial: GDPR Breach Notification Process is absent or ad hoc. No formal process, no documentation, no named owner. Controls exist only reactively after incidents.</t>
  </si>
  <si>
    <t xml:space="preserve">L1 — Initial: Breach Materiality &amp; Regulatory Decision Tree is absent or ad hoc. No formal process, no documentation, no named owner. Controls exist only reactively after incidents.</t>
  </si>
  <si>
    <t xml:space="preserve">L1 — Initial: Tabletop Exercises — Technical is absent or ad hoc. No formal process, no documentation, no named owner. Controls exist only reactively after incidents.</t>
  </si>
  <si>
    <t xml:space="preserve">L1 — Initial: Tabletop Exercises — Executive is absent or ad hoc. No formal process, no documentation, no named owner. Controls exist only reactively after incidents.</t>
  </si>
  <si>
    <t xml:space="preserve">L1 — Initial: Post-Incident Review &amp; Lessons Learned is absent or ad hoc. No formal process, no documentation, no named owner. Controls exist only reactively after incidents.</t>
  </si>
  <si>
    <t xml:space="preserve">L1 — Initial: Regulatory Investigation Management is absent or ad hoc. No formal process, no documentation, no named owner. Controls exist only reactively after incidents.</t>
  </si>
  <si>
    <t xml:space="preserve">L1 — Initial: Business Continuity Plan (BCP) is absent or ad hoc. No formal process, no documentation, no named owner. Controls exist only reactively after incidents.</t>
  </si>
  <si>
    <t xml:space="preserve">L1 — Initial: Disaster Recovery Plan (DRP) is absent or ad hoc. No formal process, no documentation, no named owner. Controls exist only reactively after incidents.</t>
  </si>
  <si>
    <t xml:space="preserve">L1 — Initial: Recovery Time Objective (RTO) Validation is absent or ad hoc. No formal process, no documentation, no named owner. Controls exist only reactively after incidents.</t>
  </si>
  <si>
    <t xml:space="preserve">L1 — Initial: Recovery Point Objective (RPO) Validation is absent or ad hoc. No formal process, no documentation, no named owner. Controls exist only reactively after incidents.</t>
  </si>
  <si>
    <t xml:space="preserve">L1 — Initial: Crisis Communications Plan is absent or ad hoc. No formal process, no documentation, no named owner. Controls exist only reactively after incidents.</t>
  </si>
  <si>
    <t xml:space="preserve">L1 — Initial: Recovery Testing — Full System Failover is absent or ad hoc. No formal process, no documentation, no named owner. Controls exist only reactively after incidents.</t>
  </si>
  <si>
    <t xml:space="preserve">L1 — Initial: DORA Threat-Led Penetration Testing (TLPT) is absent or ad hoc. No formal process, no documentation, no named owner. Controls exist only reactively after incidents.</t>
  </si>
  <si>
    <t xml:space="preserve">L1 — Initial: Post-Recovery Control Validation is absent or ad hoc. No formal process, no documentation, no named owner. Controls exist only reactively after incidents.</t>
  </si>
  <si>
    <t xml:space="preserve">L1 — Initial: Privacy Capability Restoration is absent or ad hoc. No formal process, no documentation, no named owner. Controls exist only reactively after incidents.</t>
  </si>
  <si>
    <t xml:space="preserve">L1 — Initial: AI Model Integrity Validation (Post-Recovery) is absent or ad hoc. No formal process, no documentation, no named owner. Controls exist only reactively after incidents.</t>
  </si>
  <si>
    <t xml:space="preserve">L1 — Initial: CDE Recovery &amp; PCI Compliance Re-validation is absent or ad hoc. No formal process, no documentation, no named owner. Controls exist only reactively after incidents.</t>
  </si>
  <si>
    <t xml:space="preserve">L1 — Initial: Continuity Testing — Tabletop &amp; Simulation is absent or ad hoc. No formal process, no documentation, no named owner. Controls exist only reactively after incidents.</t>
  </si>
  <si>
    <t xml:space="preserve">L1 — Initial: Lessons Learned — Continuity Programme Integration is absent or ad hoc. No formal process, no documentation, no named owner. Controls exist only reactively after incidents.</t>
  </si>
  <si>
    <t xml:space="preserve">L1 — Initial: Business Service Recovery Validation is absent or ad hoc. No formal process, no documentation, no named owner. Controls exist only reactively after incidents.</t>
  </si>
  <si>
    <t xml:space="preserve">L1 — Initial: Recovery Metrics — RTO/RPO Achievement Tracking is absent or ad hoc. No formal process, no documentation, no named owner. Controls exist only reactively after incidents.</t>
  </si>
  <si>
    <t xml:space="preserve">L1 — Initial: Operational Technology (OT) Continuity is absent or ad hoc. No formal process, no documentation, no named owner. Controls exist only reactively after incidents.</t>
  </si>
  <si>
    <t xml:space="preserve">L1 — Initial: Supplier Resilience Assessment is absent or ad hoc. No formal process, no documentation, no named owner. Controls exist only reactively after incidents.</t>
  </si>
  <si>
    <t xml:space="preserve">L2 — Developing: CISO / Security Leadership has basic controls in place but coverage is incomplete and execution is manual. Not consistently applied across all in-scope assets. Formal governance is absent.</t>
  </si>
  <si>
    <t xml:space="preserve">L2 — Developing: Cybersecurity Strategy &amp; Programme has basic controls in place but coverage is incomplete and execution is manual. Not consistently applied across all in-scope assets. Formal governance is absent.</t>
  </si>
  <si>
    <t xml:space="preserve">L2 — Developing: Cyber Budget &amp; Investment Model has basic controls in place but coverage is incomplete and execution is manual. Not consistently applied across all in-scope assets. Formal governance is absent.</t>
  </si>
  <si>
    <t xml:space="preserve">L2 — Developing: Security Organisational Structure has basic controls in place but coverage is incomplete and execution is manual. Not consistently applied across all in-scope assets. Formal governance is absent.</t>
  </si>
  <si>
    <t xml:space="preserve">L2 — Developing: Board-Level Cybersecurity Oversight has basic controls in place but coverage is incomplete and execution is manual. Not consistently applied across all in-scope assets. Formal governance is absent.</t>
  </si>
  <si>
    <t xml:space="preserve">L2 — Developing: Security Policy Framework &amp; Hierarchy has basic controls in place but coverage is incomplete and execution is manual. Not consistently applied across all in-scope assets. Formal governance is absent.</t>
  </si>
  <si>
    <t xml:space="preserve">L2 — Developing: Policy Attestation &amp; Enforcement has basic controls in place but coverage is incomplete and execution is manual. Not consistently applied across all in-scope assets. Formal governance is absent.</t>
  </si>
  <si>
    <t xml:space="preserve">L2 — Developing: Policy Exception Governance has basic controls in place but coverage is incomplete and execution is manual. Not consistently applied across all in-scope assets. Formal governance is absent.</t>
  </si>
  <si>
    <t xml:space="preserve">L2 — Developing: Control Standards Management has basic controls in place but coverage is incomplete and execution is manual. Not consistently applied across all in-scope assets. Formal governance is absent.</t>
  </si>
  <si>
    <t xml:space="preserve">L2 — Developing: Regulatory Obligation Register &amp; Mapping has basic controls in place but coverage is incomplete and execution is manual. Not consistently applied across all in-scope assets. Formal governance is absent.</t>
  </si>
  <si>
    <t xml:space="preserve">L2 — Developing: Regulatory Change Management has basic controls in place but coverage is incomplete and execution is manual. Not consistently applied across all in-scope assets. Formal governance is absent.</t>
  </si>
  <si>
    <t xml:space="preserve">L2 — Developing: Security Standards for Third Parties has basic controls in place but coverage is incomplete and execution is manual. Not consistently applied across all in-scope assets. Formal governance is absent.</t>
  </si>
  <si>
    <t xml:space="preserve">L2 — Developing: Enterprise Risk Framework Integration has basic controls in place but coverage is incomplete and execution is manual. Not consistently applied across all in-scope assets. Formal governance is absent.</t>
  </si>
  <si>
    <t xml:space="preserve">L2 — Developing: Risk Appetite &amp; Tolerance Thresholds has basic controls in place but coverage is incomplete and execution is manual. Not consistently applied across all in-scope assets. Formal governance is absent.</t>
  </si>
  <si>
    <t xml:space="preserve">L2 — Developing: Risk Register Management &amp; Reporting has basic controls in place but coverage is incomplete and execution is manual. Not consistently applied across all in-scope assets. Formal governance is absent.</t>
  </si>
  <si>
    <t xml:space="preserve">L2 — Developing: Cyber Risk Quantification has basic controls in place but coverage is incomplete and execution is manual. Not consistently applied across all in-scope assets. Formal governance is absent.</t>
  </si>
  <si>
    <t xml:space="preserve">L2 — Developing: Third-Party Risk Management (TPRM) Programme has basic controls in place but coverage is incomplete and execution is manual. Not consistently applied across all in-scope assets. Formal governance is absent.</t>
  </si>
  <si>
    <t xml:space="preserve">L2 — Developing: Vendor Security Assessment Process has basic controls in place but coverage is incomplete and execution is manual. Not consistently applied across all in-scope assets. Formal governance is absent.</t>
  </si>
  <si>
    <t xml:space="preserve">L2 — Developing: Vendor Contractual Security Obligations has basic controls in place but coverage is incomplete and execution is manual. Not consistently applied across all in-scope assets. Formal governance is absent.</t>
  </si>
  <si>
    <t xml:space="preserve">L2 — Developing: Fourth-Party &amp; Sub-Processor Mapping has basic controls in place but coverage is incomplete and execution is manual. Not consistently applied across all in-scope assets. Formal governance is absent.</t>
  </si>
  <si>
    <t xml:space="preserve">L2 — Developing: DORA TPSP Critical Register has basic controls in place but coverage is incomplete and execution is manual. Not consistently applied across all in-scope assets. Formal governance is absent.</t>
  </si>
  <si>
    <t xml:space="preserve">L2 — Developing: Software Supply Chain Security Governance has basic controls in place but coverage is incomplete and execution is manual. Not consistently applied across all in-scope assets. Formal governance is absent.</t>
  </si>
  <si>
    <t xml:space="preserve">L2 — Developing: Supplier Resilience Requirements has basic controls in place but coverage is incomplete and execution is manual. Not consistently applied across all in-scope assets. Formal governance is absent.</t>
  </si>
  <si>
    <t xml:space="preserve">L2 — Developing: Privacy Governance &amp; DPO/Privacy Lead has basic controls in place but coverage is incomplete and execution is manual. Not consistently applied across all in-scope assets. Formal governance is absent.</t>
  </si>
  <si>
    <t xml:space="preserve">L2 — Developing: Records of Processing Activities (ROPA) has basic controls in place but coverage is incomplete and execution is manual. Not consistently applied across all in-scope assets. Formal governance is absent.</t>
  </si>
  <si>
    <t xml:space="preserve">L2 — Developing: Data Protection Impact Assessments (DPIAs) has basic controls in place but coverage is incomplete and execution is manual. Not consistently applied across all in-scope assets. Formal governance is absent.</t>
  </si>
  <si>
    <t xml:space="preserve">L2 — Developing: Cross-Border Data Transfer Controls has basic controls in place but coverage is incomplete and execution is manual. Not consistently applied across all in-scope assets. Formal governance is absent.</t>
  </si>
  <si>
    <t xml:space="preserve">L2 — Developing: Internal &amp; External Audit Programme has basic controls in place but coverage is incomplete and execution is manual. Not consistently applied across all in-scope assets. Formal governance is absent.</t>
  </si>
  <si>
    <t xml:space="preserve">L2 — Developing: IT Hardware Asset Inventory (CMDB) has basic controls in place but coverage is incomplete and execution is manual. Not consistently applied across all in-scope assets. Formal governance is absent.</t>
  </si>
  <si>
    <t xml:space="preserve">L2 — Developing: Software Asset Inventory has basic controls in place but coverage is incomplete and execution is manual. Not consistently applied across all in-scope assets. Formal governance is absent.</t>
  </si>
  <si>
    <t xml:space="preserve">L2 — Developing: Cloud Infrastructure Asset Inventory has basic controls in place but coverage is incomplete and execution is manual. Not consistently applied across all in-scope assets. Formal governance is absent.</t>
  </si>
  <si>
    <t xml:space="preserve">L2 — Developing: SaaS &amp; Shadow IT Discovery has basic controls in place but coverage is incomplete and execution is manual. Not consistently applied across all in-scope assets. Formal governance is absent.</t>
  </si>
  <si>
    <t xml:space="preserve">L2 — Developing: Software Bill of Materials (SBOM) has basic controls in place but coverage is incomplete and execution is manual. Not consistently applied across all in-scope assets. Formal governance is absent.</t>
  </si>
  <si>
    <t xml:space="preserve">L2 — Developing: Network Topology &amp; Architecture Documentation has basic controls in place but coverage is incomplete and execution is manual. Not consistently applied across all in-scope assets. Formal governance is absent.</t>
  </si>
  <si>
    <t xml:space="preserve">L2 — Developing: Technology Lifecycle Management has basic controls in place but coverage is incomplete and execution is manual. Not consistently applied across all in-scope assets. Formal governance is absent.</t>
  </si>
  <si>
    <t xml:space="preserve">L2 — Developing: Data Classification Framework &amp; Implementation has basic controls in place but coverage is incomplete and execution is manual. Not consistently applied across all in-scope assets. Formal governance is absent.</t>
  </si>
  <si>
    <t xml:space="preserve">L2 — Developing: Sensitive Data Discovery &amp; Mapping has basic controls in place but coverage is incomplete and execution is manual. Not consistently applied across all in-scope assets. Formal governance is absent.</t>
  </si>
  <si>
    <t xml:space="preserve">L2 — Developing: Data Flow &amp; Transfer Mapping has basic controls in place but coverage is incomplete and execution is manual. Not consistently applied across all in-scope assets. Formal governance is absent.</t>
  </si>
  <si>
    <t xml:space="preserve">L2 — Developing: Retention Schedule &amp; Disposal Management has basic controls in place but coverage is incomplete and execution is manual. Not consistently applied across all in-scope assets. Formal governance is absent.</t>
  </si>
  <si>
    <t xml:space="preserve">L2 — Developing: Payment Data Scoping &amp; CDE Mapping has basic controls in place but coverage is incomplete and execution is manual. Not consistently applied across all in-scope assets. Formal governance is absent.</t>
  </si>
  <si>
    <t xml:space="preserve">L2 — Developing: Business Impact Analysis (BIA) has basic controls in place but coverage is incomplete and execution is manual. Not consistently applied across all in-scope assets. Formal governance is absent.</t>
  </si>
  <si>
    <t xml:space="preserve">L2 — Developing: Threat Landscape Assessment has basic controls in place but coverage is incomplete and execution is manual. Not consistently applied across all in-scope assets. Formal governance is absent.</t>
  </si>
  <si>
    <t xml:space="preserve">L2 — Developing: Vulnerability Management Programme has basic controls in place but coverage is incomplete and execution is manual. Not consistently applied across all in-scope assets. Formal governance is absent.</t>
  </si>
  <si>
    <t xml:space="preserve">L2 — Developing: Penetration Testing Programme has basic controls in place but coverage is incomplete and execution is manual. Not consistently applied across all in-scope assets. Formal governance is absent.</t>
  </si>
  <si>
    <t xml:space="preserve">L2 — Developing: Third-Party Security Rating Monitoring has basic controls in place but coverage is incomplete and execution is manual. Not consistently applied across all in-scope assets. Formal governance is absent.</t>
  </si>
  <si>
    <t xml:space="preserve">L2 — Developing: Critical Asset Identification &amp; Prioritisation has basic controls in place but coverage is incomplete and execution is manual. Not consistently applied across all in-scope assets. Formal governance is absent.</t>
  </si>
  <si>
    <t xml:space="preserve">L2 — Developing: SOX IT General Controls Assessment has basic controls in place but coverage is incomplete and execution is manual. Not consistently applied across all in-scope assets. Formal governance is absent.</t>
  </si>
  <si>
    <t xml:space="preserve">L2 — Developing: HIPAA Risk Analysis has basic controls in place but coverage is incomplete and execution is manual. Not consistently applied across all in-scope assets. Formal governance is absent.</t>
  </si>
  <si>
    <t xml:space="preserve">L2 — Developing: Security Metrics &amp; Measurement Framework has basic controls in place but coverage is incomplete and execution is manual. Not consistently applied across all in-scope assets. Formal governance is absent.</t>
  </si>
  <si>
    <t xml:space="preserve">L2 — Developing: Red Team Programme has basic controls in place but coverage is incomplete and execution is manual. Not consistently applied across all in-scope assets. Formal governance is absent.</t>
  </si>
  <si>
    <t xml:space="preserve">L2 — Developing: Multi-Factor Authentication — All Users has basic controls in place but coverage is incomplete and execution is manual. Not consistently applied across all in-scope assets. Formal governance is absent.</t>
  </si>
  <si>
    <t xml:space="preserve">L2 — Developing: Phishing-Resistant MFA for Privileged Accounts has basic controls in place but coverage is incomplete and execution is manual. Not consistently applied across all in-scope assets. Formal governance is absent.</t>
  </si>
  <si>
    <t xml:space="preserve">L2 — Developing: Privileged Access Management (PAM) has basic controls in place but coverage is incomplete and execution is manual. Not consistently applied across all in-scope assets. Formal governance is absent.</t>
  </si>
  <si>
    <t xml:space="preserve">L2 — Developing: Identity Lifecycle — Joiners Process has basic controls in place but coverage is incomplete and execution is manual. Not consistently applied across all in-scope assets. Formal governance is absent.</t>
  </si>
  <si>
    <t xml:space="preserve">L2 — Developing: Identity Lifecycle — Movers Process has basic controls in place but coverage is incomplete and execution is manual. Not consistently applied across all in-scope assets. Formal governance is absent.</t>
  </si>
  <si>
    <t xml:space="preserve">L2 — Developing: Identity Lifecycle — Leavers Process has basic controls in place but coverage is incomplete and execution is manual. Not consistently applied across all in-scope assets. Formal governance is absent.</t>
  </si>
  <si>
    <t xml:space="preserve">L2 — Developing: Quarterly Access Reviews (Access Certification) has basic controls in place but coverage is incomplete and execution is manual. Not consistently applied across all in-scope assets. Formal governance is absent.</t>
  </si>
  <si>
    <t xml:space="preserve">L2 — Developing: Single Sign-On (SSO) &amp; Federation has basic controls in place but coverage is incomplete and execution is manual. Not consistently applied across all in-scope assets. Formal governance is absent.</t>
  </si>
  <si>
    <t xml:space="preserve">L2 — Developing: Separation of Duties (SoD) Controls has basic controls in place but coverage is incomplete and execution is manual. Not consistently applied across all in-scope assets. Formal governance is absent.</t>
  </si>
  <si>
    <t xml:space="preserve">L2 — Developing: Dormant Account Detection &amp; Management has basic controls in place but coverage is incomplete and execution is manual. Not consistently applied across all in-scope assets. Formal governance is absent.</t>
  </si>
  <si>
    <t xml:space="preserve">L2 — Developing: Machine Identity &amp; Service Account Management has basic controls in place but coverage is incomplete and execution is manual. Not consistently applied across all in-scope assets. Formal governance is absent.</t>
  </si>
  <si>
    <t xml:space="preserve">L2 — Developing: API Key &amp; Secrets Management has basic controls in place but coverage is incomplete and execution is manual. Not consistently applied across all in-scope assets. Formal governance is absent.</t>
  </si>
  <si>
    <t xml:space="preserve">L2 — Developing: Zero Trust Architecture (ZTA) Implementation has basic controls in place but coverage is incomplete and execution is manual. Not consistently applied across all in-scope assets. Formal governance is absent.</t>
  </si>
  <si>
    <t xml:space="preserve">L2 — Developing: Encryption at Rest — Sensitive Data has basic controls in place but coverage is incomplete and execution is manual. Not consistently applied across all in-scope assets. Formal governance is absent.</t>
  </si>
  <si>
    <t xml:space="preserve">L2 — Developing: Encryption in Transit — TLS Enforcement has basic controls in place but coverage is incomplete and execution is manual. Not consistently applied across all in-scope assets. Formal governance is absent.</t>
  </si>
  <si>
    <t xml:space="preserve">L2 — Developing: Data Loss Prevention (DLP) — Email has basic controls in place but coverage is incomplete and execution is manual. Not consistently applied across all in-scope assets. Formal governance is absent.</t>
  </si>
  <si>
    <t xml:space="preserve">L2 — Developing: Data Loss Prevention (DLP) — Endpoint has basic controls in place but coverage is incomplete and execution is manual. Not consistently applied across all in-scope assets. Formal governance is absent.</t>
  </si>
  <si>
    <t xml:space="preserve">L2 — Developing: Data Loss Prevention (DLP) — Cloud &amp; SaaS has basic controls in place but coverage is incomplete and execution is manual. Not consistently applied across all in-scope assets. Formal governance is absent.</t>
  </si>
  <si>
    <t xml:space="preserve">L2 — Developing: Data Masking &amp; Pseudonymisation has basic controls in place but coverage is incomplete and execution is manual. Not consistently applied across all in-scope assets. Formal governance is absent.</t>
  </si>
  <si>
    <t xml:space="preserve">L2 — Developing: Payment Card Data (PAN) Protection has basic controls in place but coverage is incomplete and execution is manual. Not consistently applied across all in-scope assets. Formal governance is absent.</t>
  </si>
  <si>
    <t xml:space="preserve">L2 — Developing: Backup — Architecture &amp; Immutability has basic controls in place but coverage is incomplete and execution is manual. Not consistently applied across all in-scope assets. Formal governance is absent.</t>
  </si>
  <si>
    <t xml:space="preserve">L2 — Developing: Backup — Restoration Testing has basic controls in place but coverage is incomplete and execution is manual. Not consistently applied across all in-scope assets. Formal governance is absent.</t>
  </si>
  <si>
    <t xml:space="preserve">L2 — Developing: Email Security — DMARC, DKIM, SPF has basic controls in place but coverage is incomplete and execution is manual. Not consistently applied across all in-scope assets. Formal governance is absent.</t>
  </si>
  <si>
    <t xml:space="preserve">L2 — Developing: Email Security — Anti-Phishing &amp; Sandboxing has basic controls in place but coverage is incomplete and execution is manual. Not consistently applied across all in-scope assets. Formal governance is absent.</t>
  </si>
  <si>
    <t xml:space="preserve">L2 — Developing: Cryptographic Standards &amp; Key Lifecycle has basic controls in place but coverage is incomplete and execution is manual. Not consistently applied across all in-scope assets. Formal governance is absent.</t>
  </si>
  <si>
    <t xml:space="preserve">L2 — Developing: Endpoint Detection &amp; Response (EDR) has basic controls in place but coverage is incomplete and execution is manual. Not consistently applied across all in-scope assets. Formal governance is absent.</t>
  </si>
  <si>
    <t xml:space="preserve">L2 — Developing: Endpoint Hardening &amp; CIS Benchmark Compliance has basic controls in place but coverage is incomplete and execution is manual. Not consistently applied across all in-scope assets. Formal governance is absent.</t>
  </si>
  <si>
    <t xml:space="preserve">L2 — Developing: Patch Management — Critical &amp; High Vulnerabilities has basic controls in place but coverage is incomplete and execution is manual. Not consistently applied across all in-scope assets. Formal governance is absent.</t>
  </si>
  <si>
    <t xml:space="preserve">L2 — Developing: Patch Management — Medium &amp; Low Vulnerabilities has basic controls in place but coverage is incomplete and execution is manual. Not consistently applied across all in-scope assets. Formal governance is absent.</t>
  </si>
  <si>
    <t xml:space="preserve">L2 — Developing: End-of-Life (EOL) Software &amp; OS Management has basic controls in place but coverage is incomplete and execution is manual. Not consistently applied across all in-scope assets. Formal governance is absent.</t>
  </si>
  <si>
    <t xml:space="preserve">L2 — Developing: Application Whitelisting / Allowlisting has basic controls in place but coverage is incomplete and execution is manual. Not consistently applied across all in-scope assets. Formal governance is absent.</t>
  </si>
  <si>
    <t xml:space="preserve">L2 — Developing: Removable Media Controls has basic controls in place but coverage is incomplete and execution is manual. Not consistently applied across all in-scope assets. Formal governance is absent.</t>
  </si>
  <si>
    <t xml:space="preserve">L2 — Developing: Mobile Device Management (MDM) has basic controls in place but coverage is incomplete and execution is manual. Not consistently applied across all in-scope assets. Formal governance is absent.</t>
  </si>
  <si>
    <t xml:space="preserve">L2 — Developing: Network Segmentation — Zone Architecture has basic controls in place but coverage is incomplete and execution is manual. Not consistently applied across all in-scope assets. Formal governance is absent.</t>
  </si>
  <si>
    <t xml:space="preserve">L2 — Developing: Network Microsegmentation (Cloud &amp; Data Centre) has basic controls in place but coverage is incomplete and execution is manual. Not consistently applied across all in-scope assets. Formal governance is absent.</t>
  </si>
  <si>
    <t xml:space="preserve">L2 — Developing: CDE Network Segmentation Validation has basic controls in place but coverage is incomplete and execution is manual. Not consistently applied across all in-scope assets. Formal governance is absent.</t>
  </si>
  <si>
    <t xml:space="preserve">L2 — Developing: NGFW &amp; Firewall Rule Management has basic controls in place but coverage is incomplete and execution is manual. Not consistently applied across all in-scope assets. Formal governance is absent.</t>
  </si>
  <si>
    <t xml:space="preserve">L2 — Developing: Web Application Firewall (WAF) has basic controls in place but coverage is incomplete and execution is manual. Not consistently applied across all in-scope assets. Formal governance is absent.</t>
  </si>
  <si>
    <t xml:space="preserve">L2 — Developing: Zero Trust Network Access (ZTNA) has basic controls in place but coverage is incomplete and execution is manual. Not consistently applied across all in-scope assets. Formal governance is absent.</t>
  </si>
  <si>
    <t xml:space="preserve">L2 — Developing: SASE Architecture has basic controls in place but coverage is incomplete and execution is manual. Not consistently applied across all in-scope assets. Formal governance is absent.</t>
  </si>
  <si>
    <t xml:space="preserve">L2 — Developing: Protective DNS &amp; DNS Security has basic controls in place but coverage is incomplete and execution is manual. Not consistently applied across all in-scope assets. Formal governance is absent.</t>
  </si>
  <si>
    <t xml:space="preserve">L2 — Developing: Egress Filtering &amp; Allowlisting has basic controls in place but coverage is incomplete and execution is manual. Not consistently applied across all in-scope assets. Formal governance is absent.</t>
  </si>
  <si>
    <t xml:space="preserve">L2 — Developing: Network Intrusion Prevention (IPS) has basic controls in place but coverage is incomplete and execution is manual. Not consistently applied across all in-scope assets. Formal governance is absent.</t>
  </si>
  <si>
    <t xml:space="preserve">L2 — Developing: Remote Administration Security has basic controls in place but coverage is incomplete and execution is manual. Not consistently applied across all in-scope assets. Formal governance is absent.</t>
  </si>
  <si>
    <t xml:space="preserve">L2 — Developing: Wireless Network Security has basic controls in place but coverage is incomplete and execution is manual. Not consistently applied across all in-scope assets. Formal governance is absent.</t>
  </si>
  <si>
    <t xml:space="preserve">L2 — Developing: OT/ICS Network Security has basic controls in place but coverage is incomplete and execution is manual. Not consistently applied across all in-scope assets. Formal governance is absent.</t>
  </si>
  <si>
    <t xml:space="preserve">L2 — Developing: Secure SDLC — Security Requirements has basic controls in place but coverage is incomplete and execution is manual. Not consistently applied across all in-scope assets. Formal governance is absent.</t>
  </si>
  <si>
    <t xml:space="preserve">L2 — Developing: Secure SDLC — Static Analysis (SAST) has basic controls in place but coverage is incomplete and execution is manual. Not consistently applied across all in-scope assets. Formal governance is absent.</t>
  </si>
  <si>
    <t xml:space="preserve">L2 — Developing: Secure SDLC — Software Composition Analysis (SCA) has basic controls in place but coverage is incomplete and execution is manual. Not consistently applied across all in-scope assets. Formal governance is absent.</t>
  </si>
  <si>
    <t xml:space="preserve">L2 — Developing: Secure SDLC — Dynamic Analysis (DAST) has basic controls in place but coverage is incomplete and execution is manual. Not consistently applied across all in-scope assets. Formal governance is absent.</t>
  </si>
  <si>
    <t xml:space="preserve">L2 — Developing: Secure SDLC — Release Security Sign-Off has basic controls in place but coverage is incomplete and execution is manual. Not consistently applied across all in-scope assets. Formal governance is absent.</t>
  </si>
  <si>
    <t xml:space="preserve">L2 — Developing: API Security — Inventory &amp; Gateway has basic controls in place but coverage is incomplete and execution is manual. Not consistently applied across all in-scope assets. Formal governance is absent.</t>
  </si>
  <si>
    <t xml:space="preserve">L2 — Developing: Container Security — Image Scanning has basic controls in place but coverage is incomplete and execution is manual. Not consistently applied across all in-scope assets. Formal governance is absent.</t>
  </si>
  <si>
    <t xml:space="preserve">L2 — Developing: Container Security — Runtime Protection has basic controls in place but coverage is incomplete and execution is manual. Not consistently applied across all in-scope assets. Formal governance is absent.</t>
  </si>
  <si>
    <t xml:space="preserve">L2 — Developing: Secrets Exposure Prevention in Code has basic controls in place but coverage is incomplete and execution is manual. Not consistently applied across all in-scope assets. Formal governance is absent.</t>
  </si>
  <si>
    <t xml:space="preserve">L2 — Developing: Payment Page &amp; Script Integrity has basic controls in place but coverage is incomplete and execution is manual. Not consistently applied across all in-scope assets. Formal governance is absent.</t>
  </si>
  <si>
    <t xml:space="preserve">L2 — Developing: Software Supply Chain Security has basic controls in place but coverage is incomplete and execution is manual. Not consistently applied across all in-scope assets. Formal governance is absent.</t>
  </si>
  <si>
    <t xml:space="preserve">L2 — Developing: Threat Modelling Programme has basic controls in place but coverage is incomplete and execution is manual. Not consistently applied across all in-scope assets. Formal governance is absent.</t>
  </si>
  <si>
    <t xml:space="preserve">L2 — Developing: Cloud Security Posture Management (CSPM) has basic controls in place but coverage is incomplete and execution is manual. Not consistently applied across all in-scope assets. Formal governance is absent.</t>
  </si>
  <si>
    <t xml:space="preserve">L2 — Developing: Cloud Infrastructure Entitlement Management (CIEM) has basic controls in place but coverage is incomplete and execution is manual. Not consistently applied across all in-scope assets. Formal governance is absent.</t>
  </si>
  <si>
    <t xml:space="preserve">L2 — Developing: Cloud Shared Responsibility Matrix has basic controls in place but coverage is incomplete and execution is manual. Not consistently applied across all in-scope assets. Formal governance is absent.</t>
  </si>
  <si>
    <t xml:space="preserve">L2 — Developing: Cloud Native Security Controls (AWS/Azure/GCP) has basic controls in place but coverage is incomplete and execution is manual. Not consistently applied across all in-scope assets. Formal governance is absent.</t>
  </si>
  <si>
    <t xml:space="preserve">L2 — Developing: Cloud Key Management &amp; HSM has basic controls in place but coverage is incomplete and execution is manual. Not consistently applied across all in-scope assets. Formal governance is absent.</t>
  </si>
  <si>
    <t xml:space="preserve">L2 — Developing: FedRAMP Compliance (where applicable) has basic controls in place but coverage is incomplete and execution is manual. Not consistently applied across all in-scope assets. Formal governance is absent.</t>
  </si>
  <si>
    <t xml:space="preserve">L2 — Developing: Data Residency &amp; Sovereignty Controls has basic controls in place but coverage is incomplete and execution is manual. Not consistently applied across all in-scope assets. Formal governance is absent.</t>
  </si>
  <si>
    <t xml:space="preserve">L2 — Developing: SaaS Security &amp; CASB has basic controls in place but coverage is incomplete and execution is manual. Not consistently applied across all in-scope assets. Formal governance is absent.</t>
  </si>
  <si>
    <t xml:space="preserve">L2 — Developing: Cloud Configuration Drift Prevention has basic controls in place but coverage is incomplete and execution is manual. Not consistently applied across all in-scope assets. Formal governance is absent.</t>
  </si>
  <si>
    <t xml:space="preserve">L2 — Developing: Container Orchestration Security (Kubernetes) has basic controls in place but coverage is incomplete and execution is manual. Not consistently applied across all in-scope assets. Formal governance is absent.</t>
  </si>
  <si>
    <t xml:space="preserve">L2 — Developing: Cloud Workload Protection Platform (CWPP) has basic controls in place but coverage is incomplete and execution is manual. Not consistently applied across all in-scope assets. Formal governance is absent.</t>
  </si>
  <si>
    <t xml:space="preserve">L2 — Developing: Prompt Injection Prevention has basic controls in place but coverage is incomplete and execution is manual. Not consistently applied across all in-scope assets. Formal governance is absent.</t>
  </si>
  <si>
    <t xml:space="preserve">L2 — Developing: AI Model Access Control &amp; RBAC has basic controls in place but coverage is incomplete and execution is manual. Not consistently applied across all in-scope assets. Formal governance is absent.</t>
  </si>
  <si>
    <t xml:space="preserve">L2 — Developing: AI Output Monitoring &amp; Content Filtering has basic controls in place but coverage is incomplete and execution is manual. Not consistently applied across all in-scope assets. Formal governance is absent.</t>
  </si>
  <si>
    <t xml:space="preserve">L2 — Developing: Adversarial AI Testing has basic controls in place but coverage is incomplete and execution is manual. Not consistently applied across all in-scope assets. Formal governance is absent.</t>
  </si>
  <si>
    <t xml:space="preserve">L2 — Developing: Physical Access Control has basic controls in place but coverage is incomplete and execution is manual. Not consistently applied across all in-scope assets. Formal governance is absent.</t>
  </si>
  <si>
    <t xml:space="preserve">L2 — Developing: Clean Desk &amp; Screen Lock Policy has basic controls in place but coverage is incomplete and execution is manual. Not consistently applied across all in-scope assets. Formal governance is absent.</t>
  </si>
  <si>
    <t xml:space="preserve">L2 — Developing: Security Awareness Training — Annual has basic controls in place but coverage is incomplete and execution is manual. Not consistently applied across all in-scope assets. Formal governance is absent.</t>
  </si>
  <si>
    <t xml:space="preserve">L2 — Developing: Role-Specific Security Training has basic controls in place but coverage is incomplete and execution is manual. Not consistently applied across all in-scope assets. Formal governance is absent.</t>
  </si>
  <si>
    <t xml:space="preserve">L2 — Developing: Phishing Simulation Programme has basic controls in place but coverage is incomplete and execution is manual. Not consistently applied across all in-scope assets. Formal governance is absent.</t>
  </si>
  <si>
    <t xml:space="preserve">L2 — Developing: AI Literacy &amp; Security Training has basic controls in place but coverage is incomplete and execution is manual. Not consistently applied across all in-scope assets. Formal governance is absent.</t>
  </si>
  <si>
    <t xml:space="preserve">L2 — Developing: Data Subject Rights — Process &amp; Fulfilment has basic controls in place but coverage is incomplete and execution is manual. Not consistently applied across all in-scope assets. Formal governance is absent.</t>
  </si>
  <si>
    <t xml:space="preserve">L2 — Developing: Personnel Security — Background Screening has basic controls in place but coverage is incomplete and execution is manual. Not consistently applied across all in-scope assets. Formal governance is absent.</t>
  </si>
  <si>
    <t xml:space="preserve">L2 — Developing: Security by Default — Product Configuration has basic controls in place but coverage is incomplete and execution is manual. Not consistently applied across all in-scope assets. Formal governance is absent.</t>
  </si>
  <si>
    <t xml:space="preserve">L2 — Developing: NIS2 Supply Chain Security Obligations has basic controls in place but coverage is incomplete and execution is manual. Not consistently applied across all in-scope assets. Formal governance is absent.</t>
  </si>
  <si>
    <t xml:space="preserve">L2 — Developing: SIEM — Log Ingestion &amp; Coverage has basic controls in place but coverage is incomplete and execution is manual. Not consistently applied across all in-scope assets. Formal governance is absent.</t>
  </si>
  <si>
    <t xml:space="preserve">L2 — Developing: SIEM — Use Case Library &amp; Threat Coverage has basic controls in place but coverage is incomplete and execution is manual. Not consistently applied across all in-scope assets. Formal governance is absent.</t>
  </si>
  <si>
    <t xml:space="preserve">L2 — Developing: SIEM — Log Integrity &amp; Tamper Protection has basic controls in place but coverage is incomplete and execution is manual. Not consistently applied across all in-scope assets. Formal governance is absent.</t>
  </si>
  <si>
    <t xml:space="preserve">L2 — Developing: SIEM — Compliance Monitoring Use Cases has basic controls in place but coverage is incomplete and execution is manual. Not consistently applied across all in-scope assets. Formal governance is absent.</t>
  </si>
  <si>
    <t xml:space="preserve">L2 — Developing: Log Retention &amp; Archival Management has basic controls in place but coverage is incomplete and execution is manual. Not consistently applied across all in-scope assets. Formal governance is absent.</t>
  </si>
  <si>
    <t xml:space="preserve">L2 — Developing: Telemetry Coverage Management has basic controls in place but coverage is incomplete and execution is manual. Not consistently applied across all in-scope assets. Formal governance is absent.</t>
  </si>
  <si>
    <t xml:space="preserve">L2 — Developing: Detection Health Monitoring has basic controls in place but coverage is incomplete and execution is manual. Not consistently applied across all in-scope assets. Formal governance is absent.</t>
  </si>
  <si>
    <t xml:space="preserve">L2 — Developing: SOC Operations — Triage &amp; Investigation has basic controls in place but coverage is incomplete and execution is manual. Not consistently applied across all in-scope assets. Formal governance is absent.</t>
  </si>
  <si>
    <t xml:space="preserve">L2 — Developing: NIS2 Significant Incident Classification has basic controls in place but coverage is incomplete and execution is manual. Not consistently applied across all in-scope assets. Formal governance is absent.</t>
  </si>
  <si>
    <t xml:space="preserve">L2 — Developing: DORA Major Incident Classification has basic controls in place but coverage is incomplete and execution is manual. Not consistently applied across all in-scope assets. Formal governance is absent.</t>
  </si>
  <si>
    <t xml:space="preserve">L2 — Developing: Threat Intelligence Integration has basic controls in place but coverage is incomplete and execution is manual. Not consistently applied across all in-scope assets. Formal governance is absent.</t>
  </si>
  <si>
    <t xml:space="preserve">L2 — Developing: User &amp; Entity Behaviour Analytics (UEBA) has basic controls in place but coverage is incomplete and execution is manual. Not consistently applied across all in-scope assets. Formal governance is absent.</t>
  </si>
  <si>
    <t xml:space="preserve">L2 — Developing: Network Detection &amp; Response (NDR) has basic controls in place but coverage is incomplete and execution is manual. Not consistently applied across all in-scope assets. Formal governance is absent.</t>
  </si>
  <si>
    <t xml:space="preserve">L2 — Developing: Cloud Detection &amp; Response has basic controls in place but coverage is incomplete and execution is manual. Not consistently applied across all in-scope assets. Formal governance is absent.</t>
  </si>
  <si>
    <t xml:space="preserve">L2 — Developing: Privacy Event Detection has basic controls in place but coverage is incomplete and execution is manual. Not consistently applied across all in-scope assets. Formal governance is absent.</t>
  </si>
  <si>
    <t xml:space="preserve">L2 — Developing: SOX Financial System Monitoring has basic controls in place but coverage is incomplete and execution is manual. Not consistently applied across all in-scope assets. Formal governance is absent.</t>
  </si>
  <si>
    <t xml:space="preserve">L2 — Developing: Dark Web &amp; Exposure Monitoring has basic controls in place but coverage is incomplete and execution is manual. Not consistently applied across all in-scope assets. Formal governance is absent.</t>
  </si>
  <si>
    <t xml:space="preserve">L2 — Developing: AI-Specific Threat Detection has basic controls in place but coverage is incomplete and execution is manual. Not consistently applied across all in-scope assets. Formal governance is absent.</t>
  </si>
  <si>
    <t xml:space="preserve">L2 — Developing: Detection Validation — Purple Team Exercises has basic controls in place but coverage is incomplete and execution is manual. Not consistently applied across all in-scope assets. Formal governance is absent.</t>
  </si>
  <si>
    <t xml:space="preserve">L2 — Developing: Security Metrics &amp; KPIs — Detection Domain has basic controls in place but coverage is incomplete and execution is manual. Not consistently applied across all in-scope assets. Formal governance is absent.</t>
  </si>
  <si>
    <t xml:space="preserve">L2 — Developing: Security Dashboard &amp; Visibility has basic controls in place but coverage is incomplete and execution is manual. Not consistently applied across all in-scope assets. Formal governance is absent.</t>
  </si>
  <si>
    <t xml:space="preserve">L2 — Developing: Vulnerability Scanner Integration has basic controls in place but coverage is incomplete and execution is manual. Not consistently applied across all in-scope assets. Formal governance is absent.</t>
  </si>
  <si>
    <t xml:space="preserve">L2 — Developing: Incident Response Plan (IRP) has basic controls in place but coverage is incomplete and execution is manual. Not consistently applied across all in-scope assets. Formal governance is absent.</t>
  </si>
  <si>
    <t xml:space="preserve">L2 — Developing: Evidence Preservation &amp; Chain of Custody has basic controls in place but coverage is incomplete and execution is manual. Not consistently applied across all in-scope assets. Formal governance is absent.</t>
  </si>
  <si>
    <t xml:space="preserve">L2 — Developing: Third-Party Incident Coordination has basic controls in place but coverage is incomplete and execution is manual. Not consistently applied across all in-scope assets. Formal governance is absent.</t>
  </si>
  <si>
    <t xml:space="preserve">L2 — Developing: Cyber Insurance Engagement &amp; Claim Management has basic controls in place but coverage is incomplete and execution is manual. Not consistently applied across all in-scope assets. Formal governance is absent.</t>
  </si>
  <si>
    <t xml:space="preserve">L2 — Developing: Incident Playbooks — Ransomware has basic controls in place but coverage is incomplete and execution is manual. Not consistently applied across all in-scope assets. Formal governance is absent.</t>
  </si>
  <si>
    <t xml:space="preserve">L2 — Developing: Incident Playbooks — Data Breach has basic controls in place but coverage is incomplete and execution is manual. Not consistently applied across all in-scope assets. Formal governance is absent.</t>
  </si>
  <si>
    <t xml:space="preserve">L2 — Developing: Incident Playbooks — Business Email Compromise has basic controls in place but coverage is incomplete and execution is manual. Not consistently applied across all in-scope assets. Formal governance is absent.</t>
  </si>
  <si>
    <t xml:space="preserve">L2 — Developing: Incident Playbooks — Cloud Security Incident has basic controls in place but coverage is incomplete and execution is manual. Not consistently applied across all in-scope assets. Formal governance is absent.</t>
  </si>
  <si>
    <t xml:space="preserve">L2 — Developing: NIS2 Three-Stage Notification Process has basic controls in place but coverage is incomplete and execution is manual. Not consistently applied across all in-scope assets. Formal governance is absent.</t>
  </si>
  <si>
    <t xml:space="preserve">L2 — Developing: DORA Major Incident Reporting Process has basic controls in place but coverage is incomplete and execution is manual. Not consistently applied across all in-scope assets. Formal governance is absent.</t>
  </si>
  <si>
    <t xml:space="preserve">L2 — Developing: GDPR Breach Notification Process has basic controls in place but coverage is incomplete and execution is manual. Not consistently applied across all in-scope assets. Formal governance is absent.</t>
  </si>
  <si>
    <t xml:space="preserve">L2 — Developing: Breach Materiality &amp; Regulatory Decision Tree has basic controls in place but coverage is incomplete and execution is manual. Not consistently applied across all in-scope assets. Formal governance is absent.</t>
  </si>
  <si>
    <t xml:space="preserve">L2 — Developing: Tabletop Exercises — Technical has basic controls in place but coverage is incomplete and execution is manual. Not consistently applied across all in-scope assets. Formal governance is absent.</t>
  </si>
  <si>
    <t xml:space="preserve">L2 — Developing: Tabletop Exercises — Executive has basic controls in place but coverage is incomplete and execution is manual. Not consistently applied across all in-scope assets. Formal governance is absent.</t>
  </si>
  <si>
    <t xml:space="preserve">L2 — Developing: Post-Incident Review &amp; Lessons Learned has basic controls in place but coverage is incomplete and execution is manual. Not consistently applied across all in-scope assets. Formal governance is absent.</t>
  </si>
  <si>
    <t xml:space="preserve">L2 — Developing: Regulatory Investigation Management has basic controls in place but coverage is incomplete and execution is manual. Not consistently applied across all in-scope assets. Formal governance is absent.</t>
  </si>
  <si>
    <t xml:space="preserve">L2 — Developing: Business Continuity Plan (BCP) has basic controls in place but coverage is incomplete and execution is manual. Not consistently applied across all in-scope assets. Formal governance is absent.</t>
  </si>
  <si>
    <t xml:space="preserve">L2 — Developing: Disaster Recovery Plan (DRP) has basic controls in place but coverage is incomplete and execution is manual. Not consistently applied across all in-scope assets. Formal governance is absent.</t>
  </si>
  <si>
    <t xml:space="preserve">L2 — Developing: Recovery Time Objective (RTO) Validation has basic controls in place but coverage is incomplete and execution is manual. Not consistently applied across all in-scope assets. Formal governance is absent.</t>
  </si>
  <si>
    <t xml:space="preserve">L2 — Developing: Recovery Point Objective (RPO) Validation has basic controls in place but coverage is incomplete and execution is manual. Not consistently applied across all in-scope assets. Formal governance is absent.</t>
  </si>
  <si>
    <t xml:space="preserve">L2 — Developing: Crisis Communications Plan has basic controls in place but coverage is incomplete and execution is manual. Not consistently applied across all in-scope assets. Formal governance is absent.</t>
  </si>
  <si>
    <t xml:space="preserve">L2 — Developing: Recovery Testing — Full System Failover has basic controls in place but coverage is incomplete and execution is manual. Not consistently applied across all in-scope assets. Formal governance is absent.</t>
  </si>
  <si>
    <t xml:space="preserve">L2 — Developing: DORA Threat-Led Penetration Testing (TLPT) has basic controls in place but coverage is incomplete and execution is manual. Not consistently applied across all in-scope assets. Formal governance is absent.</t>
  </si>
  <si>
    <t xml:space="preserve">L2 — Developing: Post-Recovery Control Validation has basic controls in place but coverage is incomplete and execution is manual. Not consistently applied across all in-scope assets. Formal governance is absent.</t>
  </si>
  <si>
    <t xml:space="preserve">L2 — Developing: Privacy Capability Restoration has basic controls in place but coverage is incomplete and execution is manual. Not consistently applied across all in-scope assets. Formal governance is absent.</t>
  </si>
  <si>
    <t xml:space="preserve">L2 — Developing: AI Model Integrity Validation (Post-Recovery) has basic controls in place but coverage is incomplete and execution is manual. Not consistently applied across all in-scope assets. Formal governance is absent.</t>
  </si>
  <si>
    <t xml:space="preserve">L2 — Developing: CDE Recovery &amp; PCI Compliance Re-validation has basic controls in place but coverage is incomplete and execution is manual. Not consistently applied across all in-scope assets. Formal governance is absent.</t>
  </si>
  <si>
    <t xml:space="preserve">L2 — Developing: Continuity Testing — Tabletop &amp; Simulation has basic controls in place but coverage is incomplete and execution is manual. Not consistently applied across all in-scope assets. Formal governance is absent.</t>
  </si>
  <si>
    <t xml:space="preserve">L2 — Developing: Lessons Learned — Continuity Programme Integration has basic controls in place but coverage is incomplete and execution is manual. Not consistently applied across all in-scope assets. Formal governance is absent.</t>
  </si>
  <si>
    <t xml:space="preserve">L2 — Developing: Business Service Recovery Validation has basic controls in place but coverage is incomplete and execution is manual. Not consistently applied across all in-scope assets. Formal governance is absent.</t>
  </si>
  <si>
    <t xml:space="preserve">L2 — Developing: Recovery Metrics — RTO/RPO Achievement Tracking has basic controls in place but coverage is incomplete and execution is manual. Not consistently applied across all in-scope assets. Formal governance is absent.</t>
  </si>
  <si>
    <t xml:space="preserve">L2 — Developing: Operational Technology (OT) Continuity has basic controls in place but coverage is incomplete and execution is manual. Not consistently applied across all in-scope assets. Formal governance is absent.</t>
  </si>
  <si>
    <t xml:space="preserve">L2 — Developing: Supplier Resilience Assessment has basic controls in place but coverage is incomplete and execution is manual. Not consistently applied across all in-scope assets. Formal governance is absent.</t>
  </si>
  <si>
    <t xml:space="preserve">L3 — Defined: CISO / Security Leadership is documented, consistently applied organisation-wide, and reviewed at least annually. Evidence is routinely collected and exceptions are formally managed with named owners.</t>
  </si>
  <si>
    <t xml:space="preserve">L3 — Defined: Cybersecurity Strategy &amp; Programme is documented, consistently applied organisation-wide, and reviewed at least annually. Evidence is routinely collected and exceptions are formally managed with named owners.</t>
  </si>
  <si>
    <t xml:space="preserve">L3 — Defined: Cyber Budget &amp; Investment Model is documented, consistently applied organisation-wide, and reviewed at least annually. Evidence is routinely collected and exceptions are formally managed with named owners.</t>
  </si>
  <si>
    <t xml:space="preserve">L3 — Defined: Security Organisational Structure is documented, consistently applied organisation-wide, and reviewed at least annually. Evidence is routinely collected and exceptions are formally managed with named owners.</t>
  </si>
  <si>
    <t xml:space="preserve">L3 — Defined: Board-Level Cybersecurity Oversight is documented, consistently applied organisation-wide, and reviewed at least annually. Evidence is routinely collected and exceptions are formally managed with named owners.</t>
  </si>
  <si>
    <t xml:space="preserve">L3 — Defined: Security Policy Framework &amp; Hierarchy is documented, consistently applied organisation-wide, and reviewed at least annually. Evidence is routinely collected and exceptions are formally managed with named owners.</t>
  </si>
  <si>
    <t xml:space="preserve">L3 — Defined: Policy Attestation &amp; Enforcement is documented, consistently applied organisation-wide, and reviewed at least annually. Evidence is routinely collected and exceptions are formally managed with named owners.</t>
  </si>
  <si>
    <t xml:space="preserve">L3 — Defined: Policy Exception Governance is documented, consistently applied organisation-wide, and reviewed at least annually. Evidence is routinely collected and exceptions are formally managed with named owners.</t>
  </si>
  <si>
    <t xml:space="preserve">L3 — Defined: Control Standards Management is documented, consistently applied organisation-wide, and reviewed at least annually. Evidence is routinely collected and exceptions are formally managed with named owners.</t>
  </si>
  <si>
    <t xml:space="preserve">L3 — Defined: Regulatory Obligation Register &amp; Mapping is documented, consistently applied organisation-wide, and reviewed at least annually. Evidence is routinely collected and exceptions are formally managed with named owners.</t>
  </si>
  <si>
    <t xml:space="preserve">L3 — Defined: Regulatory Change Management is documented, consistently applied organisation-wide, and reviewed at least annually. Evidence is routinely collected and exceptions are formally managed with named owners.</t>
  </si>
  <si>
    <t xml:space="preserve">L3 — Defined: Security Standards for Third Parties is documented, consistently applied organisation-wide, and reviewed at least annually. Evidence is routinely collected and exceptions are formally managed with named owners.</t>
  </si>
  <si>
    <t xml:space="preserve">L3 — Defined: Enterprise Risk Framework Integration is documented, consistently applied organisation-wide, and reviewed at least annually. Evidence is routinely collected and exceptions are formally managed with named owners.</t>
  </si>
  <si>
    <t xml:space="preserve">L3 — Defined: Risk Appetite &amp; Tolerance Thresholds is documented, consistently applied organisation-wide, and reviewed at least annually. Evidence is routinely collected and exceptions are formally managed with named owners.</t>
  </si>
  <si>
    <t xml:space="preserve">L3 — Defined: Risk Register Management &amp; Reporting is documented, consistently applied organisation-wide, and reviewed at least annually. Evidence is routinely collected and exceptions are formally managed with named owners.</t>
  </si>
  <si>
    <t xml:space="preserve">L3 — Defined: Cyber Risk Quantification is documented, consistently applied organisation-wide, and reviewed at least annually. Evidence is routinely collected and exceptions are formally managed with named owners.</t>
  </si>
  <si>
    <t xml:space="preserve">L3 — Defined: Third-Party Risk Management (TPRM) Programme is documented, consistently applied organisation-wide, and reviewed at least annually. Evidence is routinely collected and exceptions are formally managed with named owners.</t>
  </si>
  <si>
    <t xml:space="preserve">L3 — Defined: Vendor Security Assessment Process is documented, consistently applied organisation-wide, and reviewed at least annually. Evidence is routinely collected and exceptions are formally managed with named owners.</t>
  </si>
  <si>
    <t xml:space="preserve">L3 — Defined: Vendor Contractual Security Obligations is documented, consistently applied organisation-wide, and reviewed at least annually. Evidence is routinely collected and exceptions are formally managed with named owners.</t>
  </si>
  <si>
    <t xml:space="preserve">L3 — Defined: Fourth-Party &amp; Sub-Processor Mapping is documented, consistently applied organisation-wide, and reviewed at least annually. Evidence is routinely collected and exceptions are formally managed with named owners.</t>
  </si>
  <si>
    <t xml:space="preserve">L3 — Defined: DORA TPSP Critical Register is documented, consistently applied organisation-wide, and reviewed at least annually. Evidence is routinely collected and exceptions are formally managed with named owners.</t>
  </si>
  <si>
    <t xml:space="preserve">L3 — Defined: Software Supply Chain Security Governance is documented, consistently applied organisation-wide, and reviewed at least annually. Evidence is routinely collected and exceptions are formally managed with named owners.</t>
  </si>
  <si>
    <t xml:space="preserve">L3 — Defined: Supplier Resilience Requirements is documented, consistently applied organisation-wide, and reviewed at least annually. Evidence is routinely collected and exceptions are formally managed with named owners.</t>
  </si>
  <si>
    <t xml:space="preserve">L3 — Defined: Privacy Governance &amp; DPO/Privacy Lead is documented, consistently applied organisation-wide, and reviewed at least annually. Evidence is routinely collected and exceptions are formally managed with named owners.</t>
  </si>
  <si>
    <t xml:space="preserve">L3 — Defined: Records of Processing Activities (ROPA) is documented, consistently applied organisation-wide, and reviewed at least annually. Evidence is routinely collected and exceptions are formally managed with named owners.</t>
  </si>
  <si>
    <t xml:space="preserve">L3 — Defined: Data Protection Impact Assessments (DPIAs) is documented, consistently applied organisation-wide, and reviewed at least annually. Evidence is routinely collected and exceptions are formally managed with named owners.</t>
  </si>
  <si>
    <t xml:space="preserve">L3 — Defined: Cross-Border Data Transfer Controls is documented, consistently applied organisation-wide, and reviewed at least annually. Evidence is routinely collected and exceptions are formally managed with named owners.</t>
  </si>
  <si>
    <t xml:space="preserve">L3 — Defined: Internal &amp; External Audit Programme is documented, consistently applied organisation-wide, and reviewed at least annually. Evidence is routinely collected and exceptions are formally managed with named owners.</t>
  </si>
  <si>
    <t xml:space="preserve">L3 — Defined: IT Hardware Asset Inventory (CMDB) is documented, consistently applied organisation-wide, and reviewed at least annually. Evidence is routinely collected and exceptions are formally managed with named owners.</t>
  </si>
  <si>
    <t xml:space="preserve">L3 — Defined: Software Asset Inventory is documented, consistently applied organisation-wide, and reviewed at least annually. Evidence is routinely collected and exceptions are formally managed with named owners.</t>
  </si>
  <si>
    <t xml:space="preserve">L3 — Defined: Cloud Infrastructure Asset Inventory is documented, consistently applied organisation-wide, and reviewed at least annually. Evidence is routinely collected and exceptions are formally managed with named owners.</t>
  </si>
  <si>
    <t xml:space="preserve">L3 — Defined: SaaS &amp; Shadow IT Discovery is documented, consistently applied organisation-wide, and reviewed at least annually. Evidence is routinely collected and exceptions are formally managed with named owners.</t>
  </si>
  <si>
    <t xml:space="preserve">L3 — Defined: Software Bill of Materials (SBOM) is documented, consistently applied organisation-wide, and reviewed at least annually. Evidence is routinely collected and exceptions are formally managed with named owners.</t>
  </si>
  <si>
    <t xml:space="preserve">L3 — Defined: Network Topology &amp; Architecture Documentation is documented, consistently applied organisation-wide, and reviewed at least annually. Evidence is routinely collected and exceptions are formally managed with named owners.</t>
  </si>
  <si>
    <t xml:space="preserve">L3 — Defined: Technology Lifecycle Management is documented, consistently applied organisation-wide, and reviewed at least annually. Evidence is routinely collected and exceptions are formally managed with named owners.</t>
  </si>
  <si>
    <t xml:space="preserve">L3 — Defined: Data Classification Framework &amp; Implementation is documented, consistently applied organisation-wide, and reviewed at least annually. Evidence is routinely collected and exceptions are formally managed with named owners.</t>
  </si>
  <si>
    <t xml:space="preserve">L3 — Defined: Sensitive Data Discovery &amp; Mapping is documented, consistently applied organisation-wide, and reviewed at least annually. Evidence is routinely collected and exceptions are formally managed with named owners.</t>
  </si>
  <si>
    <t xml:space="preserve">L3 — Defined: Data Flow &amp; Transfer Mapping is documented, consistently applied organisation-wide, and reviewed at least annually. Evidence is routinely collected and exceptions are formally managed with named owners.</t>
  </si>
  <si>
    <t xml:space="preserve">L3 — Defined: Retention Schedule &amp; Disposal Management is documented, consistently applied organisation-wide, and reviewed at least annually. Evidence is routinely collected and exceptions are formally managed with named owners.</t>
  </si>
  <si>
    <t xml:space="preserve">L3 — Defined: Payment Data Scoping &amp; CDE Mapping is documented, consistently applied organisation-wide, and reviewed at least annually. Evidence is routinely collected and exceptions are formally managed with named owners.</t>
  </si>
  <si>
    <t xml:space="preserve">L3 — Defined: Business Impact Analysis (BIA) is documented, consistently applied organisation-wide, and reviewed at least annually. Evidence is routinely collected and exceptions are formally managed with named owners.</t>
  </si>
  <si>
    <t xml:space="preserve">L3 — Defined: Threat Landscape Assessment is documented, consistently applied organisation-wide, and reviewed at least annually. Evidence is routinely collected and exceptions are formally managed with named owners.</t>
  </si>
  <si>
    <t xml:space="preserve">L3 — Defined: Vulnerability Management Programme is documented, consistently applied organisation-wide, and reviewed at least annually. Evidence is routinely collected and exceptions are formally managed with named owners.</t>
  </si>
  <si>
    <t xml:space="preserve">L3 — Defined: Penetration Testing Programme is documented, consistently applied organisation-wide, and reviewed at least annually. Evidence is routinely collected and exceptions are formally managed with named owners.</t>
  </si>
  <si>
    <t xml:space="preserve">L3 — Defined: Third-Party Security Rating Monitoring is documented, consistently applied organisation-wide, and reviewed at least annually. Evidence is routinely collected and exceptions are formally managed with named owners.</t>
  </si>
  <si>
    <t xml:space="preserve">L3 — Defined: Critical Asset Identification &amp; Prioritisation is documented, consistently applied organisation-wide, and reviewed at least annually. Evidence is routinely collected and exceptions are formally managed with named owners.</t>
  </si>
  <si>
    <t xml:space="preserve">L3 — Defined: SOX IT General Controls Assessment is documented, consistently applied organisation-wide, and reviewed at least annually. Evidence is routinely collected and exceptions are formally managed with named owners.</t>
  </si>
  <si>
    <t xml:space="preserve">L3 — Defined: HIPAA Risk Analysis is documented, consistently applied organisation-wide, and reviewed at least annually. Evidence is routinely collected and exceptions are formally managed with named owners.</t>
  </si>
  <si>
    <t xml:space="preserve">L3 — Defined: Security Metrics &amp; Measurement Framework is documented, consistently applied organisation-wide, and reviewed at least annually. Evidence is routinely collected and exceptions are formally managed with named owners.</t>
  </si>
  <si>
    <t xml:space="preserve">L3 — Defined: Red Team Programme is documented, consistently applied organisation-wide, and reviewed at least annually. Evidence is routinely collected and exceptions are formally managed with named owners.</t>
  </si>
  <si>
    <t xml:space="preserve">L3 — Defined: Multi-Factor Authentication — All Users is documented, consistently applied organisation-wide, and reviewed at least annually. Evidence is routinely collected and exceptions are formally managed with named owners.</t>
  </si>
  <si>
    <t xml:space="preserve">L3 — Defined: Phishing-Resistant MFA for Privileged Accounts is documented, consistently applied organisation-wide, and reviewed at least annually. Evidence is routinely collected and exceptions are formally managed with named owners.</t>
  </si>
  <si>
    <t xml:space="preserve">L3 — Defined: Privileged Access Management (PAM) is documented, consistently applied organisation-wide, and reviewed at least annually. Evidence is routinely collected and exceptions are formally managed with named owners.</t>
  </si>
  <si>
    <t xml:space="preserve">L3 — Defined: Identity Lifecycle — Joiners Process is documented, consistently applied organisation-wide, and reviewed at least annually. Evidence is routinely collected and exceptions are formally managed with named owners.</t>
  </si>
  <si>
    <t xml:space="preserve">L3 — Defined: Identity Lifecycle — Movers Process is documented, consistently applied organisation-wide, and reviewed at least annually. Evidence is routinely collected and exceptions are formally managed with named owners.</t>
  </si>
  <si>
    <t xml:space="preserve">L3 — Defined: Identity Lifecycle — Leavers Process is documented, consistently applied organisation-wide, and reviewed at least annually. Evidence is routinely collected and exceptions are formally managed with named owners.</t>
  </si>
  <si>
    <t xml:space="preserve">L3 — Defined: Quarterly Access Reviews (Access Certification) is documented, consistently applied organisation-wide, and reviewed at least annually. Evidence is routinely collected and exceptions are formally managed with named owners.</t>
  </si>
  <si>
    <t xml:space="preserve">L3 — Defined: Single Sign-On (SSO) &amp; Federation is documented, consistently applied organisation-wide, and reviewed at least annually. Evidence is routinely collected and exceptions are formally managed with named owners.</t>
  </si>
  <si>
    <t xml:space="preserve">L3 — Defined: Separation of Duties (SoD) Controls is documented, consistently applied organisation-wide, and reviewed at least annually. Evidence is routinely collected and exceptions are formally managed with named owners.</t>
  </si>
  <si>
    <t xml:space="preserve">L3 — Defined: Dormant Account Detection &amp; Management is documented, consistently applied organisation-wide, and reviewed at least annually. Evidence is routinely collected and exceptions are formally managed with named owners.</t>
  </si>
  <si>
    <t xml:space="preserve">L3 — Defined: Machine Identity &amp; Service Account Management is documented, consistently applied organisation-wide, and reviewed at least annually. Evidence is routinely collected and exceptions are formally managed with named owners.</t>
  </si>
  <si>
    <t xml:space="preserve">L3 — Defined: API Key &amp; Secrets Management is documented, consistently applied organisation-wide, and reviewed at least annually. Evidence is routinely collected and exceptions are formally managed with named owners.</t>
  </si>
  <si>
    <t xml:space="preserve">L3 — Defined: Zero Trust Architecture (ZTA) Implementation is documented, consistently applied organisation-wide, and reviewed at least annually. Evidence is routinely collected and exceptions are formally managed with named owners.</t>
  </si>
  <si>
    <t xml:space="preserve">L3 — Defined: Encryption at Rest — Sensitive Data is documented, consistently applied organisation-wide, and reviewed at least annually. Evidence is routinely collected and exceptions are formally managed with named owners.</t>
  </si>
  <si>
    <t xml:space="preserve">L3 — Defined: Encryption in Transit — TLS Enforcement is documented, consistently applied organisation-wide, and reviewed at least annually. Evidence is routinely collected and exceptions are formally managed with named owners.</t>
  </si>
  <si>
    <t xml:space="preserve">L3 — Defined: Data Loss Prevention (DLP) — Email is documented, consistently applied organisation-wide, and reviewed at least annually. Evidence is routinely collected and exceptions are formally managed with named owners.</t>
  </si>
  <si>
    <t xml:space="preserve">L3 — Defined: Data Loss Prevention (DLP) — Endpoint is documented, consistently applied organisation-wide, and reviewed at least annually. Evidence is routinely collected and exceptions are formally managed with named owners.</t>
  </si>
  <si>
    <t xml:space="preserve">L3 — Defined: Data Loss Prevention (DLP) — Cloud &amp; SaaS is documented, consistently applied organisation-wide, and reviewed at least annually. Evidence is routinely collected and exceptions are formally managed with named owners.</t>
  </si>
  <si>
    <t xml:space="preserve">L3 — Defined: Data Masking &amp; Pseudonymisation is documented, consistently applied organisation-wide, and reviewed at least annually. Evidence is routinely collected and exceptions are formally managed with named owners.</t>
  </si>
  <si>
    <t xml:space="preserve">L3 — Defined: Payment Card Data (PAN) Protection is documented, consistently applied organisation-wide, and reviewed at least annually. Evidence is routinely collected and exceptions are formally managed with named owners.</t>
  </si>
  <si>
    <t xml:space="preserve">L3 — Defined: Backup — Architecture &amp; Immutability is documented, consistently applied organisation-wide, and reviewed at least annually. Evidence is routinely collected and exceptions are formally managed with named owners.</t>
  </si>
  <si>
    <t xml:space="preserve">L3 — Defined: Backup — Restoration Testing is documented, consistently applied organisation-wide, and reviewed at least annually. Evidence is routinely collected and exceptions are formally managed with named owners.</t>
  </si>
  <si>
    <t xml:space="preserve">L3 — Defined: Email Security — DMARC, DKIM, SPF is documented, consistently applied organisation-wide, and reviewed at least annually. Evidence is routinely collected and exceptions are formally managed with named owners.</t>
  </si>
  <si>
    <t xml:space="preserve">L3 — Defined: Email Security — Anti-Phishing &amp; Sandboxing is documented, consistently applied organisation-wide, and reviewed at least annually. Evidence is routinely collected and exceptions are formally managed with named owners.</t>
  </si>
  <si>
    <t xml:space="preserve">L3 — Defined: Cryptographic Standards &amp; Key Lifecycle is documented, consistently applied organisation-wide, and reviewed at least annually. Evidence is routinely collected and exceptions are formally managed with named owners.</t>
  </si>
  <si>
    <t xml:space="preserve">L3 — Defined: Endpoint Detection &amp; Response (EDR) is documented, consistently applied organisation-wide, and reviewed at least annually. Evidence is routinely collected and exceptions are formally managed with named owners.</t>
  </si>
  <si>
    <t xml:space="preserve">L3 — Defined: Endpoint Hardening &amp; CIS Benchmark Compliance is documented, consistently applied organisation-wide, and reviewed at least annually. Evidence is routinely collected and exceptions are formally managed with named owners.</t>
  </si>
  <si>
    <t xml:space="preserve">L3 — Defined: Patch Management — Critical &amp; High Vulnerabilities is documented, consistently applied organisation-wide, and reviewed at least annually. Evidence is routinely collected and exceptions are formally managed with named owners.</t>
  </si>
  <si>
    <t xml:space="preserve">L3 — Defined: Patch Management — Medium &amp; Low Vulnerabilities is documented, consistently applied organisation-wide, and reviewed at least annually. Evidence is routinely collected and exceptions are formally managed with named owners.</t>
  </si>
  <si>
    <t xml:space="preserve">L3 — Defined: End-of-Life (EOL) Software &amp; OS Management is documented, consistently applied organisation-wide, and reviewed at least annually. Evidence is routinely collected and exceptions are formally managed with named owners.</t>
  </si>
  <si>
    <t xml:space="preserve">L3 — Defined: Application Whitelisting / Allowlisting is documented, consistently applied organisation-wide, and reviewed at least annually. Evidence is routinely collected and exceptions are formally managed with named owners.</t>
  </si>
  <si>
    <t xml:space="preserve">L3 — Defined: Removable Media Controls is documented, consistently applied organisation-wide, and reviewed at least annually. Evidence is routinely collected and exceptions are formally managed with named owners.</t>
  </si>
  <si>
    <t xml:space="preserve">L3 — Defined: Mobile Device Management (MDM) is documented, consistently applied organisation-wide, and reviewed at least annually. Evidence is routinely collected and exceptions are formally managed with named owners.</t>
  </si>
  <si>
    <t xml:space="preserve">L3 — Defined: Network Segmentation — Zone Architecture is documented, consistently applied organisation-wide, and reviewed at least annually. Evidence is routinely collected and exceptions are formally managed with named owners.</t>
  </si>
  <si>
    <t xml:space="preserve">L3 — Defined: Network Microsegmentation (Cloud &amp; Data Centre) is documented, consistently applied organisation-wide, and reviewed at least annually. Evidence is routinely collected and exceptions are formally managed with named owners.</t>
  </si>
  <si>
    <t xml:space="preserve">L3 — Defined: CDE Network Segmentation Validation is documented, consistently applied organisation-wide, and reviewed at least annually. Evidence is routinely collected and exceptions are formally managed with named owners.</t>
  </si>
  <si>
    <t xml:space="preserve">L3 — Defined: NGFW &amp; Firewall Rule Management is documented, consistently applied organisation-wide, and reviewed at least annually. Evidence is routinely collected and exceptions are formally managed with named owners.</t>
  </si>
  <si>
    <t xml:space="preserve">L3 — Defined: Web Application Firewall (WAF) is documented, consistently applied organisation-wide, and reviewed at least annually. Evidence is routinely collected and exceptions are formally managed with named owners.</t>
  </si>
  <si>
    <t xml:space="preserve">L3 — Defined: Zero Trust Network Access (ZTNA) is documented, consistently applied organisation-wide, and reviewed at least annually. Evidence is routinely collected and exceptions are formally managed with named owners.</t>
  </si>
  <si>
    <t xml:space="preserve">L3 — Defined: SASE Architecture is documented, consistently applied organisation-wide, and reviewed at least annually. Evidence is routinely collected and exceptions are formally managed with named owners.</t>
  </si>
  <si>
    <t xml:space="preserve">L3 — Defined: Protective DNS &amp; DNS Security is documented, consistently applied organisation-wide, and reviewed at least annually. Evidence is routinely collected and exceptions are formally managed with named owners.</t>
  </si>
  <si>
    <t xml:space="preserve">L3 — Defined: Egress Filtering &amp; Allowlisting is documented, consistently applied organisation-wide, and reviewed at least annually. Evidence is routinely collected and exceptions are formally managed with named owners.</t>
  </si>
  <si>
    <t xml:space="preserve">L3 — Defined: Network Intrusion Prevention (IPS) is documented, consistently applied organisation-wide, and reviewed at least annually. Evidence is routinely collected and exceptions are formally managed with named owners.</t>
  </si>
  <si>
    <t xml:space="preserve">L3 — Defined: Remote Administration Security is documented, consistently applied organisation-wide, and reviewed at least annually. Evidence is routinely collected and exceptions are formally managed with named owners.</t>
  </si>
  <si>
    <t xml:space="preserve">L3 — Defined: Wireless Network Security is documented, consistently applied organisation-wide, and reviewed at least annually. Evidence is routinely collected and exceptions are formally managed with named owners.</t>
  </si>
  <si>
    <t xml:space="preserve">L3 — Defined: OT/ICS Network Security is documented, consistently applied organisation-wide, and reviewed at least annually. Evidence is routinely collected and exceptions are formally managed with named owners.</t>
  </si>
  <si>
    <t xml:space="preserve">L3 — Defined: Secure SDLC — Security Requirements is documented, consistently applied organisation-wide, and reviewed at least annually. Evidence is routinely collected and exceptions are formally managed with named owners.</t>
  </si>
  <si>
    <t xml:space="preserve">L3 — Defined: Secure SDLC — Static Analysis (SAST) is documented, consistently applied organisation-wide, and reviewed at least annually. Evidence is routinely collected and exceptions are formally managed with named owners.</t>
  </si>
  <si>
    <t xml:space="preserve">L3 — Defined: Secure SDLC — Software Composition Analysis (SCA) is documented, consistently applied organisation-wide, and reviewed at least annually. Evidence is routinely collected and exceptions are formally managed with named owners.</t>
  </si>
  <si>
    <t xml:space="preserve">L3 — Defined: Secure SDLC — Dynamic Analysis (DAST) is documented, consistently applied organisation-wide, and reviewed at least annually. Evidence is routinely collected and exceptions are formally managed with named owners.</t>
  </si>
  <si>
    <t xml:space="preserve">L3 — Defined: Secure SDLC — Release Security Sign-Off is documented, consistently applied organisation-wide, and reviewed at least annually. Evidence is routinely collected and exceptions are formally managed with named owners.</t>
  </si>
  <si>
    <t xml:space="preserve">L3 — Defined: API Security — Inventory &amp; Gateway is documented, consistently applied organisation-wide, and reviewed at least annually. Evidence is routinely collected and exceptions are formally managed with named owners.</t>
  </si>
  <si>
    <t xml:space="preserve">L3 — Defined: Container Security — Image Scanning is documented, consistently applied organisation-wide, and reviewed at least annually. Evidence is routinely collected and exceptions are formally managed with named owners.</t>
  </si>
  <si>
    <t xml:space="preserve">L3 — Defined: Container Security — Runtime Protection is documented, consistently applied organisation-wide, and reviewed at least annually. Evidence is routinely collected and exceptions are formally managed with named owners.</t>
  </si>
  <si>
    <t xml:space="preserve">L3 — Defined: Secrets Exposure Prevention in Code is documented, consistently applied organisation-wide, and reviewed at least annually. Evidence is routinely collected and exceptions are formally managed with named owners.</t>
  </si>
  <si>
    <t xml:space="preserve">L3 — Defined: Payment Page &amp; Script Integrity is documented, consistently applied organisation-wide, and reviewed at least annually. Evidence is routinely collected and exceptions are formally managed with named owners.</t>
  </si>
  <si>
    <t xml:space="preserve">L3 — Defined: Software Supply Chain Security is documented, consistently applied organisation-wide, and reviewed at least annually. Evidence is routinely collected and exceptions are formally managed with named owners.</t>
  </si>
  <si>
    <t xml:space="preserve">L3 — Defined: Threat Modelling Programme is documented, consistently applied organisation-wide, and reviewed at least annually. Evidence is routinely collected and exceptions are formally managed with named owners.</t>
  </si>
  <si>
    <t xml:space="preserve">L3 — Defined: Cloud Security Posture Management (CSPM) is documented, consistently applied organisation-wide, and reviewed at least annually. Evidence is routinely collected and exceptions are formally managed with named owners.</t>
  </si>
  <si>
    <t xml:space="preserve">L3 — Defined: Cloud Infrastructure Entitlement Management (CIEM) is documented, consistently applied organisation-wide, and reviewed at least annually. Evidence is routinely collected and exceptions are formally managed with named owners.</t>
  </si>
  <si>
    <t xml:space="preserve">L3 — Defined: Cloud Shared Responsibility Matrix is documented, consistently applied organisation-wide, and reviewed at least annually. Evidence is routinely collected and exceptions are formally managed with named owners.</t>
  </si>
  <si>
    <t xml:space="preserve">L3 — Defined: Cloud Native Security Controls (AWS/Azure/GCP) is documented, consistently applied organisation-wide, and reviewed at least annually. Evidence is routinely collected and exceptions are formally managed with named owners.</t>
  </si>
  <si>
    <t xml:space="preserve">L3 — Defined: Cloud Key Management &amp; HSM is documented, consistently applied organisation-wide, and reviewed at least annually. Evidence is routinely collected and exceptions are formally managed with named owners.</t>
  </si>
  <si>
    <t xml:space="preserve">L3 — Defined: FedRAMP Compliance (where applicable) is documented, consistently applied organisation-wide, and reviewed at least annually. Evidence is routinely collected and exceptions are formally managed with named owners.</t>
  </si>
  <si>
    <t xml:space="preserve">L3 — Defined: Data Residency &amp; Sovereignty Controls is documented, consistently applied organisation-wide, and reviewed at least annually. Evidence is routinely collected and exceptions are formally managed with named owners.</t>
  </si>
  <si>
    <t xml:space="preserve">L3 — Defined: SaaS Security &amp; CASB is documented, consistently applied organisation-wide, and reviewed at least annually. Evidence is routinely collected and exceptions are formally managed with named owners.</t>
  </si>
  <si>
    <t xml:space="preserve">L3 — Defined: Cloud Configuration Drift Prevention is documented, consistently applied organisation-wide, and reviewed at least annually. Evidence is routinely collected and exceptions are formally managed with named owners.</t>
  </si>
  <si>
    <t xml:space="preserve">L3 — Defined: Container Orchestration Security (Kubernetes) is documented, consistently applied organisation-wide, and reviewed at least annually. Evidence is routinely collected and exceptions are formally managed with named owners.</t>
  </si>
  <si>
    <t xml:space="preserve">L3 — Defined: Cloud Workload Protection Platform (CWPP) is documented, consistently applied organisation-wide, and reviewed at least annually. Evidence is routinely collected and exceptions are formally managed with named owners.</t>
  </si>
  <si>
    <t xml:space="preserve">L3 — Defined: Prompt Injection Prevention is documented, consistently applied organisation-wide, and reviewed at least annually. Evidence is routinely collected and exceptions are formally managed with named owners.</t>
  </si>
  <si>
    <t xml:space="preserve">L3 — Defined: AI Model Access Control &amp; RBAC is documented, consistently applied organisation-wide, and reviewed at least annually. Evidence is routinely collected and exceptions are formally managed with named owners.</t>
  </si>
  <si>
    <t xml:space="preserve">L3 — Defined: AI Output Monitoring &amp; Content Filtering is documented, consistently applied organisation-wide, and reviewed at least annually. Evidence is routinely collected and exceptions are formally managed with named owners.</t>
  </si>
  <si>
    <t xml:space="preserve">L3 — Defined: Adversarial AI Testing is documented, consistently applied organisation-wide, and reviewed at least annually. Evidence is routinely collected and exceptions are formally managed with named owners.</t>
  </si>
  <si>
    <t xml:space="preserve">L3 — Defined: Physical Access Control is documented, consistently applied organisation-wide, and reviewed at least annually. Evidence is routinely collected and exceptions are formally managed with named owners.</t>
  </si>
  <si>
    <t xml:space="preserve">L3 — Defined: Clean Desk &amp; Screen Lock Policy is documented, consistently applied organisation-wide, and reviewed at least annually. Evidence is routinely collected and exceptions are formally managed with named owners.</t>
  </si>
  <si>
    <t xml:space="preserve">L3 — Defined: Security Awareness Training — Annual is documented, consistently applied organisation-wide, and reviewed at least annually. Evidence is routinely collected and exceptions are formally managed with named owners.</t>
  </si>
  <si>
    <t xml:space="preserve">L3 — Defined: Role-Specific Security Training is documented, consistently applied organisation-wide, and reviewed at least annually. Evidence is routinely collected and exceptions are formally managed with named owners.</t>
  </si>
  <si>
    <t xml:space="preserve">L3 — Defined: Phishing Simulation Programme is documented, consistently applied organisation-wide, and reviewed at least annually. Evidence is routinely collected and exceptions are formally managed with named owners.</t>
  </si>
  <si>
    <t xml:space="preserve">L3 — Defined: AI Literacy &amp; Security Training is documented, consistently applied organisation-wide, and reviewed at least annually. Evidence is routinely collected and exceptions are formally managed with named owners.</t>
  </si>
  <si>
    <t xml:space="preserve">L3 — Defined: Data Subject Rights — Process &amp; Fulfilment is documented, consistently applied organisation-wide, and reviewed at least annually. Evidence is routinely collected and exceptions are formally managed with named owners.</t>
  </si>
  <si>
    <t xml:space="preserve">L3 — Defined: Personnel Security — Background Screening is documented, consistently applied organisation-wide, and reviewed at least annually. Evidence is routinely collected and exceptions are formally managed with named owners.</t>
  </si>
  <si>
    <t xml:space="preserve">L3 — Defined: Security by Default — Product Configuration is documented, consistently applied organisation-wide, and reviewed at least annually. Evidence is routinely collected and exceptions are formally managed with named owners.</t>
  </si>
  <si>
    <t xml:space="preserve">L3 — Defined: NIS2 Supply Chain Security Obligations is documented, consistently applied organisation-wide, and reviewed at least annually. Evidence is routinely collected and exceptions are formally managed with named owners.</t>
  </si>
  <si>
    <t xml:space="preserve">L3 — Defined: SIEM — Log Ingestion &amp; Coverage is documented, consistently applied organisation-wide, and reviewed at least annually. Evidence is routinely collected and exceptions are formally managed with named owners.</t>
  </si>
  <si>
    <t xml:space="preserve">L3 — Defined: SIEM — Use Case Library &amp; Threat Coverage is documented, consistently applied organisation-wide, and reviewed at least annually. Evidence is routinely collected and exceptions are formally managed with named owners.</t>
  </si>
  <si>
    <t xml:space="preserve">L3 — Defined: SIEM — Log Integrity &amp; Tamper Protection is documented, consistently applied organisation-wide, and reviewed at least annually. Evidence is routinely collected and exceptions are formally managed with named owners.</t>
  </si>
  <si>
    <t xml:space="preserve">L3 — Defined: SIEM — Compliance Monitoring Use Cases is documented, consistently applied organisation-wide, and reviewed at least annually. Evidence is routinely collected and exceptions are formally managed with named owners.</t>
  </si>
  <si>
    <t xml:space="preserve">L3 — Defined: Log Retention &amp; Archival Management is documented, consistently applied organisation-wide, and reviewed at least annually. Evidence is routinely collected and exceptions are formally managed with named owners.</t>
  </si>
  <si>
    <t xml:space="preserve">L3 — Defined: Telemetry Coverage Management is documented, consistently applied organisation-wide, and reviewed at least annually. Evidence is routinely collected and exceptions are formally managed with named owners.</t>
  </si>
  <si>
    <t xml:space="preserve">L3 — Defined: Detection Health Monitoring is documented, consistently applied organisation-wide, and reviewed at least annually. Evidence is routinely collected and exceptions are formally managed with named owners.</t>
  </si>
  <si>
    <t xml:space="preserve">L3 — Defined: SOC Operations — Triage &amp; Investigation is documented, consistently applied organisation-wide, and reviewed at least annually. Evidence is routinely collected and exceptions are formally managed with named owners.</t>
  </si>
  <si>
    <t xml:space="preserve">L3 — Defined: NIS2 Significant Incident Classification is documented, consistently applied organisation-wide, and reviewed at least annually. Evidence is routinely collected and exceptions are formally managed with named owners.</t>
  </si>
  <si>
    <t xml:space="preserve">L3 — Defined: DORA Major Incident Classification is documented, consistently applied organisation-wide, and reviewed at least annually. Evidence is routinely collected and exceptions are formally managed with named owners.</t>
  </si>
  <si>
    <t xml:space="preserve">L3 — Defined: Threat Intelligence Integration is documented, consistently applied organisation-wide, and reviewed at least annually. Evidence is routinely collected and exceptions are formally managed with named owners.</t>
  </si>
  <si>
    <t xml:space="preserve">L3 — Defined: User &amp; Entity Behaviour Analytics (UEBA) is documented, consistently applied organisation-wide, and reviewed at least annually. Evidence is routinely collected and exceptions are formally managed with named owners.</t>
  </si>
  <si>
    <t xml:space="preserve">L3 — Defined: Network Detection &amp; Response (NDR) is documented, consistently applied organisation-wide, and reviewed at least annually. Evidence is routinely collected and exceptions are formally managed with named owners.</t>
  </si>
  <si>
    <t xml:space="preserve">L3 — Defined: Cloud Detection &amp; Response is documented, consistently applied organisation-wide, and reviewed at least annually. Evidence is routinely collected and exceptions are formally managed with named owners.</t>
  </si>
  <si>
    <t xml:space="preserve">L3 — Defined: Privacy Event Detection is documented, consistently applied organisation-wide, and reviewed at least annually. Evidence is routinely collected and exceptions are formally managed with named owners.</t>
  </si>
  <si>
    <t xml:space="preserve">L3 — Defined: SOX Financial System Monitoring is documented, consistently applied organisation-wide, and reviewed at least annually. Evidence is routinely collected and exceptions are formally managed with named owners.</t>
  </si>
  <si>
    <t xml:space="preserve">L3 — Defined: Dark Web &amp; Exposure Monitoring is documented, consistently applied organisation-wide, and reviewed at least annually. Evidence is routinely collected and exceptions are formally managed with named owners.</t>
  </si>
  <si>
    <t xml:space="preserve">L3 — Defined: AI-Specific Threat Detection is documented, consistently applied organisation-wide, and reviewed at least annually. Evidence is routinely collected and exceptions are formally managed with named owners.</t>
  </si>
  <si>
    <t xml:space="preserve">L3 — Defined: Detection Validation — Purple Team Exercises is documented, consistently applied organisation-wide, and reviewed at least annually. Evidence is routinely collected and exceptions are formally managed with named owners.</t>
  </si>
  <si>
    <t xml:space="preserve">L3 — Defined: Security Metrics &amp; KPIs — Detection Domain is documented, consistently applied organisation-wide, and reviewed at least annually. Evidence is routinely collected and exceptions are formally managed with named owners.</t>
  </si>
  <si>
    <t xml:space="preserve">L3 — Defined: Security Dashboard &amp; Visibility is documented, consistently applied organisation-wide, and reviewed at least annually. Evidence is routinely collected and exceptions are formally managed with named owners.</t>
  </si>
  <si>
    <t xml:space="preserve">L3 — Defined: Vulnerability Scanner Integration is documented, consistently applied organisation-wide, and reviewed at least annually. Evidence is routinely collected and exceptions are formally managed with named owners.</t>
  </si>
  <si>
    <t xml:space="preserve">L3 — Defined: Incident Response Plan (IRP) is documented, consistently applied organisation-wide, and reviewed at least annually. Evidence is routinely collected and exceptions are formally managed with named owners.</t>
  </si>
  <si>
    <t xml:space="preserve">L3 — Defined: Evidence Preservation &amp; Chain of Custody is documented, consistently applied organisation-wide, and reviewed at least annually. Evidence is routinely collected and exceptions are formally managed with named owners.</t>
  </si>
  <si>
    <t xml:space="preserve">L3 — Defined: Third-Party Incident Coordination is documented, consistently applied organisation-wide, and reviewed at least annually. Evidence is routinely collected and exceptions are formally managed with named owners.</t>
  </si>
  <si>
    <t xml:space="preserve">L3 — Defined: Cyber Insurance Engagement &amp; Claim Management is documented, consistently applied organisation-wide, and reviewed at least annually. Evidence is routinely collected and exceptions are formally managed with named owners.</t>
  </si>
  <si>
    <t xml:space="preserve">L3 — Defined: Incident Playbooks — Ransomware is documented, consistently applied organisation-wide, and reviewed at least annually. Evidence is routinely collected and exceptions are formally managed with named owners.</t>
  </si>
  <si>
    <t xml:space="preserve">L3 — Defined: Incident Playbooks — Data Breach is documented, consistently applied organisation-wide, and reviewed at least annually. Evidence is routinely collected and exceptions are formally managed with named owners.</t>
  </si>
  <si>
    <t xml:space="preserve">L3 — Defined: Incident Playbooks — Business Email Compromise is documented, consistently applied organisation-wide, and reviewed at least annually. Evidence is routinely collected and exceptions are formally managed with named owners.</t>
  </si>
  <si>
    <t xml:space="preserve">L3 — Defined: Incident Playbooks — Cloud Security Incident is documented, consistently applied organisation-wide, and reviewed at least annually. Evidence is routinely collected and exceptions are formally managed with named owners.</t>
  </si>
  <si>
    <t xml:space="preserve">L3 — Defined: NIS2 Three-Stage Notification Process is documented, consistently applied organisation-wide, and reviewed at least annually. Evidence is routinely collected and exceptions are formally managed with named owners.</t>
  </si>
  <si>
    <t xml:space="preserve">L3 — Defined: DORA Major Incident Reporting Process is documented, consistently applied organisation-wide, and reviewed at least annually. Evidence is routinely collected and exceptions are formally managed with named owners.</t>
  </si>
  <si>
    <t xml:space="preserve">L3 — Defined: GDPR Breach Notification Process is documented, consistently applied organisation-wide, and reviewed at least annually. Evidence is routinely collected and exceptions are formally managed with named owners.</t>
  </si>
  <si>
    <t xml:space="preserve">L3 — Defined: Breach Materiality &amp; Regulatory Decision Tree is documented, consistently applied organisation-wide, and reviewed at least annually. Evidence is routinely collected and exceptions are formally managed with named owners.</t>
  </si>
  <si>
    <t xml:space="preserve">L3 — Defined: Tabletop Exercises — Technical is documented, consistently applied organisation-wide, and reviewed at least annually. Evidence is routinely collected and exceptions are formally managed with named owners.</t>
  </si>
  <si>
    <t xml:space="preserve">L3 — Defined: Tabletop Exercises — Executive is documented, consistently applied organisation-wide, and reviewed at least annually. Evidence is routinely collected and exceptions are formally managed with named owners.</t>
  </si>
  <si>
    <t xml:space="preserve">L3 — Defined: Post-Incident Review &amp; Lessons Learned is documented, consistently applied organisation-wide, and reviewed at least annually. Evidence is routinely collected and exceptions are formally managed with named owners.</t>
  </si>
  <si>
    <t xml:space="preserve">L3 — Defined: Regulatory Investigation Management is documented, consistently applied organisation-wide, and reviewed at least annually. Evidence is routinely collected and exceptions are formally managed with named owners.</t>
  </si>
  <si>
    <t xml:space="preserve">L3 — Defined: Business Continuity Plan (BCP) is documented, consistently applied organisation-wide, and reviewed at least annually. Evidence is routinely collected and exceptions are formally managed with named owners.</t>
  </si>
  <si>
    <t xml:space="preserve">L3 — Defined: Disaster Recovery Plan (DRP) is documented, consistently applied organisation-wide, and reviewed at least annually. Evidence is routinely collected and exceptions are formally managed with named owners.</t>
  </si>
  <si>
    <t xml:space="preserve">L3 — Defined: Recovery Time Objective (RTO) Validation is documented, consistently applied organisation-wide, and reviewed at least annually. Evidence is routinely collected and exceptions are formally managed with named owners.</t>
  </si>
  <si>
    <t xml:space="preserve">L3 — Defined: Recovery Point Objective (RPO) Validation is documented, consistently applied organisation-wide, and reviewed at least annually. Evidence is routinely collected and exceptions are formally managed with named owners.</t>
  </si>
  <si>
    <t xml:space="preserve">L3 — Defined: Crisis Communications Plan is documented, consistently applied organisation-wide, and reviewed at least annually. Evidence is routinely collected and exceptions are formally managed with named owners.</t>
  </si>
  <si>
    <t xml:space="preserve">L3 — Defined: Recovery Testing — Full System Failover is documented, consistently applied organisation-wide, and reviewed at least annually. Evidence is routinely collected and exceptions are formally managed with named owners.</t>
  </si>
  <si>
    <t xml:space="preserve">L3 — Defined: DORA Threat-Led Penetration Testing (TLPT) is documented, consistently applied organisation-wide, and reviewed at least annually. Evidence is routinely collected and exceptions are formally managed with named owners.</t>
  </si>
  <si>
    <t xml:space="preserve">L3 — Defined: Post-Recovery Control Validation is documented, consistently applied organisation-wide, and reviewed at least annually. Evidence is routinely collected and exceptions are formally managed with named owners.</t>
  </si>
  <si>
    <t xml:space="preserve">L3 — Defined: Privacy Capability Restoration is documented, consistently applied organisation-wide, and reviewed at least annually. Evidence is routinely collected and exceptions are formally managed with named owners.</t>
  </si>
  <si>
    <t xml:space="preserve">L3 — Defined: AI Model Integrity Validation (Post-Recovery) is documented, consistently applied organisation-wide, and reviewed at least annually. Evidence is routinely collected and exceptions are formally managed with named owners.</t>
  </si>
  <si>
    <t xml:space="preserve">L3 — Defined: CDE Recovery &amp; PCI Compliance Re-validation is documented, consistently applied organisation-wide, and reviewed at least annually. Evidence is routinely collected and exceptions are formally managed with named owners.</t>
  </si>
  <si>
    <t xml:space="preserve">L3 — Defined: Continuity Testing — Tabletop &amp; Simulation is documented, consistently applied organisation-wide, and reviewed at least annually. Evidence is routinely collected and exceptions are formally managed with named owners.</t>
  </si>
  <si>
    <t xml:space="preserve">L3 — Defined: Lessons Learned — Continuity Programme Integration is documented, consistently applied organisation-wide, and reviewed at least annually. Evidence is routinely collected and exceptions are formally managed with named owners.</t>
  </si>
  <si>
    <t xml:space="preserve">L3 — Defined: Business Service Recovery Validation is documented, consistently applied organisation-wide, and reviewed at least annually. Evidence is routinely collected and exceptions are formally managed with named owners.</t>
  </si>
  <si>
    <t xml:space="preserve">L3 — Defined: Recovery Metrics — RTO/RPO Achievement Tracking is documented, consistently applied organisation-wide, and reviewed at least annually. Evidence is routinely collected and exceptions are formally managed with named owners.</t>
  </si>
  <si>
    <t xml:space="preserve">L3 — Defined: Operational Technology (OT) Continuity is documented, consistently applied organisation-wide, and reviewed at least annually. Evidence is routinely collected and exceptions are formally managed with named owners.</t>
  </si>
  <si>
    <t xml:space="preserve">L3 — Defined: Supplier Resilience Assessment is documented, consistently applied organisation-wide, and reviewed at least annually. Evidence is routinely collected and exceptions are formally managed with named owners.</t>
  </si>
  <si>
    <t xml:space="preserve">L4 — Managed: CISO / Security Leadership is KPI-driven with quantified targets and continuous performance measurement. Governance reporting active; exceptions trigger formal escalation; evidence is system-generated.</t>
  </si>
  <si>
    <t xml:space="preserve">L4 — Managed: Cybersecurity Strategy &amp; Programme is KPI-driven with quantified targets and continuous performance measurement. Governance reporting active; exceptions trigger formal escalation; evidence is system-generated.</t>
  </si>
  <si>
    <t xml:space="preserve">L4 — Managed: Cyber Budget &amp; Investment Model is KPI-driven with quantified targets and continuous performance measurement. Governance reporting active; exceptions trigger formal escalation; evidence is system-generated.</t>
  </si>
  <si>
    <t xml:space="preserve">L4 — Managed: Security Organisational Structure is KPI-driven with quantified targets and continuous performance measurement. Governance reporting active; exceptions trigger formal escalation; evidence is system-generated.</t>
  </si>
  <si>
    <t xml:space="preserve">L4 — Managed: Board-Level Cybersecurity Oversight is KPI-driven with quantified targets and continuous performance measurement. Governance reporting active; exceptions trigger formal escalation; evidence is system-generated.</t>
  </si>
  <si>
    <t xml:space="preserve">L4 — Managed: Security Policy Framework &amp; Hierarchy is KPI-driven with quantified targets and continuous performance measurement. Governance reporting active; exceptions trigger formal escalation; evidence is system-generated.</t>
  </si>
  <si>
    <t xml:space="preserve">L4 — Managed: Policy Attestation &amp; Enforcement is KPI-driven with quantified targets and continuous performance measurement. Governance reporting active; exceptions trigger formal escalation; evidence is system-generated.</t>
  </si>
  <si>
    <t xml:space="preserve">L4 — Managed: Policy Exception Governance is KPI-driven with quantified targets and continuous performance measurement. Governance reporting active; exceptions trigger formal escalation; evidence is system-generated.</t>
  </si>
  <si>
    <t xml:space="preserve">L4 — Managed: Control Standards Management is KPI-driven with quantified targets and continuous performance measurement. Governance reporting active; exceptions trigger formal escalation; evidence is system-generated.</t>
  </si>
  <si>
    <t xml:space="preserve">L4 — Managed: Regulatory Obligation Register &amp; Mapping is KPI-driven with quantified targets and continuous performance measurement. Governance reporting active; exceptions trigger formal escalation; evidence is system-generated.</t>
  </si>
  <si>
    <t xml:space="preserve">L4 — Managed: Regulatory Change Management is KPI-driven with quantified targets and continuous performance measurement. Governance reporting active; exceptions trigger formal escalation; evidence is system-generated.</t>
  </si>
  <si>
    <t xml:space="preserve">L4 — Managed: Security Standards for Third Parties is KPI-driven with quantified targets and continuous performance measurement. Governance reporting active; exceptions trigger formal escalation; evidence is system-generated.</t>
  </si>
  <si>
    <t xml:space="preserve">L4 — Managed: Enterprise Risk Framework Integration is KPI-driven with quantified targets and continuous performance measurement. Governance reporting active; exceptions trigger formal escalation; evidence is system-generated.</t>
  </si>
  <si>
    <t xml:space="preserve">L4 — Managed: Risk Appetite &amp; Tolerance Thresholds is KPI-driven with quantified targets and continuous performance measurement. Governance reporting active; exceptions trigger formal escalation; evidence is system-generated.</t>
  </si>
  <si>
    <t xml:space="preserve">L4 — Managed: Risk Register Management &amp; Reporting is KPI-driven with quantified targets and continuous performance measurement. Governance reporting active; exceptions trigger formal escalation; evidence is system-generated.</t>
  </si>
  <si>
    <t xml:space="preserve">L4 — Managed: Cyber Risk Quantification is KPI-driven with quantified targets and continuous performance measurement. Governance reporting active; exceptions trigger formal escalation; evidence is system-generated.</t>
  </si>
  <si>
    <t xml:space="preserve">L4 — Managed: Third-Party Risk Management (TPRM) Programme is KPI-driven with quantified targets and continuous performance measurement. Governance reporting active; exceptions trigger formal escalation; evidence is system-generated.</t>
  </si>
  <si>
    <t xml:space="preserve">L4 — Managed: Vendor Security Assessment Process is KPI-driven with quantified targets and continuous performance measurement. Governance reporting active; exceptions trigger formal escalation; evidence is system-generated.</t>
  </si>
  <si>
    <t xml:space="preserve">L4 — Managed: Vendor Contractual Security Obligations is KPI-driven with quantified targets and continuous performance measurement. Governance reporting active; exceptions trigger formal escalation; evidence is system-generated.</t>
  </si>
  <si>
    <t xml:space="preserve">L4 — Managed: Fourth-Party &amp; Sub-Processor Mapping is KPI-driven with quantified targets and continuous performance measurement. Governance reporting active; exceptions trigger formal escalation; evidence is system-generated.</t>
  </si>
  <si>
    <t xml:space="preserve">L4 — Managed: DORA TPSP Critical Register is KPI-driven with quantified targets and continuous performance measurement. Governance reporting active; exceptions trigger formal escalation; evidence is system-generated.</t>
  </si>
  <si>
    <t xml:space="preserve">L4 — Managed: Software Supply Chain Security Governance is KPI-driven with quantified targets and continuous performance measurement. Governance reporting active; exceptions trigger formal escalation; evidence is system-generated.</t>
  </si>
  <si>
    <t xml:space="preserve">L4 — Managed: Supplier Resilience Requirements is KPI-driven with quantified targets and continuous performance measurement. Governance reporting active; exceptions trigger formal escalation; evidence is system-generated.</t>
  </si>
  <si>
    <t xml:space="preserve">L4 — Managed: Privacy Governance &amp; DPO/Privacy Lead is KPI-driven with quantified targets and continuous performance measurement. Governance reporting active; exceptions trigger formal escalation; evidence is system-generated.</t>
  </si>
  <si>
    <t xml:space="preserve">L4 — Managed: Records of Processing Activities (ROPA) is KPI-driven with quantified targets and continuous performance measurement. Governance reporting active; exceptions trigger formal escalation; evidence is system-generated.</t>
  </si>
  <si>
    <t xml:space="preserve">L4 — Managed: Data Protection Impact Assessments (DPIAs) is KPI-driven with quantified targets and continuous performance measurement. Governance reporting active; exceptions trigger formal escalation; evidence is system-generated.</t>
  </si>
  <si>
    <t xml:space="preserve">L4 — Managed: Cross-Border Data Transfer Controls is KPI-driven with quantified targets and continuous performance measurement. Governance reporting active; exceptions trigger formal escalation; evidence is system-generated.</t>
  </si>
  <si>
    <t xml:space="preserve">L4 — Managed: Internal &amp; External Audit Programme is KPI-driven with quantified targets and continuous performance measurement. Governance reporting active; exceptions trigger formal escalation; evidence is system-generated.</t>
  </si>
  <si>
    <t xml:space="preserve">L4 — Managed: IT Hardware Asset Inventory (CMDB) is KPI-driven with quantified targets and continuous performance measurement. Governance reporting active; exceptions trigger formal escalation; evidence is system-generated.</t>
  </si>
  <si>
    <t xml:space="preserve">L4 — Managed: Software Asset Inventory is KPI-driven with quantified targets and continuous performance measurement. Governance reporting active; exceptions trigger formal escalation; evidence is system-generated.</t>
  </si>
  <si>
    <t xml:space="preserve">L4 — Managed: Cloud Infrastructure Asset Inventory is KPI-driven with quantified targets and continuous performance measurement. Governance reporting active; exceptions trigger formal escalation; evidence is system-generated.</t>
  </si>
  <si>
    <t xml:space="preserve">L4 — Managed: SaaS &amp; Shadow IT Discovery is KPI-driven with quantified targets and continuous performance measurement. Governance reporting active; exceptions trigger formal escalation; evidence is system-generated.</t>
  </si>
  <si>
    <t xml:space="preserve">L4 — Managed: Software Bill of Materials (SBOM) is KPI-driven with quantified targets and continuous performance measurement. Governance reporting active; exceptions trigger formal escalation; evidence is system-generated.</t>
  </si>
  <si>
    <t xml:space="preserve">L4 — Managed: Network Topology &amp; Architecture Documentation is KPI-driven with quantified targets and continuous performance measurement. Governance reporting active; exceptions trigger formal escalation; evidence is system-generated.</t>
  </si>
  <si>
    <t xml:space="preserve">L4 — Managed: Technology Lifecycle Management is KPI-driven with quantified targets and continuous performance measurement. Governance reporting active; exceptions trigger formal escalation; evidence is system-generated.</t>
  </si>
  <si>
    <t xml:space="preserve">L4 — Managed: Data Classification Framework &amp; Implementation is KPI-driven with quantified targets and continuous performance measurement. Governance reporting active; exceptions trigger formal escalation; evidence is system-generated.</t>
  </si>
  <si>
    <t xml:space="preserve">L4 — Managed: Sensitive Data Discovery &amp; Mapping is KPI-driven with quantified targets and continuous performance measurement. Governance reporting active; exceptions trigger formal escalation; evidence is system-generated.</t>
  </si>
  <si>
    <t xml:space="preserve">L4 — Managed: Data Flow &amp; Transfer Mapping is KPI-driven with quantified targets and continuous performance measurement. Governance reporting active; exceptions trigger formal escalation; evidence is system-generated.</t>
  </si>
  <si>
    <t xml:space="preserve">L4 — Managed: Retention Schedule &amp; Disposal Management is KPI-driven with quantified targets and continuous performance measurement. Governance reporting active; exceptions trigger formal escalation; evidence is system-generated.</t>
  </si>
  <si>
    <t xml:space="preserve">L4 — Managed: Payment Data Scoping &amp; CDE Mapping is KPI-driven with quantified targets and continuous performance measurement. Governance reporting active; exceptions trigger formal escalation; evidence is system-generated.</t>
  </si>
  <si>
    <t xml:space="preserve">L4 — Managed: Business Impact Analysis (BIA) is KPI-driven with quantified targets and continuous performance measurement. Governance reporting active; exceptions trigger formal escalation; evidence is system-generated.</t>
  </si>
  <si>
    <t xml:space="preserve">L4 — Managed: Threat Landscape Assessment is KPI-driven with quantified targets and continuous performance measurement. Governance reporting active; exceptions trigger formal escalation; evidence is system-generated.</t>
  </si>
  <si>
    <t xml:space="preserve">L4 — Managed: Vulnerability Management Programme is KPI-driven with quantified targets and continuous performance measurement. Governance reporting active; exceptions trigger formal escalation; evidence is system-generated.</t>
  </si>
  <si>
    <t xml:space="preserve">L4 — Managed: Penetration Testing Programme is KPI-driven with quantified targets and continuous performance measurement. Governance reporting active; exceptions trigger formal escalation; evidence is system-generated.</t>
  </si>
  <si>
    <t xml:space="preserve">L4 — Managed: Third-Party Security Rating Monitoring is KPI-driven with quantified targets and continuous performance measurement. Governance reporting active; exceptions trigger formal escalation; evidence is system-generated.</t>
  </si>
  <si>
    <t xml:space="preserve">L4 — Managed: Critical Asset Identification &amp; Prioritisation is KPI-driven with quantified targets and continuous performance measurement. Governance reporting active; exceptions trigger formal escalation; evidence is system-generated.</t>
  </si>
  <si>
    <t xml:space="preserve">L4 — Managed: SOX IT General Controls Assessment is KPI-driven with quantified targets and continuous performance measurement. Governance reporting active; exceptions trigger formal escalation; evidence is system-generated.</t>
  </si>
  <si>
    <t xml:space="preserve">L4 — Managed: HIPAA Risk Analysis is KPI-driven with quantified targets and continuous performance measurement. Governance reporting active; exceptions trigger formal escalation; evidence is system-generated.</t>
  </si>
  <si>
    <t xml:space="preserve">L4 — Managed: Security Metrics &amp; Measurement Framework is KPI-driven with quantified targets and continuous performance measurement. Governance reporting active; exceptions trigger formal escalation; evidence is system-generated.</t>
  </si>
  <si>
    <t xml:space="preserve">L4 — Managed: Red Team Programme is KPI-driven with quantified targets and continuous performance measurement. Governance reporting active; exceptions trigger formal escalation; evidence is system-generated.</t>
  </si>
  <si>
    <t xml:space="preserve">L4 — Managed: Multi-Factor Authentication — All Users is KPI-driven with quantified targets and continuous performance measurement. Governance reporting active; exceptions trigger formal escalation; evidence is system-generated.</t>
  </si>
  <si>
    <t xml:space="preserve">L4 — Managed: Phishing-Resistant MFA for Privileged Accounts is KPI-driven with quantified targets and continuous performance measurement. Governance reporting active; exceptions trigger formal escalation; evidence is system-generated.</t>
  </si>
  <si>
    <t xml:space="preserve">L4 — Managed: Privileged Access Management (PAM) is KPI-driven with quantified targets and continuous performance measurement. Governance reporting active; exceptions trigger formal escalation; evidence is system-generated.</t>
  </si>
  <si>
    <t xml:space="preserve">L4 — Managed: Identity Lifecycle — Joiners Process is KPI-driven with quantified targets and continuous performance measurement. Governance reporting active; exceptions trigger formal escalation; evidence is system-generated.</t>
  </si>
  <si>
    <t xml:space="preserve">L4 — Managed: Identity Lifecycle — Movers Process is KPI-driven with quantified targets and continuous performance measurement. Governance reporting active; exceptions trigger formal escalation; evidence is system-generated.</t>
  </si>
  <si>
    <t xml:space="preserve">L4 — Managed: Identity Lifecycle — Leavers Process is KPI-driven with quantified targets and continuous performance measurement. Governance reporting active; exceptions trigger formal escalation; evidence is system-generated.</t>
  </si>
  <si>
    <t xml:space="preserve">L4 — Managed: Quarterly Access Reviews (Access Certification) is KPI-driven with quantified targets and continuous performance measurement. Governance reporting active; exceptions trigger formal escalation; evidence is system-generated.</t>
  </si>
  <si>
    <t xml:space="preserve">L4 — Managed: Single Sign-On (SSO) &amp; Federation is KPI-driven with quantified targets and continuous performance measurement. Governance reporting active; exceptions trigger formal escalation; evidence is system-generated.</t>
  </si>
  <si>
    <t xml:space="preserve">L4 — Managed: Separation of Duties (SoD) Controls is KPI-driven with quantified targets and continuous performance measurement. Governance reporting active; exceptions trigger formal escalation; evidence is system-generated.</t>
  </si>
  <si>
    <t xml:space="preserve">L4 — Managed: Dormant Account Detection &amp; Management is KPI-driven with quantified targets and continuous performance measurement. Governance reporting active; exceptions trigger formal escalation; evidence is system-generated.</t>
  </si>
  <si>
    <t xml:space="preserve">L4 — Managed: Machine Identity &amp; Service Account Management is KPI-driven with quantified targets and continuous performance measurement. Governance reporting active; exceptions trigger formal escalation; evidence is system-generated.</t>
  </si>
  <si>
    <t xml:space="preserve">L4 — Managed: API Key &amp; Secrets Management is KPI-driven with quantified targets and continuous performance measurement. Governance reporting active; exceptions trigger formal escalation; evidence is system-generated.</t>
  </si>
  <si>
    <t xml:space="preserve">L4 — Managed: Zero Trust Architecture (ZTA) Implementation is KPI-driven with quantified targets and continuous performance measurement. Governance reporting active; exceptions trigger formal escalation; evidence is system-generated.</t>
  </si>
  <si>
    <t xml:space="preserve">L4 — Managed: Encryption at Rest — Sensitive Data is KPI-driven with quantified targets and continuous performance measurement. Governance reporting active; exceptions trigger formal escalation; evidence is system-generated.</t>
  </si>
  <si>
    <t xml:space="preserve">L4 — Managed: Encryption in Transit — TLS Enforcement is KPI-driven with quantified targets and continuous performance measurement. Governance reporting active; exceptions trigger formal escalation; evidence is system-generated.</t>
  </si>
  <si>
    <t xml:space="preserve">L4 — Managed: Data Loss Prevention (DLP) — Email is KPI-driven with quantified targets and continuous performance measurement. Governance reporting active; exceptions trigger formal escalation; evidence is system-generated.</t>
  </si>
  <si>
    <t xml:space="preserve">L4 — Managed: Data Loss Prevention (DLP) — Endpoint is KPI-driven with quantified targets and continuous performance measurement. Governance reporting active; exceptions trigger formal escalation; evidence is system-generated.</t>
  </si>
  <si>
    <t xml:space="preserve">L4 — Managed: Data Loss Prevention (DLP) — Cloud &amp; SaaS is KPI-driven with quantified targets and continuous performance measurement. Governance reporting active; exceptions trigger formal escalation; evidence is system-generated.</t>
  </si>
  <si>
    <t xml:space="preserve">L4 — Managed: Data Masking &amp; Pseudonymisation is KPI-driven with quantified targets and continuous performance measurement. Governance reporting active; exceptions trigger formal escalation; evidence is system-generated.</t>
  </si>
  <si>
    <t xml:space="preserve">L4 — Managed: Payment Card Data (PAN) Protection is KPI-driven with quantified targets and continuous performance measurement. Governance reporting active; exceptions trigger formal escalation; evidence is system-generated.</t>
  </si>
  <si>
    <t xml:space="preserve">L4 — Managed: Backup — Architecture &amp; Immutability is KPI-driven with quantified targets and continuous performance measurement. Governance reporting active; exceptions trigger formal escalation; evidence is system-generated.</t>
  </si>
  <si>
    <t xml:space="preserve">L4 — Managed: Backup — Restoration Testing is KPI-driven with quantified targets and continuous performance measurement. Governance reporting active; exceptions trigger formal escalation; evidence is system-generated.</t>
  </si>
  <si>
    <t xml:space="preserve">L4 — Managed: Email Security — DMARC, DKIM, SPF is KPI-driven with quantified targets and continuous performance measurement. Governance reporting active; exceptions trigger formal escalation; evidence is system-generated.</t>
  </si>
  <si>
    <t xml:space="preserve">L4 — Managed: Email Security — Anti-Phishing &amp; Sandboxing is KPI-driven with quantified targets and continuous performance measurement. Governance reporting active; exceptions trigger formal escalation; evidence is system-generated.</t>
  </si>
  <si>
    <t xml:space="preserve">L4 — Managed: Cryptographic Standards &amp; Key Lifecycle is KPI-driven with quantified targets and continuous performance measurement. Governance reporting active; exceptions trigger formal escalation; evidence is system-generated.</t>
  </si>
  <si>
    <t xml:space="preserve">L4 — Managed: Endpoint Detection &amp; Response (EDR) is KPI-driven with quantified targets and continuous performance measurement. Governance reporting active; exceptions trigger formal escalation; evidence is system-generated.</t>
  </si>
  <si>
    <t xml:space="preserve">L4 — Managed: Endpoint Hardening &amp; CIS Benchmark Compliance is KPI-driven with quantified targets and continuous performance measurement. Governance reporting active; exceptions trigger formal escalation; evidence is system-generated.</t>
  </si>
  <si>
    <t xml:space="preserve">L4 — Managed: Patch Management — Critical &amp; High Vulnerabilities is KPI-driven with quantified targets and continuous performance measurement. Governance reporting active; exceptions trigger formal escalation; evidence is system-generated.</t>
  </si>
  <si>
    <t xml:space="preserve">L4 — Managed: Patch Management — Medium &amp; Low Vulnerabilities is KPI-driven with quantified targets and continuous performance measurement. Governance reporting active; exceptions trigger formal escalation; evidence is system-generated.</t>
  </si>
  <si>
    <t xml:space="preserve">L4 — Managed: End-of-Life (EOL) Software &amp; OS Management is KPI-driven with quantified targets and continuous performance measurement. Governance reporting active; exceptions trigger formal escalation; evidence is system-generated.</t>
  </si>
  <si>
    <t xml:space="preserve">L4 — Managed: Application Whitelisting / Allowlisting is KPI-driven with quantified targets and continuous performance measurement. Governance reporting active; exceptions trigger formal escalation; evidence is system-generated.</t>
  </si>
  <si>
    <t xml:space="preserve">L4 — Managed: Removable Media Controls is KPI-driven with quantified targets and continuous performance measurement. Governance reporting active; exceptions trigger formal escalation; evidence is system-generated.</t>
  </si>
  <si>
    <t xml:space="preserve">L4 — Managed: Mobile Device Management (MDM) is KPI-driven with quantified targets and continuous performance measurement. Governance reporting active; exceptions trigger formal escalation; evidence is system-generated.</t>
  </si>
  <si>
    <t xml:space="preserve">L4 — Managed: Network Segmentation — Zone Architecture is KPI-driven with quantified targets and continuous performance measurement. Governance reporting active; exceptions trigger formal escalation; evidence is system-generated.</t>
  </si>
  <si>
    <t xml:space="preserve">L4 — Managed: Network Microsegmentation (Cloud &amp; Data Centre) is KPI-driven with quantified targets and continuous performance measurement. Governance reporting active; exceptions trigger formal escalation; evidence is system-generated.</t>
  </si>
  <si>
    <t xml:space="preserve">L4 — Managed: CDE Network Segmentation Validation is KPI-driven with quantified targets and continuous performance measurement. Governance reporting active; exceptions trigger formal escalation; evidence is system-generated.</t>
  </si>
  <si>
    <t xml:space="preserve">L4 — Managed: NGFW &amp; Firewall Rule Management is KPI-driven with quantified targets and continuous performance measurement. Governance reporting active; exceptions trigger formal escalation; evidence is system-generated.</t>
  </si>
  <si>
    <t xml:space="preserve">L4 — Managed: Web Application Firewall (WAF) is KPI-driven with quantified targets and continuous performance measurement. Governance reporting active; exceptions trigger formal escalation; evidence is system-generated.</t>
  </si>
  <si>
    <t xml:space="preserve">L4 — Managed: Zero Trust Network Access (ZTNA) is KPI-driven with quantified targets and continuous performance measurement. Governance reporting active; exceptions trigger formal escalation; evidence is system-generated.</t>
  </si>
  <si>
    <t xml:space="preserve">L4 — Managed: SASE Architecture is KPI-driven with quantified targets and continuous performance measurement. Governance reporting active; exceptions trigger formal escalation; evidence is system-generated.</t>
  </si>
  <si>
    <t xml:space="preserve">L4 — Managed: Protective DNS &amp; DNS Security is KPI-driven with quantified targets and continuous performance measurement. Governance reporting active; exceptions trigger formal escalation; evidence is system-generated.</t>
  </si>
  <si>
    <t xml:space="preserve">L4 — Managed: Egress Filtering &amp; Allowlisting is KPI-driven with quantified targets and continuous performance measurement. Governance reporting active; exceptions trigger formal escalation; evidence is system-generated.</t>
  </si>
  <si>
    <t xml:space="preserve">L4 — Managed: Network Intrusion Prevention (IPS) is KPI-driven with quantified targets and continuous performance measurement. Governance reporting active; exceptions trigger formal escalation; evidence is system-generated.</t>
  </si>
  <si>
    <t xml:space="preserve">L4 — Managed: Remote Administration Security is KPI-driven with quantified targets and continuous performance measurement. Governance reporting active; exceptions trigger formal escalation; evidence is system-generated.</t>
  </si>
  <si>
    <t xml:space="preserve">L4 — Managed: Wireless Network Security is KPI-driven with quantified targets and continuous performance measurement. Governance reporting active; exceptions trigger formal escalation; evidence is system-generated.</t>
  </si>
  <si>
    <t xml:space="preserve">L4 — Managed: OT/ICS Network Security is KPI-driven with quantified targets and continuous performance measurement. Governance reporting active; exceptions trigger formal escalation; evidence is system-generated.</t>
  </si>
  <si>
    <t xml:space="preserve">L4 — Managed: Secure SDLC — Security Requirements is KPI-driven with quantified targets and continuous performance measurement. Governance reporting active; exceptions trigger formal escalation; evidence is system-generated.</t>
  </si>
  <si>
    <t xml:space="preserve">L4 — Managed: Secure SDLC — Static Analysis (SAST) is KPI-driven with quantified targets and continuous performance measurement. Governance reporting active; exceptions trigger formal escalation; evidence is system-generated.</t>
  </si>
  <si>
    <t xml:space="preserve">L4 — Managed: Secure SDLC — Software Composition Analysis (SCA) is KPI-driven with quantified targets and continuous performance measurement. Governance reporting active; exceptions trigger formal escalation; evidence is system-generated.</t>
  </si>
  <si>
    <t xml:space="preserve">L4 — Managed: Secure SDLC — Dynamic Analysis (DAST) is KPI-driven with quantified targets and continuous performance measurement. Governance reporting active; exceptions trigger formal escalation; evidence is system-generated.</t>
  </si>
  <si>
    <t xml:space="preserve">L4 — Managed: Secure SDLC — Release Security Sign-Off is KPI-driven with quantified targets and continuous performance measurement. Governance reporting active; exceptions trigger formal escalation; evidence is system-generated.</t>
  </si>
  <si>
    <t xml:space="preserve">L4 — Managed: API Security — Inventory &amp; Gateway is KPI-driven with quantified targets and continuous performance measurement. Governance reporting active; exceptions trigger formal escalation; evidence is system-generated.</t>
  </si>
  <si>
    <t xml:space="preserve">L4 — Managed: Container Security — Image Scanning is KPI-driven with quantified targets and continuous performance measurement. Governance reporting active; exceptions trigger formal escalation; evidence is system-generated.</t>
  </si>
  <si>
    <t xml:space="preserve">L4 — Managed: Container Security — Runtime Protection is KPI-driven with quantified targets and continuous performance measurement. Governance reporting active; exceptions trigger formal escalation; evidence is system-generated.</t>
  </si>
  <si>
    <t xml:space="preserve">L4 — Managed: Secrets Exposure Prevention in Code is KPI-driven with quantified targets and continuous performance measurement. Governance reporting active; exceptions trigger formal escalation; evidence is system-generated.</t>
  </si>
  <si>
    <t xml:space="preserve">L4 — Managed: Payment Page &amp; Script Integrity is KPI-driven with quantified targets and continuous performance measurement. Governance reporting active; exceptions trigger formal escalation; evidence is system-generated.</t>
  </si>
  <si>
    <t xml:space="preserve">L4 — Managed: Software Supply Chain Security is KPI-driven with quantified targets and continuous performance measurement. Governance reporting active; exceptions trigger formal escalation; evidence is system-generated.</t>
  </si>
  <si>
    <t xml:space="preserve">L4 — Managed: Threat Modelling Programme is KPI-driven with quantified targets and continuous performance measurement. Governance reporting active; exceptions trigger formal escalation; evidence is system-generated.</t>
  </si>
  <si>
    <t xml:space="preserve">L4 — Managed: Cloud Security Posture Management (CSPM) is KPI-driven with quantified targets and continuous performance measurement. Governance reporting active; exceptions trigger formal escalation; evidence is system-generated.</t>
  </si>
  <si>
    <t xml:space="preserve">L4 — Managed: Cloud Infrastructure Entitlement Management (CIEM) is KPI-driven with quantified targets and continuous performance measurement. Governance reporting active; exceptions trigger formal escalation; evidence is system-generated.</t>
  </si>
  <si>
    <t xml:space="preserve">L4 — Managed: Cloud Shared Responsibility Matrix is KPI-driven with quantified targets and continuous performance measurement. Governance reporting active; exceptions trigger formal escalation; evidence is system-generated.</t>
  </si>
  <si>
    <t xml:space="preserve">L4 — Managed: Cloud Native Security Controls (AWS/Azure/GCP) is KPI-driven with quantified targets and continuous performance measurement. Governance reporting active; exceptions trigger formal escalation; evidence is system-generated.</t>
  </si>
  <si>
    <t xml:space="preserve">L4 — Managed: Cloud Key Management &amp; HSM is KPI-driven with quantified targets and continuous performance measurement. Governance reporting active; exceptions trigger formal escalation; evidence is system-generated.</t>
  </si>
  <si>
    <t xml:space="preserve">L4 — Managed: FedRAMP Compliance (where applicable) is KPI-driven with quantified targets and continuous performance measurement. Governance reporting active; exceptions trigger formal escalation; evidence is system-generated.</t>
  </si>
  <si>
    <t xml:space="preserve">L4 — Managed: Data Residency &amp; Sovereignty Controls is KPI-driven with quantified targets and continuous performance measurement. Governance reporting active; exceptions trigger formal escalation; evidence is system-generated.</t>
  </si>
  <si>
    <t xml:space="preserve">L4 — Managed: SaaS Security &amp; CASB is KPI-driven with quantified targets and continuous performance measurement. Governance reporting active; exceptions trigger formal escalation; evidence is system-generated.</t>
  </si>
  <si>
    <t xml:space="preserve">L4 — Managed: Cloud Configuration Drift Prevention is KPI-driven with quantified targets and continuous performance measurement. Governance reporting active; exceptions trigger formal escalation; evidence is system-generated.</t>
  </si>
  <si>
    <t xml:space="preserve">L4 — Managed: Container Orchestration Security (Kubernetes) is KPI-driven with quantified targets and continuous performance measurement. Governance reporting active; exceptions trigger formal escalation; evidence is system-generated.</t>
  </si>
  <si>
    <t xml:space="preserve">L4 — Managed: Cloud Workload Protection Platform (CWPP) is KPI-driven with quantified targets and continuous performance measurement. Governance reporting active; exceptions trigger formal escalation; evidence is system-generated.</t>
  </si>
  <si>
    <t xml:space="preserve">L4 — Managed: Prompt Injection Prevention is KPI-driven with quantified targets and continuous performance measurement. Governance reporting active; exceptions trigger formal escalation; evidence is system-generated.</t>
  </si>
  <si>
    <t xml:space="preserve">L4 — Managed: AI Model Access Control &amp; RBAC is KPI-driven with quantified targets and continuous performance measurement. Governance reporting active; exceptions trigger formal escalation; evidence is system-generated.</t>
  </si>
  <si>
    <t xml:space="preserve">L4 — Managed: AI Output Monitoring &amp; Content Filtering is KPI-driven with quantified targets and continuous performance measurement. Governance reporting active; exceptions trigger formal escalation; evidence is system-generated.</t>
  </si>
  <si>
    <t xml:space="preserve">L4 — Managed: Adversarial AI Testing is KPI-driven with quantified targets and continuous performance measurement. Governance reporting active; exceptions trigger formal escalation; evidence is system-generated.</t>
  </si>
  <si>
    <t xml:space="preserve">L4 — Managed: Physical Access Control is KPI-driven with quantified targets and continuous performance measurement. Governance reporting active; exceptions trigger formal escalation; evidence is system-generated.</t>
  </si>
  <si>
    <t xml:space="preserve">L4 — Managed: Clean Desk &amp; Screen Lock Policy is KPI-driven with quantified targets and continuous performance measurement. Governance reporting active; exceptions trigger formal escalation; evidence is system-generated.</t>
  </si>
  <si>
    <t xml:space="preserve">L4 — Managed: Security Awareness Training — Annual is KPI-driven with quantified targets and continuous performance measurement. Governance reporting active; exceptions trigger formal escalation; evidence is system-generated.</t>
  </si>
  <si>
    <t xml:space="preserve">L4 — Managed: Role-Specific Security Training is KPI-driven with quantified targets and continuous performance measurement. Governance reporting active; exceptions trigger formal escalation; evidence is system-generated.</t>
  </si>
  <si>
    <t xml:space="preserve">L4 — Managed: Phishing Simulation Programme is KPI-driven with quantified targets and continuous performance measurement. Governance reporting active; exceptions trigger formal escalation; evidence is system-generated.</t>
  </si>
  <si>
    <t xml:space="preserve">L4 — Managed: AI Literacy &amp; Security Training is KPI-driven with quantified targets and continuous performance measurement. Governance reporting active; exceptions trigger formal escalation; evidence is system-generated.</t>
  </si>
  <si>
    <t xml:space="preserve">L4 — Managed: Data Subject Rights — Process &amp; Fulfilment is KPI-driven with quantified targets and continuous performance measurement. Governance reporting active; exceptions trigger formal escalation; evidence is system-generated.</t>
  </si>
  <si>
    <t xml:space="preserve">L4 — Managed: Personnel Security — Background Screening is KPI-driven with quantified targets and continuous performance measurement. Governance reporting active; exceptions trigger formal escalation; evidence is system-generated.</t>
  </si>
  <si>
    <t xml:space="preserve">L4 — Managed: Security by Default — Product Configuration is KPI-driven with quantified targets and continuous performance measurement. Governance reporting active; exceptions trigger formal escalation; evidence is system-generated.</t>
  </si>
  <si>
    <t xml:space="preserve">L4 — Managed: NIS2 Supply Chain Security Obligations is KPI-driven with quantified targets and continuous performance measurement. Governance reporting active; exceptions trigger formal escalation; evidence is system-generated.</t>
  </si>
  <si>
    <t xml:space="preserve">L4 — Managed: SIEM — Log Ingestion &amp; Coverage is KPI-driven with quantified targets and continuous performance measurement. Governance reporting active; exceptions trigger formal escalation; evidence is system-generated.</t>
  </si>
  <si>
    <t xml:space="preserve">L4 — Managed: SIEM — Use Case Library &amp; Threat Coverage is KPI-driven with quantified targets and continuous performance measurement. Governance reporting active; exceptions trigger formal escalation; evidence is system-generated.</t>
  </si>
  <si>
    <t xml:space="preserve">L4 — Managed: SIEM — Log Integrity &amp; Tamper Protection is KPI-driven with quantified targets and continuous performance measurement. Governance reporting active; exceptions trigger formal escalation; evidence is system-generated.</t>
  </si>
  <si>
    <t xml:space="preserve">L4 — Managed: SIEM — Compliance Monitoring Use Cases is KPI-driven with quantified targets and continuous performance measurement. Governance reporting active; exceptions trigger formal escalation; evidence is system-generated.</t>
  </si>
  <si>
    <t xml:space="preserve">L4 — Managed: Log Retention &amp; Archival Management is KPI-driven with quantified targets and continuous performance measurement. Governance reporting active; exceptions trigger formal escalation; evidence is system-generated.</t>
  </si>
  <si>
    <t xml:space="preserve">L4 — Managed: Telemetry Coverage Management is KPI-driven with quantified targets and continuous performance measurement. Governance reporting active; exceptions trigger formal escalation; evidence is system-generated.</t>
  </si>
  <si>
    <t xml:space="preserve">L4 — Managed: Detection Health Monitoring is KPI-driven with quantified targets and continuous performance measurement. Governance reporting active; exceptions trigger formal escalation; evidence is system-generated.</t>
  </si>
  <si>
    <t xml:space="preserve">L4 — Managed: SOC Operations — Triage &amp; Investigation is KPI-driven with quantified targets and continuous performance measurement. Governance reporting active; exceptions trigger formal escalation; evidence is system-generated.</t>
  </si>
  <si>
    <t xml:space="preserve">L4 — Managed: NIS2 Significant Incident Classification is KPI-driven with quantified targets and continuous performance measurement. Governance reporting active; exceptions trigger formal escalation; evidence is system-generated.</t>
  </si>
  <si>
    <t xml:space="preserve">L4 — Managed: DORA Major Incident Classification is KPI-driven with quantified targets and continuous performance measurement. Governance reporting active; exceptions trigger formal escalation; evidence is system-generated.</t>
  </si>
  <si>
    <t xml:space="preserve">L4 — Managed: Threat Intelligence Integration is KPI-driven with quantified targets and continuous performance measurement. Governance reporting active; exceptions trigger formal escalation; evidence is system-generated.</t>
  </si>
  <si>
    <t xml:space="preserve">L4 — Managed: User &amp; Entity Behaviour Analytics (UEBA) is KPI-driven with quantified targets and continuous performance measurement. Governance reporting active; exceptions trigger formal escalation; evidence is system-generated.</t>
  </si>
  <si>
    <t xml:space="preserve">L4 — Managed: Network Detection &amp; Response (NDR) is KPI-driven with quantified targets and continuous performance measurement. Governance reporting active; exceptions trigger formal escalation; evidence is system-generated.</t>
  </si>
  <si>
    <t xml:space="preserve">L4 — Managed: Cloud Detection &amp; Response is KPI-driven with quantified targets and continuous performance measurement. Governance reporting active; exceptions trigger formal escalation; evidence is system-generated.</t>
  </si>
  <si>
    <t xml:space="preserve">L4 — Managed: Privacy Event Detection is KPI-driven with quantified targets and continuous performance measurement. Governance reporting active; exceptions trigger formal escalation; evidence is system-generated.</t>
  </si>
  <si>
    <t xml:space="preserve">L4 — Managed: SOX Financial System Monitoring is KPI-driven with quantified targets and continuous performance measurement. Governance reporting active; exceptions trigger formal escalation; evidence is system-generated.</t>
  </si>
  <si>
    <t xml:space="preserve">L4 — Managed: Dark Web &amp; Exposure Monitoring is KPI-driven with quantified targets and continuous performance measurement. Governance reporting active; exceptions trigger formal escalation; evidence is system-generated.</t>
  </si>
  <si>
    <t xml:space="preserve">L4 — Managed: AI-Specific Threat Detection is KPI-driven with quantified targets and continuous performance measurement. Governance reporting active; exceptions trigger formal escalation; evidence is system-generated.</t>
  </si>
  <si>
    <t xml:space="preserve">L4 — Managed: Detection Validation — Purple Team Exercises is KPI-driven with quantified targets and continuous performance measurement. Governance reporting active; exceptions trigger formal escalation; evidence is system-generated.</t>
  </si>
  <si>
    <t xml:space="preserve">L4 — Managed: Security Metrics &amp; KPIs — Detection Domain is KPI-driven with quantified targets and continuous performance measurement. Governance reporting active; exceptions trigger formal escalation; evidence is system-generated.</t>
  </si>
  <si>
    <t xml:space="preserve">L4 — Managed: Security Dashboard &amp; Visibility is KPI-driven with quantified targets and continuous performance measurement. Governance reporting active; exceptions trigger formal escalation; evidence is system-generated.</t>
  </si>
  <si>
    <t xml:space="preserve">L4 — Managed: Vulnerability Scanner Integration is KPI-driven with quantified targets and continuous performance measurement. Governance reporting active; exceptions trigger formal escalation; evidence is system-generated.</t>
  </si>
  <si>
    <t xml:space="preserve">L4 — Managed: Incident Response Plan (IRP) is KPI-driven with quantified targets and continuous performance measurement. Governance reporting active; exceptions trigger formal escalation; evidence is system-generated.</t>
  </si>
  <si>
    <t xml:space="preserve">L4 — Managed: Evidence Preservation &amp; Chain of Custody is KPI-driven with quantified targets and continuous performance measurement. Governance reporting active; exceptions trigger formal escalation; evidence is system-generated.</t>
  </si>
  <si>
    <t xml:space="preserve">L4 — Managed: Third-Party Incident Coordination is KPI-driven with quantified targets and continuous performance measurement. Governance reporting active; exceptions trigger formal escalation; evidence is system-generated.</t>
  </si>
  <si>
    <t xml:space="preserve">L4 — Managed: Cyber Insurance Engagement &amp; Claim Management is KPI-driven with quantified targets and continuous performance measurement. Governance reporting active; exceptions trigger formal escalation; evidence is system-generated.</t>
  </si>
  <si>
    <t xml:space="preserve">L4 — Managed: Incident Playbooks — Ransomware is KPI-driven with quantified targets and continuous performance measurement. Governance reporting active; exceptions trigger formal escalation; evidence is system-generated.</t>
  </si>
  <si>
    <t xml:space="preserve">L4 — Managed: Incident Playbooks — Data Breach is KPI-driven with quantified targets and continuous performance measurement. Governance reporting active; exceptions trigger formal escalation; evidence is system-generated.</t>
  </si>
  <si>
    <t xml:space="preserve">L4 — Managed: Incident Playbooks — Business Email Compromise is KPI-driven with quantified targets and continuous performance measurement. Governance reporting active; exceptions trigger formal escalation; evidence is system-generated.</t>
  </si>
  <si>
    <t xml:space="preserve">L4 — Managed: Incident Playbooks — Cloud Security Incident is KPI-driven with quantified targets and continuous performance measurement. Governance reporting active; exceptions trigger formal escalation; evidence is system-generated.</t>
  </si>
  <si>
    <t xml:space="preserve">L4 — Managed: NIS2 Three-Stage Notification Process is KPI-driven with quantified targets and continuous performance measurement. Governance reporting active; exceptions trigger formal escalation; evidence is system-generated.</t>
  </si>
  <si>
    <t xml:space="preserve">L4 — Managed: DORA Major Incident Reporting Process is KPI-driven with quantified targets and continuous performance measurement. Governance reporting active; exceptions trigger formal escalation; evidence is system-generated.</t>
  </si>
  <si>
    <t xml:space="preserve">L4 — Managed: GDPR Breach Notification Process is KPI-driven with quantified targets and continuous performance measurement. Governance reporting active; exceptions trigger formal escalation; evidence is system-generated.</t>
  </si>
  <si>
    <t xml:space="preserve">L4 — Managed: Breach Materiality &amp; Regulatory Decision Tree is KPI-driven with quantified targets and continuous performance measurement. Governance reporting active; exceptions trigger formal escalation; evidence is system-generated.</t>
  </si>
  <si>
    <t xml:space="preserve">L4 — Managed: Tabletop Exercises — Technical is KPI-driven with quantified targets and continuous performance measurement. Governance reporting active; exceptions trigger formal escalation; evidence is system-generated.</t>
  </si>
  <si>
    <t xml:space="preserve">L4 — Managed: Tabletop Exercises — Executive is KPI-driven with quantified targets and continuous performance measurement. Governance reporting active; exceptions trigger formal escalation; evidence is system-generated.</t>
  </si>
  <si>
    <t xml:space="preserve">L4 — Managed: Post-Incident Review &amp; Lessons Learned is KPI-driven with quantified targets and continuous performance measurement. Governance reporting active; exceptions trigger formal escalation; evidence is system-generated.</t>
  </si>
  <si>
    <t xml:space="preserve">L4 — Managed: Regulatory Investigation Management is KPI-driven with quantified targets and continuous performance measurement. Governance reporting active; exceptions trigger formal escalation; evidence is system-generated.</t>
  </si>
  <si>
    <t xml:space="preserve">L4 — Managed: Business Continuity Plan (BCP) is KPI-driven with quantified targets and continuous performance measurement. Governance reporting active; exceptions trigger formal escalation; evidence is system-generated.</t>
  </si>
  <si>
    <t xml:space="preserve">L4 — Managed: Disaster Recovery Plan (DRP) is KPI-driven with quantified targets and continuous performance measurement. Governance reporting active; exceptions trigger formal escalation; evidence is system-generated.</t>
  </si>
  <si>
    <t xml:space="preserve">L4 — Managed: Recovery Time Objective (RTO) Validation is KPI-driven with quantified targets and continuous performance measurement. Governance reporting active; exceptions trigger formal escalation; evidence is system-generated.</t>
  </si>
  <si>
    <t xml:space="preserve">L4 — Managed: Recovery Point Objective (RPO) Validation is KPI-driven with quantified targets and continuous performance measurement. Governance reporting active; exceptions trigger formal escalation; evidence is system-generated.</t>
  </si>
  <si>
    <t xml:space="preserve">L4 — Managed: Crisis Communications Plan is KPI-driven with quantified targets and continuous performance measurement. Governance reporting active; exceptions trigger formal escalation; evidence is system-generated.</t>
  </si>
  <si>
    <t xml:space="preserve">L4 — Managed: Recovery Testing — Full System Failover is KPI-driven with quantified targets and continuous performance measurement. Governance reporting active; exceptions trigger formal escalation; evidence is system-generated.</t>
  </si>
  <si>
    <t xml:space="preserve">L4 — Managed: DORA Threat-Led Penetration Testing (TLPT) is KPI-driven with quantified targets and continuous performance measurement. Governance reporting active; exceptions trigger formal escalation; evidence is system-generated.</t>
  </si>
  <si>
    <t xml:space="preserve">L4 — Managed: Post-Recovery Control Validation is KPI-driven with quantified targets and continuous performance measurement. Governance reporting active; exceptions trigger formal escalation; evidence is system-generated.</t>
  </si>
  <si>
    <t xml:space="preserve">L4 — Managed: Privacy Capability Restoration is KPI-driven with quantified targets and continuous performance measurement. Governance reporting active; exceptions trigger formal escalation; evidence is system-generated.</t>
  </si>
  <si>
    <t xml:space="preserve">L4 — Managed: AI Model Integrity Validation (Post-Recovery) is KPI-driven with quantified targets and continuous performance measurement. Governance reporting active; exceptions trigger formal escalation; evidence is system-generated.</t>
  </si>
  <si>
    <t xml:space="preserve">L4 — Managed: CDE Recovery &amp; PCI Compliance Re-validation is KPI-driven with quantified targets and continuous performance measurement. Governance reporting active; exceptions trigger formal escalation; evidence is system-generated.</t>
  </si>
  <si>
    <t xml:space="preserve">L4 — Managed: Continuity Testing — Tabletop &amp; Simulation is KPI-driven with quantified targets and continuous performance measurement. Governance reporting active; exceptions trigger formal escalation; evidence is system-generated.</t>
  </si>
  <si>
    <t xml:space="preserve">L4 — Managed: Lessons Learned — Continuity Programme Integration is KPI-driven with quantified targets and continuous performance measurement. Governance reporting active; exceptions trigger formal escalation; evidence is system-generated.</t>
  </si>
  <si>
    <t xml:space="preserve">L4 — Managed: Business Service Recovery Validation is KPI-driven with quantified targets and continuous performance measurement. Governance reporting active; exceptions trigger formal escalation; evidence is system-generated.</t>
  </si>
  <si>
    <t xml:space="preserve">L4 — Managed: Recovery Metrics — RTO/RPO Achievement Tracking is KPI-driven with quantified targets and continuous performance measurement. Governance reporting active; exceptions trigger formal escalation; evidence is system-generated.</t>
  </si>
  <si>
    <t xml:space="preserve">L4 — Managed: Operational Technology (OT) Continuity is KPI-driven with quantified targets and continuous performance measurement. Governance reporting active; exceptions trigger formal escalation; evidence is system-generated.</t>
  </si>
  <si>
    <t xml:space="preserve">L4 — Managed: Supplier Resilience Assessment is KPI-driven with quantified targets and continuous performance measurement. Governance reporting active; exceptions trigger formal escalation; evidence is system-generated.</t>
  </si>
  <si>
    <t xml:space="preserve">L5 — Optimised: CISO / Security Leadership is fully automated with continuous evidence generation, self-healing controls, and independent assurance. Adapts dynamically to changes in threat and regulatory landscape.</t>
  </si>
  <si>
    <t xml:space="preserve">L5 — Optimised: Cybersecurity Strategy &amp; Programme is fully automated with continuous evidence generation, self-healing controls, and independent assurance. Adapts dynamically to changes in threat and regulatory landscape.</t>
  </si>
  <si>
    <t xml:space="preserve">L5 — Optimised: Cyber Budget &amp; Investment Model is fully automated with continuous evidence generation, self-healing controls, and independent assurance. Adapts dynamically to changes in threat and regulatory landscape.</t>
  </si>
  <si>
    <t xml:space="preserve">L5 — Optimised: Security Organisational Structure is fully automated with continuous evidence generation, self-healing controls, and independent assurance. Adapts dynamically to changes in threat and regulatory landscape.</t>
  </si>
  <si>
    <t xml:space="preserve">L5 — Optimised: Board-Level Cybersecurity Oversight is fully automated with continuous evidence generation, self-healing controls, and independent assurance. Adapts dynamically to changes in threat and regulatory landscape.</t>
  </si>
  <si>
    <t xml:space="preserve">L5 — Optimised: Security Policy Framework &amp; Hierarchy is fully automated with continuous evidence generation, self-healing controls, and independent assurance. Adapts dynamically to changes in threat and regulatory landscape.</t>
  </si>
  <si>
    <t xml:space="preserve">L5 — Optimised: Policy Attestation &amp; Enforcement is fully automated with continuous evidence generation, self-healing controls, and independent assurance. Adapts dynamically to changes in threat and regulatory landscape.</t>
  </si>
  <si>
    <t xml:space="preserve">L5 — Optimised: Policy Exception Governance is fully automated with continuous evidence generation, self-healing controls, and independent assurance. Adapts dynamically to changes in threat and regulatory landscape.</t>
  </si>
  <si>
    <t xml:space="preserve">L5 — Optimised: Control Standards Management is fully automated with continuous evidence generation, self-healing controls, and independent assurance. Adapts dynamically to changes in threat and regulatory landscape.</t>
  </si>
  <si>
    <t xml:space="preserve">L5 — Optimised: Regulatory Obligation Register &amp; Mapping is fully automated with continuous evidence generation, self-healing controls, and independent assurance. Adapts dynamically to changes in threat and regulatory landscape.</t>
  </si>
  <si>
    <t xml:space="preserve">L5 — Optimised: Regulatory Change Management is fully automated with continuous evidence generation, self-healing controls, and independent assurance. Adapts dynamically to changes in threat and regulatory landscape.</t>
  </si>
  <si>
    <t xml:space="preserve">L5 — Optimised: Security Standards for Third Parties is fully automated with continuous evidence generation, self-healing controls, and independent assurance. Adapts dynamically to changes in threat and regulatory landscape.</t>
  </si>
  <si>
    <t xml:space="preserve">L5 — Optimised: Enterprise Risk Framework Integration is fully automated with continuous evidence generation, self-healing controls, and independent assurance. Adapts dynamically to changes in threat and regulatory landscape.</t>
  </si>
  <si>
    <t xml:space="preserve">L5 — Optimised: Risk Appetite &amp; Tolerance Thresholds is fully automated with continuous evidence generation, self-healing controls, and independent assurance. Adapts dynamically to changes in threat and regulatory landscape.</t>
  </si>
  <si>
    <t xml:space="preserve">L5 — Optimised: Risk Register Management &amp; Reporting is fully automated with continuous evidence generation, self-healing controls, and independent assurance. Adapts dynamically to changes in threat and regulatory landscape.</t>
  </si>
  <si>
    <t xml:space="preserve">L5 — Optimised: Cyber Risk Quantification is fully automated with continuous evidence generation, self-healing controls, and independent assurance. Adapts dynamically to changes in threat and regulatory landscape.</t>
  </si>
  <si>
    <t xml:space="preserve">L5 — Optimised: Third-Party Risk Management (TPRM) Programme is fully automated with continuous evidence generation, self-healing controls, and independent assurance. Adapts dynamically to changes in threat and regulatory landscape.</t>
  </si>
  <si>
    <t xml:space="preserve">L5 — Optimised: Vendor Security Assessment Process is fully automated with continuous evidence generation, self-healing controls, and independent assurance. Adapts dynamically to changes in threat and regulatory landscape.</t>
  </si>
  <si>
    <t xml:space="preserve">L5 — Optimised: Vendor Contractual Security Obligations is fully automated with continuous evidence generation, self-healing controls, and independent assurance. Adapts dynamically to changes in threat and regulatory landscape.</t>
  </si>
  <si>
    <t xml:space="preserve">L5 — Optimised: Fourth-Party &amp; Sub-Processor Mapping is fully automated with continuous evidence generation, self-healing controls, and independent assurance. Adapts dynamically to changes in threat and regulatory landscape.</t>
  </si>
  <si>
    <t xml:space="preserve">L5 — Optimised: DORA TPSP Critical Register is fully automated with continuous evidence generation, self-healing controls, and independent assurance. Adapts dynamically to changes in threat and regulatory landscape.</t>
  </si>
  <si>
    <t xml:space="preserve">L5 — Optimised: Software Supply Chain Security Governance is fully automated with continuous evidence generation, self-healing controls, and independent assurance. Adapts dynamically to changes in threat and regulatory landscape.</t>
  </si>
  <si>
    <t xml:space="preserve">L5 — Optimised: Supplier Resilience Requirements is fully automated with continuous evidence generation, self-healing controls, and independent assurance. Adapts dynamically to changes in threat and regulatory landscape.</t>
  </si>
  <si>
    <t xml:space="preserve">L5 — Optimised: Privacy Governance &amp; DPO/Privacy Lead is fully automated with continuous evidence generation, self-healing controls, and independent assurance. Adapts dynamically to changes in threat and regulatory landscape.</t>
  </si>
  <si>
    <t xml:space="preserve">L5 — Optimised: Records of Processing Activities (ROPA) is fully automated with continuous evidence generation, self-healing controls, and independent assurance. Adapts dynamically to changes in threat and regulatory landscape.</t>
  </si>
  <si>
    <t xml:space="preserve">L5 — Optimised: Data Protection Impact Assessments (DPIAs) is fully automated with continuous evidence generation, self-healing controls, and independent assurance. Adapts dynamically to changes in threat and regulatory landscape.</t>
  </si>
  <si>
    <t xml:space="preserve">L5 — Optimised: Cross-Border Data Transfer Controls is fully automated with continuous evidence generation, self-healing controls, and independent assurance. Adapts dynamically to changes in threat and regulatory landscape.</t>
  </si>
  <si>
    <t xml:space="preserve">L5 — Optimised: Internal &amp; External Audit Programme is fully automated with continuous evidence generation, self-healing controls, and independent assurance. Adapts dynamically to changes in threat and regulatory landscape.</t>
  </si>
  <si>
    <t xml:space="preserve">L5 — Optimised: IT Hardware Asset Inventory (CMDB) is fully automated with continuous evidence generation, self-healing controls, and independent assurance. Adapts dynamically to changes in threat and regulatory landscape.</t>
  </si>
  <si>
    <t xml:space="preserve">L5 — Optimised: Software Asset Inventory is fully automated with continuous evidence generation, self-healing controls, and independent assurance. Adapts dynamically to changes in threat and regulatory landscape.</t>
  </si>
  <si>
    <t xml:space="preserve">L5 — Optimised: Cloud Infrastructure Asset Inventory is fully automated with continuous evidence generation, self-healing controls, and independent assurance. Adapts dynamically to changes in threat and regulatory landscape.</t>
  </si>
  <si>
    <t xml:space="preserve">L5 — Optimised: SaaS &amp; Shadow IT Discovery is fully automated with continuous evidence generation, self-healing controls, and independent assurance. Adapts dynamically to changes in threat and regulatory landscape.</t>
  </si>
  <si>
    <t xml:space="preserve">L5 — Optimised: Software Bill of Materials (SBOM) is fully automated with continuous evidence generation, self-healing controls, and independent assurance. Adapts dynamically to changes in threat and regulatory landscape.</t>
  </si>
  <si>
    <t xml:space="preserve">L5 — Optimised: Network Topology &amp; Architecture Documentation is fully automated with continuous evidence generation, self-healing controls, and independent assurance. Adapts dynamically to changes in threat and regulatory landscape.</t>
  </si>
  <si>
    <t xml:space="preserve">L5 — Optimised: Technology Lifecycle Management is fully automated with continuous evidence generation, self-healing controls, and independent assurance. Adapts dynamically to changes in threat and regulatory landscape.</t>
  </si>
  <si>
    <t xml:space="preserve">L5 — Optimised: Data Classification Framework &amp; Implementation is fully automated with continuous evidence generation, self-healing controls, and independent assurance. Adapts dynamically to changes in threat and regulatory landscape.</t>
  </si>
  <si>
    <t xml:space="preserve">L5 — Optimised: Sensitive Data Discovery &amp; Mapping is fully automated with continuous evidence generation, self-healing controls, and independent assurance. Adapts dynamically to changes in threat and regulatory landscape.</t>
  </si>
  <si>
    <t xml:space="preserve">L5 — Optimised: Data Flow &amp; Transfer Mapping is fully automated with continuous evidence generation, self-healing controls, and independent assurance. Adapts dynamically to changes in threat and regulatory landscape.</t>
  </si>
  <si>
    <t xml:space="preserve">L5 — Optimised: Retention Schedule &amp; Disposal Management is fully automated with continuous evidence generation, self-healing controls, and independent assurance. Adapts dynamically to changes in threat and regulatory landscape.</t>
  </si>
  <si>
    <t xml:space="preserve">L5 — Optimised: Payment Data Scoping &amp; CDE Mapping is fully automated with continuous evidence generation, self-healing controls, and independent assurance. Adapts dynamically to changes in threat and regulatory landscape.</t>
  </si>
  <si>
    <t xml:space="preserve">L5 — Optimised: Business Impact Analysis (BIA) is fully automated with continuous evidence generation, self-healing controls, and independent assurance. Adapts dynamically to changes in threat and regulatory landscape.</t>
  </si>
  <si>
    <t xml:space="preserve">L5 — Optimised: Threat Landscape Assessment is fully automated with continuous evidence generation, self-healing controls, and independent assurance. Adapts dynamically to changes in threat and regulatory landscape.</t>
  </si>
  <si>
    <t xml:space="preserve">L5 — Optimised: Vulnerability Management Programme is fully automated with continuous evidence generation, self-healing controls, and independent assurance. Adapts dynamically to changes in threat and regulatory landscape.</t>
  </si>
  <si>
    <t xml:space="preserve">L5 — Optimised: Penetration Testing Programme is fully automated with continuous evidence generation, self-healing controls, and independent assurance. Adapts dynamically to changes in threat and regulatory landscape.</t>
  </si>
  <si>
    <t xml:space="preserve">L5 — Optimised: Third-Party Security Rating Monitoring is fully automated with continuous evidence generation, self-healing controls, and independent assurance. Adapts dynamically to changes in threat and regulatory landscape.</t>
  </si>
  <si>
    <t xml:space="preserve">L5 — Optimised: Critical Asset Identification &amp; Prioritisation is fully automated with continuous evidence generation, self-healing controls, and independent assurance. Adapts dynamically to changes in threat and regulatory landscape.</t>
  </si>
  <si>
    <t xml:space="preserve">L5 — Optimised: SOX IT General Controls Assessment is fully automated with continuous evidence generation, self-healing controls, and independent assurance. Adapts dynamically to changes in threat and regulatory landscape.</t>
  </si>
  <si>
    <t xml:space="preserve">L5 — Optimised: HIPAA Risk Analysis is fully automated with continuous evidence generation, self-healing controls, and independent assurance. Adapts dynamically to changes in threat and regulatory landscape.</t>
  </si>
  <si>
    <t xml:space="preserve">L5 — Optimised: Security Metrics &amp; Measurement Framework is fully automated with continuous evidence generation, self-healing controls, and independent assurance. Adapts dynamically to changes in threat and regulatory landscape.</t>
  </si>
  <si>
    <t xml:space="preserve">L5 — Optimised: Red Team Programme is fully automated with continuous evidence generation, self-healing controls, and independent assurance. Adapts dynamically to changes in threat and regulatory landscape.</t>
  </si>
  <si>
    <t xml:space="preserve">L5 — Optimised: Multi-Factor Authentication — All Users is fully automated with continuous evidence generation, self-healing controls, and independent assurance. Adapts dynamically to changes in threat and regulatory landscape.</t>
  </si>
  <si>
    <t xml:space="preserve">L5 — Optimised: Phishing-Resistant MFA for Privileged Accounts is fully automated with continuous evidence generation, self-healing controls, and independent assurance. Adapts dynamically to changes in threat and regulatory landscape.</t>
  </si>
  <si>
    <t xml:space="preserve">L5 — Optimised: Privileged Access Management (PAM) is fully automated with continuous evidence generation, self-healing controls, and independent assurance. Adapts dynamically to changes in threat and regulatory landscape.</t>
  </si>
  <si>
    <t xml:space="preserve">L5 — Optimised: Identity Lifecycle — Joiners Process is fully automated with continuous evidence generation, self-healing controls, and independent assurance. Adapts dynamically to changes in threat and regulatory landscape.</t>
  </si>
  <si>
    <t xml:space="preserve">L5 — Optimised: Identity Lifecycle — Movers Process is fully automated with continuous evidence generation, self-healing controls, and independent assurance. Adapts dynamically to changes in threat and regulatory landscape.</t>
  </si>
  <si>
    <t xml:space="preserve">L5 — Optimised: Identity Lifecycle — Leavers Process is fully automated with continuous evidence generation, self-healing controls, and independent assurance. Adapts dynamically to changes in threat and regulatory landscape.</t>
  </si>
  <si>
    <t xml:space="preserve">L5 — Optimised: Quarterly Access Reviews (Access Certification) is fully automated with continuous evidence generation, self-healing controls, and independent assurance. Adapts dynamically to changes in threat and regulatory landscape.</t>
  </si>
  <si>
    <t xml:space="preserve">L5 — Optimised: Single Sign-On (SSO) &amp; Federation is fully automated with continuous evidence generation, self-healing controls, and independent assurance. Adapts dynamically to changes in threat and regulatory landscape.</t>
  </si>
  <si>
    <t xml:space="preserve">L5 — Optimised: Separation of Duties (SoD) Controls is fully automated with continuous evidence generation, self-healing controls, and independent assurance. Adapts dynamically to changes in threat and regulatory landscape.</t>
  </si>
  <si>
    <t xml:space="preserve">L5 — Optimised: Dormant Account Detection &amp; Management is fully automated with continuous evidence generation, self-healing controls, and independent assurance. Adapts dynamically to changes in threat and regulatory landscape.</t>
  </si>
  <si>
    <t xml:space="preserve">L5 — Optimised: Machine Identity &amp; Service Account Management is fully automated with continuous evidence generation, self-healing controls, and independent assurance. Adapts dynamically to changes in threat and regulatory landscape.</t>
  </si>
  <si>
    <t xml:space="preserve">L5 — Optimised: API Key &amp; Secrets Management is fully automated with continuous evidence generation, self-healing controls, and independent assurance. Adapts dynamically to changes in threat and regulatory landscape.</t>
  </si>
  <si>
    <t xml:space="preserve">L5 — Optimised: Zero Trust Architecture (ZTA) Implementation is fully automated with continuous evidence generation, self-healing controls, and independent assurance. Adapts dynamically to changes in threat and regulatory landscape.</t>
  </si>
  <si>
    <t xml:space="preserve">L5 — Optimised: Encryption at Rest — Sensitive Data is fully automated with continuous evidence generation, self-healing controls, and independent assurance. Adapts dynamically to changes in threat and regulatory landscape.</t>
  </si>
  <si>
    <t xml:space="preserve">L5 — Optimised: Encryption in Transit — TLS Enforcement is fully automated with continuous evidence generation, self-healing controls, and independent assurance. Adapts dynamically to changes in threat and regulatory landscape.</t>
  </si>
  <si>
    <t xml:space="preserve">L5 — Optimised: Data Loss Prevention (DLP) — Email is fully automated with continuous evidence generation, self-healing controls, and independent assurance. Adapts dynamically to changes in threat and regulatory landscape.</t>
  </si>
  <si>
    <t xml:space="preserve">L5 — Optimised: Data Loss Prevention (DLP) — Endpoint is fully automated with continuous evidence generation, self-healing controls, and independent assurance. Adapts dynamically to changes in threat and regulatory landscape.</t>
  </si>
  <si>
    <t xml:space="preserve">L5 — Optimised: Data Loss Prevention (DLP) — Cloud &amp; SaaS is fully automated with continuous evidence generation, self-healing controls, and independent assurance. Adapts dynamically to changes in threat and regulatory landscape.</t>
  </si>
  <si>
    <t xml:space="preserve">L5 — Optimised: Data Masking &amp; Pseudonymisation is fully automated with continuous evidence generation, self-healing controls, and independent assurance. Adapts dynamically to changes in threat and regulatory landscape.</t>
  </si>
  <si>
    <t xml:space="preserve">L5 — Optimised: Payment Card Data (PAN) Protection is fully automated with continuous evidence generation, self-healing controls, and independent assurance. Adapts dynamically to changes in threat and regulatory landscape.</t>
  </si>
  <si>
    <t xml:space="preserve">L5 — Optimised: Backup — Architecture &amp; Immutability is fully automated with continuous evidence generation, self-healing controls, and independent assurance. Adapts dynamically to changes in threat and regulatory landscape.</t>
  </si>
  <si>
    <t xml:space="preserve">L5 — Optimised: Backup — Restoration Testing is fully automated with continuous evidence generation, self-healing controls, and independent assurance. Adapts dynamically to changes in threat and regulatory landscape.</t>
  </si>
  <si>
    <t xml:space="preserve">L5 — Optimised: Email Security — DMARC, DKIM, SPF is fully automated with continuous evidence generation, self-healing controls, and independent assurance. Adapts dynamically to changes in threat and regulatory landscape.</t>
  </si>
  <si>
    <t xml:space="preserve">L5 — Optimised: Email Security — Anti-Phishing &amp; Sandboxing is fully automated with continuous evidence generation, self-healing controls, and independent assurance. Adapts dynamically to changes in threat and regulatory landscape.</t>
  </si>
  <si>
    <t xml:space="preserve">L5 — Optimised: Cryptographic Standards &amp; Key Lifecycle is fully automated with continuous evidence generation, self-healing controls, and independent assurance. Adapts dynamically to changes in threat and regulatory landscape.</t>
  </si>
  <si>
    <t xml:space="preserve">L5 — Optimised: Endpoint Detection &amp; Response (EDR) is fully automated with continuous evidence generation, self-healing controls, and independent assurance. Adapts dynamically to changes in threat and regulatory landscape.</t>
  </si>
  <si>
    <t xml:space="preserve">L5 — Optimised: Endpoint Hardening &amp; CIS Benchmark Compliance is fully automated with continuous evidence generation, self-healing controls, and independent assurance. Adapts dynamically to changes in threat and regulatory landscape.</t>
  </si>
  <si>
    <t xml:space="preserve">L5 — Optimised: Patch Management — Critical &amp; High Vulnerabilities is fully automated with continuous evidence generation, self-healing controls, and independent assurance. Adapts dynamically to changes in threat and regulatory landscape.</t>
  </si>
  <si>
    <t xml:space="preserve">L5 — Optimised: Patch Management — Medium &amp; Low Vulnerabilities is fully automated with continuous evidence generation, self-healing controls, and independent assurance. Adapts dynamically to changes in threat and regulatory landscape.</t>
  </si>
  <si>
    <t xml:space="preserve">L5 — Optimised: End-of-Life (EOL) Software &amp; OS Management is fully automated with continuous evidence generation, self-healing controls, and independent assurance. Adapts dynamically to changes in threat and regulatory landscape.</t>
  </si>
  <si>
    <t xml:space="preserve">L5 — Optimised: Application Whitelisting / Allowlisting is fully automated with continuous evidence generation, self-healing controls, and independent assurance. Adapts dynamically to changes in threat and regulatory landscape.</t>
  </si>
  <si>
    <t xml:space="preserve">L5 — Optimised: Removable Media Controls is fully automated with continuous evidence generation, self-healing controls, and independent assurance. Adapts dynamically to changes in threat and regulatory landscape.</t>
  </si>
  <si>
    <t xml:space="preserve">L5 — Optimised: Mobile Device Management (MDM) is fully automated with continuous evidence generation, self-healing controls, and independent assurance. Adapts dynamically to changes in threat and regulatory landscape.</t>
  </si>
  <si>
    <t xml:space="preserve">L5 — Optimised: Network Segmentation — Zone Architecture is fully automated with continuous evidence generation, self-healing controls, and independent assurance. Adapts dynamically to changes in threat and regulatory landscape.</t>
  </si>
  <si>
    <t xml:space="preserve">L5 — Optimised: Network Microsegmentation (Cloud &amp; Data Centre) is fully automated with continuous evidence generation, self-healing controls, and independent assurance. Adapts dynamically to changes in threat and regulatory landscape.</t>
  </si>
  <si>
    <t xml:space="preserve">L5 — Optimised: CDE Network Segmentation Validation is fully automated with continuous evidence generation, self-healing controls, and independent assurance. Adapts dynamically to changes in threat and regulatory landscape.</t>
  </si>
  <si>
    <t xml:space="preserve">L5 — Optimised: NGFW &amp; Firewall Rule Management is fully automated with continuous evidence generation, self-healing controls, and independent assurance. Adapts dynamically to changes in threat and regulatory landscape.</t>
  </si>
  <si>
    <t xml:space="preserve">L5 — Optimised: Web Application Firewall (WAF) is fully automated with continuous evidence generation, self-healing controls, and independent assurance. Adapts dynamically to changes in threat and regulatory landscape.</t>
  </si>
  <si>
    <t xml:space="preserve">L5 — Optimised: Zero Trust Network Access (ZTNA) is fully automated with continuous evidence generation, self-healing controls, and independent assurance. Adapts dynamically to changes in threat and regulatory landscape.</t>
  </si>
  <si>
    <t xml:space="preserve">L5 — Optimised: SASE Architecture is fully automated with continuous evidence generation, self-healing controls, and independent assurance. Adapts dynamically to changes in threat and regulatory landscape.</t>
  </si>
  <si>
    <t xml:space="preserve">L5 — Optimised: Protective DNS &amp; DNS Security is fully automated with continuous evidence generation, self-healing controls, and independent assurance. Adapts dynamically to changes in threat and regulatory landscape.</t>
  </si>
  <si>
    <t xml:space="preserve">L5 — Optimised: Egress Filtering &amp; Allowlisting is fully automated with continuous evidence generation, self-healing controls, and independent assurance. Adapts dynamically to changes in threat and regulatory landscape.</t>
  </si>
  <si>
    <t xml:space="preserve">L5 — Optimised: Network Intrusion Prevention (IPS) is fully automated with continuous evidence generation, self-healing controls, and independent assurance. Adapts dynamically to changes in threat and regulatory landscape.</t>
  </si>
  <si>
    <t xml:space="preserve">L5 — Optimised: Remote Administration Security is fully automated with continuous evidence generation, self-healing controls, and independent assurance. Adapts dynamically to changes in threat and regulatory landscape.</t>
  </si>
  <si>
    <t xml:space="preserve">L5 — Optimised: Wireless Network Security is fully automated with continuous evidence generation, self-healing controls, and independent assurance. Adapts dynamically to changes in threat and regulatory landscape.</t>
  </si>
  <si>
    <t xml:space="preserve">L5 — Optimised: OT/ICS Network Security is fully automated with continuous evidence generation, self-healing controls, and independent assurance. Adapts dynamically to changes in threat and regulatory landscape.</t>
  </si>
  <si>
    <t xml:space="preserve">L5 — Optimised: Secure SDLC — Security Requirements is fully automated with continuous evidence generation, self-healing controls, and independent assurance. Adapts dynamically to changes in threat and regulatory landscape.</t>
  </si>
  <si>
    <t xml:space="preserve">L5 — Optimised: Secure SDLC — Static Analysis (SAST) is fully automated with continuous evidence generation, self-healing controls, and independent assurance. Adapts dynamically to changes in threat and regulatory landscape.</t>
  </si>
  <si>
    <t xml:space="preserve">L5 — Optimised: Secure SDLC — Software Composition Analysis (SCA) is fully automated with continuous evidence generation, self-healing controls, and independent assurance. Adapts dynamically to changes in threat and regulatory landscape.</t>
  </si>
  <si>
    <t xml:space="preserve">L5 — Optimised: Secure SDLC — Dynamic Analysis (DAST) is fully automated with continuous evidence generation, self-healing controls, and independent assurance. Adapts dynamically to changes in threat and regulatory landscape.</t>
  </si>
  <si>
    <t xml:space="preserve">L5 — Optimised: Secure SDLC — Release Security Sign-Off is fully automated with continuous evidence generation, self-healing controls, and independent assurance. Adapts dynamically to changes in threat and regulatory landscape.</t>
  </si>
  <si>
    <t xml:space="preserve">L5 — Optimised: API Security — Inventory &amp; Gateway is fully automated with continuous evidence generation, self-healing controls, and independent assurance. Adapts dynamically to changes in threat and regulatory landscape.</t>
  </si>
  <si>
    <t xml:space="preserve">L5 — Optimised: Container Security — Image Scanning is fully automated with continuous evidence generation, self-healing controls, and independent assurance. Adapts dynamically to changes in threat and regulatory landscape.</t>
  </si>
  <si>
    <t xml:space="preserve">L5 — Optimised: Container Security — Runtime Protection is fully automated with continuous evidence generation, self-healing controls, and independent assurance. Adapts dynamically to changes in threat and regulatory landscape.</t>
  </si>
  <si>
    <t xml:space="preserve">L5 — Optimised: Secrets Exposure Prevention in Code is fully automated with continuous evidence generation, self-healing controls, and independent assurance. Adapts dynamically to changes in threat and regulatory landscape.</t>
  </si>
  <si>
    <t xml:space="preserve">L5 — Optimised: Payment Page &amp; Script Integrity is fully automated with continuous evidence generation, self-healing controls, and independent assurance. Adapts dynamically to changes in threat and regulatory landscape.</t>
  </si>
  <si>
    <t xml:space="preserve">L5 — Optimised: Software Supply Chain Security is fully automated with continuous evidence generation, self-healing controls, and independent assurance. Adapts dynamically to changes in threat and regulatory landscape.</t>
  </si>
  <si>
    <t xml:space="preserve">L5 — Optimised: Threat Modelling Programme is fully automated with continuous evidence generation, self-healing controls, and independent assurance. Adapts dynamically to changes in threat and regulatory landscape.</t>
  </si>
  <si>
    <t xml:space="preserve">L5 — Optimised: Cloud Security Posture Management (CSPM) is fully automated with continuous evidence generation, self-healing controls, and independent assurance. Adapts dynamically to changes in threat and regulatory landscape.</t>
  </si>
  <si>
    <t xml:space="preserve">L5 — Optimised: Cloud Infrastructure Entitlement Management (CIEM) is fully automated with continuous evidence generation, self-healing controls, and independent assurance. Adapts dynamically to changes in threat and regulatory landscape.</t>
  </si>
  <si>
    <t xml:space="preserve">L5 — Optimised: Cloud Shared Responsibility Matrix is fully automated with continuous evidence generation, self-healing controls, and independent assurance. Adapts dynamically to changes in threat and regulatory landscape.</t>
  </si>
  <si>
    <t xml:space="preserve">L5 — Optimised: Cloud Native Security Controls (AWS/Azure/GCP) is fully automated with continuous evidence generation, self-healing controls, and independent assurance. Adapts dynamically to changes in threat and regulatory landscape.</t>
  </si>
  <si>
    <t xml:space="preserve">L5 — Optimised: Cloud Key Management &amp; HSM is fully automated with continuous evidence generation, self-healing controls, and independent assurance. Adapts dynamically to changes in threat and regulatory landscape.</t>
  </si>
  <si>
    <t xml:space="preserve">L5 — Optimised: FedRAMP Compliance (where applicable) is fully automated with continuous evidence generation, self-healing controls, and independent assurance. Adapts dynamically to changes in threat and regulatory landscape.</t>
  </si>
  <si>
    <t xml:space="preserve">L5 — Optimised: Data Residency &amp; Sovereignty Controls is fully automated with continuous evidence generation, self-healing controls, and independent assurance. Adapts dynamically to changes in threat and regulatory landscape.</t>
  </si>
  <si>
    <t xml:space="preserve">L5 — Optimised: SaaS Security &amp; CASB is fully automated with continuous evidence generation, self-healing controls, and independent assurance. Adapts dynamically to changes in threat and regulatory landscape.</t>
  </si>
  <si>
    <t xml:space="preserve">L5 — Optimised: Cloud Configuration Drift Prevention is fully automated with continuous evidence generation, self-healing controls, and independent assurance. Adapts dynamically to changes in threat and regulatory landscape.</t>
  </si>
  <si>
    <t xml:space="preserve">L5 — Optimised: Container Orchestration Security (Kubernetes) is fully automated with continuous evidence generation, self-healing controls, and independent assurance. Adapts dynamically to changes in threat and regulatory landscape.</t>
  </si>
  <si>
    <t xml:space="preserve">L5 — Optimised: Cloud Workload Protection Platform (CWPP) is fully automated with continuous evidence generation, self-healing controls, and independent assurance. Adapts dynamically to changes in threat and regulatory landscape.</t>
  </si>
  <si>
    <t xml:space="preserve">L5 — Optimised: Prompt Injection Prevention is fully automated with continuous evidence generation, self-healing controls, and independent assurance. Adapts dynamically to changes in threat and regulatory landscape.</t>
  </si>
  <si>
    <t xml:space="preserve">L5 — Optimised: AI Model Access Control &amp; RBAC is fully automated with continuous evidence generation, self-healing controls, and independent assurance. Adapts dynamically to changes in threat and regulatory landscape.</t>
  </si>
  <si>
    <t xml:space="preserve">L5 — Optimised: AI Output Monitoring &amp; Content Filtering is fully automated with continuous evidence generation, self-healing controls, and independent assurance. Adapts dynamically to changes in threat and regulatory landscape.</t>
  </si>
  <si>
    <t xml:space="preserve">L5 — Optimised: Adversarial AI Testing is fully automated with continuous evidence generation, self-healing controls, and independent assurance. Adapts dynamically to changes in threat and regulatory landscape.</t>
  </si>
  <si>
    <t xml:space="preserve">L5 — Optimised: Physical Access Control is fully automated with continuous evidence generation, self-healing controls, and independent assurance. Adapts dynamically to changes in threat and regulatory landscape.</t>
  </si>
  <si>
    <t xml:space="preserve">L5 — Optimised: Clean Desk &amp; Screen Lock Policy is fully automated with continuous evidence generation, self-healing controls, and independent assurance. Adapts dynamically to changes in threat and regulatory landscape.</t>
  </si>
  <si>
    <t xml:space="preserve">L5 — Optimised: Security Awareness Training — Annual is fully automated with continuous evidence generation, self-healing controls, and independent assurance. Adapts dynamically to changes in threat and regulatory landscape.</t>
  </si>
  <si>
    <t xml:space="preserve">L5 — Optimised: Role-Specific Security Training is fully automated with continuous evidence generation, self-healing controls, and independent assurance. Adapts dynamically to changes in threat and regulatory landscape.</t>
  </si>
  <si>
    <t xml:space="preserve">L5 — Optimised: Phishing Simulation Programme is fully automated with continuous evidence generation, self-healing controls, and independent assurance. Adapts dynamically to changes in threat and regulatory landscape.</t>
  </si>
  <si>
    <t xml:space="preserve">L5 — Optimised: AI Literacy &amp; Security Training is fully automated with continuous evidence generation, self-healing controls, and independent assurance. Adapts dynamically to changes in threat and regulatory landscape.</t>
  </si>
  <si>
    <t xml:space="preserve">L5 — Optimised: Data Subject Rights — Process &amp; Fulfilment is fully automated with continuous evidence generation, self-healing controls, and independent assurance. Adapts dynamically to changes in threat and regulatory landscape.</t>
  </si>
  <si>
    <t xml:space="preserve">L5 — Optimised: Personnel Security — Background Screening is fully automated with continuous evidence generation, self-healing controls, and independent assurance. Adapts dynamically to changes in threat and regulatory landscape.</t>
  </si>
  <si>
    <t xml:space="preserve">L5 — Optimised: Security by Default — Product Configuration is fully automated with continuous evidence generation, self-healing controls, and independent assurance. Adapts dynamically to changes in threat and regulatory landscape.</t>
  </si>
  <si>
    <t xml:space="preserve">L5 — Optimised: NIS2 Supply Chain Security Obligations is fully automated with continuous evidence generation, self-healing controls, and independent assurance. Adapts dynamically to changes in threat and regulatory landscape.</t>
  </si>
  <si>
    <t xml:space="preserve">L5 — Optimised: SIEM — Log Ingestion &amp; Coverage is fully automated with continuous evidence generation, self-healing controls, and independent assurance. Adapts dynamically to changes in threat and regulatory landscape.</t>
  </si>
  <si>
    <t xml:space="preserve">L5 — Optimised: SIEM — Use Case Library &amp; Threat Coverage is fully automated with continuous evidence generation, self-healing controls, and independent assurance. Adapts dynamically to changes in threat and regulatory landscape.</t>
  </si>
  <si>
    <t xml:space="preserve">L5 — Optimised: SIEM — Log Integrity &amp; Tamper Protection is fully automated with continuous evidence generation, self-healing controls, and independent assurance. Adapts dynamically to changes in threat and regulatory landscape.</t>
  </si>
  <si>
    <t xml:space="preserve">L5 — Optimised: SIEM — Compliance Monitoring Use Cases is fully automated with continuous evidence generation, self-healing controls, and independent assurance. Adapts dynamically to changes in threat and regulatory landscape.</t>
  </si>
  <si>
    <t xml:space="preserve">L5 — Optimised: Log Retention &amp; Archival Management is fully automated with continuous evidence generation, self-healing controls, and independent assurance. Adapts dynamically to changes in threat and regulatory landscape.</t>
  </si>
  <si>
    <t xml:space="preserve">L5 — Optimised: Telemetry Coverage Management is fully automated with continuous evidence generation, self-healing controls, and independent assurance. Adapts dynamically to changes in threat and regulatory landscape.</t>
  </si>
  <si>
    <t xml:space="preserve">L5 — Optimised: Detection Health Monitoring is fully automated with continuous evidence generation, self-healing controls, and independent assurance. Adapts dynamically to changes in threat and regulatory landscape.</t>
  </si>
  <si>
    <t xml:space="preserve">L5 — Optimised: SOC Operations — Triage &amp; Investigation is fully automated with continuous evidence generation, self-healing controls, and independent assurance. Adapts dynamically to changes in threat and regulatory landscape.</t>
  </si>
  <si>
    <t xml:space="preserve">L5 — Optimised: NIS2 Significant Incident Classification is fully automated with continuous evidence generation, self-healing controls, and independent assurance. Adapts dynamically to changes in threat and regulatory landscape.</t>
  </si>
  <si>
    <t xml:space="preserve">L5 — Optimised: DORA Major Incident Classification is fully automated with continuous evidence generation, self-healing controls, and independent assurance. Adapts dynamically to changes in threat and regulatory landscape.</t>
  </si>
  <si>
    <t xml:space="preserve">L5 — Optimised: Threat Intelligence Integration is fully automated with continuous evidence generation, self-healing controls, and independent assurance. Adapts dynamically to changes in threat and regulatory landscape.</t>
  </si>
  <si>
    <t xml:space="preserve">L5 — Optimised: User &amp; Entity Behaviour Analytics (UEBA) is fully automated with continuous evidence generation, self-healing controls, and independent assurance. Adapts dynamically to changes in threat and regulatory landscape.</t>
  </si>
  <si>
    <t xml:space="preserve">L5 — Optimised: Network Detection &amp; Response (NDR) is fully automated with continuous evidence generation, self-healing controls, and independent assurance. Adapts dynamically to changes in threat and regulatory landscape.</t>
  </si>
  <si>
    <t xml:space="preserve">L5 — Optimised: Cloud Detection &amp; Response is fully automated with continuous evidence generation, self-healing controls, and independent assurance. Adapts dynamically to changes in threat and regulatory landscape.</t>
  </si>
  <si>
    <t xml:space="preserve">L5 — Optimised: Privacy Event Detection is fully automated with continuous evidence generation, self-healing controls, and independent assurance. Adapts dynamically to changes in threat and regulatory landscape.</t>
  </si>
  <si>
    <t xml:space="preserve">L5 — Optimised: SOX Financial System Monitoring is fully automated with continuous evidence generation, self-healing controls, and independent assurance. Adapts dynamically to changes in threat and regulatory landscape.</t>
  </si>
  <si>
    <t xml:space="preserve">L5 — Optimised: Dark Web &amp; Exposure Monitoring is fully automated with continuous evidence generation, self-healing controls, and independent assurance. Adapts dynamically to changes in threat and regulatory landscape.</t>
  </si>
  <si>
    <t xml:space="preserve">L5 — Optimised: AI-Specific Threat Detection is fully automated with continuous evidence generation, self-healing controls, and independent assurance. Adapts dynamically to changes in threat and regulatory landscape.</t>
  </si>
  <si>
    <t xml:space="preserve">L5 — Optimised: Detection Validation — Purple Team Exercises is fully automated with continuous evidence generation, self-healing controls, and independent assurance. Adapts dynamically to changes in threat and regulatory landscape.</t>
  </si>
  <si>
    <t xml:space="preserve">L5 — Optimised: Security Metrics &amp; KPIs — Detection Domain is fully automated with continuous evidence generation, self-healing controls, and independent assurance. Adapts dynamically to changes in threat and regulatory landscape.</t>
  </si>
  <si>
    <t xml:space="preserve">L5 — Optimised: Security Dashboard &amp; Visibility is fully automated with continuous evidence generation, self-healing controls, and independent assurance. Adapts dynamically to changes in threat and regulatory landscape.</t>
  </si>
  <si>
    <t xml:space="preserve">L5 — Optimised: Vulnerability Scanner Integration is fully automated with continuous evidence generation, self-healing controls, and independent assurance. Adapts dynamically to changes in threat and regulatory landscape.</t>
  </si>
  <si>
    <t xml:space="preserve">L5 — Optimised: Incident Response Plan (IRP) is fully automated with continuous evidence generation, self-healing controls, and independent assurance. Adapts dynamically to changes in threat and regulatory landscape.</t>
  </si>
  <si>
    <t xml:space="preserve">L5 — Optimised: Evidence Preservation &amp; Chain of Custody is fully automated with continuous evidence generation, self-healing controls, and independent assurance. Adapts dynamically to changes in threat and regulatory landscape.</t>
  </si>
  <si>
    <t xml:space="preserve">L5 — Optimised: Third-Party Incident Coordination is fully automated with continuous evidence generation, self-healing controls, and independent assurance. Adapts dynamically to changes in threat and regulatory landscape.</t>
  </si>
  <si>
    <t xml:space="preserve">L5 — Optimised: Cyber Insurance Engagement &amp; Claim Management is fully automated with continuous evidence generation, self-healing controls, and independent assurance. Adapts dynamically to changes in threat and regulatory landscape.</t>
  </si>
  <si>
    <t xml:space="preserve">L5 — Optimised: Incident Playbooks — Ransomware is fully automated with continuous evidence generation, self-healing controls, and independent assurance. Adapts dynamically to changes in threat and regulatory landscape.</t>
  </si>
  <si>
    <t xml:space="preserve">L5 — Optimised: Incident Playbooks — Data Breach is fully automated with continuous evidence generation, self-healing controls, and independent assurance. Adapts dynamically to changes in threat and regulatory landscape.</t>
  </si>
  <si>
    <t xml:space="preserve">L5 — Optimised: Incident Playbooks — Business Email Compromise is fully automated with continuous evidence generation, self-healing controls, and independent assurance. Adapts dynamically to changes in threat and regulatory landscape.</t>
  </si>
  <si>
    <t xml:space="preserve">L5 — Optimised: Incident Playbooks — Cloud Security Incident is fully automated with continuous evidence generation, self-healing controls, and independent assurance. Adapts dynamically to changes in threat and regulatory landscape.</t>
  </si>
  <si>
    <t xml:space="preserve">L5 — Optimised: NIS2 Three-Stage Notification Process is fully automated with continuous evidence generation, self-healing controls, and independent assurance. Adapts dynamically to changes in threat and regulatory landscape.</t>
  </si>
  <si>
    <t xml:space="preserve">L5 — Optimised: DORA Major Incident Reporting Process is fully automated with continuous evidence generation, self-healing controls, and independent assurance. Adapts dynamically to changes in threat and regulatory landscape.</t>
  </si>
  <si>
    <t xml:space="preserve">L5 — Optimised: GDPR Breach Notification Process is fully automated with continuous evidence generation, self-healing controls, and independent assurance. Adapts dynamically to changes in threat and regulatory landscape.</t>
  </si>
  <si>
    <t xml:space="preserve">L5 — Optimised: Breach Materiality &amp; Regulatory Decision Tree is fully automated with continuous evidence generation, self-healing controls, and independent assurance. Adapts dynamically to changes in threat and regulatory landscape.</t>
  </si>
  <si>
    <t xml:space="preserve">L5 — Optimised: Tabletop Exercises — Technical is fully automated with continuous evidence generation, self-healing controls, and independent assurance. Adapts dynamically to changes in threat and regulatory landscape.</t>
  </si>
  <si>
    <t xml:space="preserve">L5 — Optimised: Tabletop Exercises — Executive is fully automated with continuous evidence generation, self-healing controls, and independent assurance. Adapts dynamically to changes in threat and regulatory landscape.</t>
  </si>
  <si>
    <t xml:space="preserve">L5 — Optimised: Post-Incident Review &amp; Lessons Learned is fully automated with continuous evidence generation, self-healing controls, and independent assurance. Adapts dynamically to changes in threat and regulatory landscape.</t>
  </si>
  <si>
    <t xml:space="preserve">L5 — Optimised: Regulatory Investigation Management is fully automated with continuous evidence generation, self-healing controls, and independent assurance. Adapts dynamically to changes in threat and regulatory landscape.</t>
  </si>
  <si>
    <t xml:space="preserve">L5 — Optimised: Business Continuity Plan (BCP) is fully automated with continuous evidence generation, self-healing controls, and independent assurance. Adapts dynamically to changes in threat and regulatory landscape.</t>
  </si>
  <si>
    <t xml:space="preserve">L5 — Optimised: Disaster Recovery Plan (DRP) is fully automated with continuous evidence generation, self-healing controls, and independent assurance. Adapts dynamically to changes in threat and regulatory landscape.</t>
  </si>
  <si>
    <t xml:space="preserve">L5 — Optimised: Recovery Time Objective (RTO) Validation is fully automated with continuous evidence generation, self-healing controls, and independent assurance. Adapts dynamically to changes in threat and regulatory landscape.</t>
  </si>
  <si>
    <t xml:space="preserve">L5 — Optimised: Recovery Point Objective (RPO) Validation is fully automated with continuous evidence generation, self-healing controls, and independent assurance. Adapts dynamically to changes in threat and regulatory landscape.</t>
  </si>
  <si>
    <t xml:space="preserve">L5 — Optimised: Crisis Communications Plan is fully automated with continuous evidence generation, self-healing controls, and independent assurance. Adapts dynamically to changes in threat and regulatory landscape.</t>
  </si>
  <si>
    <t xml:space="preserve">L5 — Optimised: Recovery Testing — Full System Failover is fully automated with continuous evidence generation, self-healing controls, and independent assurance. Adapts dynamically to changes in threat and regulatory landscape.</t>
  </si>
  <si>
    <t xml:space="preserve">L5 — Optimised: DORA Threat-Led Penetration Testing (TLPT) is fully automated with continuous evidence generation, self-healing controls, and independent assurance. Adapts dynamically to changes in threat and regulatory landscape.</t>
  </si>
  <si>
    <t xml:space="preserve">L5 — Optimised: Post-Recovery Control Validation is fully automated with continuous evidence generation, self-healing controls, and independent assurance. Adapts dynamically to changes in threat and regulatory landscape.</t>
  </si>
  <si>
    <t xml:space="preserve">L5 — Optimised: Privacy Capability Restoration is fully automated with continuous evidence generation, self-healing controls, and independent assurance. Adapts dynamically to changes in threat and regulatory landscape.</t>
  </si>
  <si>
    <t xml:space="preserve">L5 — Optimised: AI Model Integrity Validation (Post-Recovery) is fully automated with continuous evidence generation, self-healing controls, and independent assurance. Adapts dynamically to changes in threat and regulatory landscape.</t>
  </si>
  <si>
    <t xml:space="preserve">L5 — Optimised: CDE Recovery &amp; PCI Compliance Re-validation is fully automated with continuous evidence generation, self-healing controls, and independent assurance. Adapts dynamically to changes in threat and regulatory landscape.</t>
  </si>
  <si>
    <t xml:space="preserve">L5 — Optimised: Continuity Testing — Tabletop &amp; Simulation is fully automated with continuous evidence generation, self-healing controls, and independent assurance. Adapts dynamically to changes in threat and regulatory landscape.</t>
  </si>
  <si>
    <t xml:space="preserve">L5 — Optimised: Lessons Learned — Continuity Programme Integration is fully automated with continuous evidence generation, self-healing controls, and independent assurance. Adapts dynamically to changes in threat and regulatory landscape.</t>
  </si>
  <si>
    <t xml:space="preserve">L5 — Optimised: Business Service Recovery Validation is fully automated with continuous evidence generation, self-healing controls, and independent assurance. Adapts dynamically to changes in threat and regulatory landscape.</t>
  </si>
  <si>
    <t xml:space="preserve">L5 — Optimised: Recovery Metrics — RTO/RPO Achievement Tracking is fully automated with continuous evidence generation, self-healing controls, and independent assurance. Adapts dynamically to changes in threat and regulatory landscape.</t>
  </si>
  <si>
    <t xml:space="preserve">L5 — Optimised: Operational Technology (OT) Continuity is fully automated with continuous evidence generation, self-healing controls, and independent assurance. Adapts dynamically to changes in threat and regulatory landscape.</t>
  </si>
  <si>
    <t xml:space="preserve">L5 — Optimised: Supplier Resilience Assessment is fully automated with continuous evidence generation, self-healing controls, and independent assurance. Adapts dynamically to changes in threat and regulatory landscape.</t>
  </si>
  <si>
    <t xml:space="preserve">Q1:GDPR</t>
  </si>
  <si>
    <t xml:space="preserve">Q2:NIS2</t>
  </si>
  <si>
    <t xml:space="preserve">Q3:DORA</t>
  </si>
  <si>
    <t xml:space="preserve">Q4:PCI DSS</t>
  </si>
  <si>
    <t xml:space="preserve">Q5:HIPAA</t>
  </si>
  <si>
    <t xml:space="preserve">Q6:SOX</t>
  </si>
  <si>
    <t xml:space="preserve">Q7:CCPA</t>
  </si>
  <si>
    <t xml:space="preserve">Q8:CRA</t>
  </si>
  <si>
    <t xml:space="preserve">Q9:FedRAMP</t>
  </si>
  <si>
    <t xml:space="preserve">Q10:&gt;500emp</t>
  </si>
  <si>
    <t xml:space="preserve">Q11:Multi-ctry</t>
  </si>
  <si>
    <t xml:space="preserve">Q12:GRC</t>
  </si>
  <si>
    <t xml:space="preserve">Q13:Cloud</t>
  </si>
  <si>
    <t xml:space="preserve">Q14:OT/ICS</t>
  </si>
  <si>
    <t xml:space="preserve">Q15:SaaS</t>
  </si>
  <si>
    <t xml:space="preserve">Q16:Dev SW</t>
  </si>
  <si>
    <t xml:space="preserve">Q17:Dev AI</t>
  </si>
  <si>
    <t xml:space="preserve">Q18:GenAI</t>
  </si>
  <si>
    <t xml:space="preserve">Q19:AI Tools</t>
  </si>
  <si>
    <t xml:space="preserve">Q20:ICT TPSP</t>
  </si>
  <si>
    <t xml:space="preserve">Q21:Processor</t>
  </si>
  <si>
    <t xml:space="preserve">Q22:MSSP</t>
  </si>
  <si>
    <t xml:space="preserve">Q23:Finance</t>
  </si>
  <si>
    <t xml:space="preserve">001: CISO / Security Leadershi</t>
  </si>
  <si>
    <t xml:space="preserve">002: Cybersecurity Strategy &amp; </t>
  </si>
  <si>
    <t xml:space="preserve">003: Cyber Budget &amp; Investment</t>
  </si>
  <si>
    <t xml:space="preserve">004: Security Organisational S</t>
  </si>
  <si>
    <t xml:space="preserve">005: Board-Level Cybersecurity</t>
  </si>
  <si>
    <t xml:space="preserve">006: Security Policy Framework</t>
  </si>
  <si>
    <t xml:space="preserve">007: Policy Attestation &amp; Enfo</t>
  </si>
  <si>
    <t xml:space="preserve">008: Policy Exception Governan</t>
  </si>
  <si>
    <t xml:space="preserve">009: Control Standards Managem</t>
  </si>
  <si>
    <t xml:space="preserve">010: Regulatory Obligation Reg</t>
  </si>
  <si>
    <t xml:space="preserve">011: Regulatory Change Managem</t>
  </si>
  <si>
    <t xml:space="preserve">012: Security Standards for Th</t>
  </si>
  <si>
    <t xml:space="preserve">013: Enterprise Risk Framework</t>
  </si>
  <si>
    <t xml:space="preserve">014: Risk Appetite &amp; Tolerance</t>
  </si>
  <si>
    <t xml:space="preserve">015: Risk Register Management </t>
  </si>
  <si>
    <t xml:space="preserve">016: Cyber Risk Quantification</t>
  </si>
  <si>
    <t xml:space="preserve">017: Third-Party Risk Manageme</t>
  </si>
  <si>
    <t xml:space="preserve">018: Vendor Security Assessmen</t>
  </si>
  <si>
    <t xml:space="preserve">019: Vendor Contractual Securi</t>
  </si>
  <si>
    <t xml:space="preserve">020: Fourth-Party &amp; Sub-Proces</t>
  </si>
  <si>
    <t xml:space="preserve">021: DORA TPSP Critical Regist</t>
  </si>
  <si>
    <t xml:space="preserve">022: Software Supply Chain Sec</t>
  </si>
  <si>
    <t xml:space="preserve">023: Supplier Resilience Requi</t>
  </si>
  <si>
    <t xml:space="preserve">024: Privacy Governance &amp; DPO/</t>
  </si>
  <si>
    <t xml:space="preserve">025: Records of Processing Act</t>
  </si>
  <si>
    <t xml:space="preserve">026: Data Protection Impact As</t>
  </si>
  <si>
    <t xml:space="preserve">027: Cross-Border Data Transfe</t>
  </si>
  <si>
    <t xml:space="preserve">028: Internal &amp; External Audit</t>
  </si>
  <si>
    <t xml:space="preserve">029: IT Hardware Asset Invento</t>
  </si>
  <si>
    <t xml:space="preserve">030: Software Asset Inventory</t>
  </si>
  <si>
    <t xml:space="preserve">031: Cloud Infrastructure Asse</t>
  </si>
  <si>
    <t xml:space="preserve">032: SaaS &amp; Shadow IT Discover</t>
  </si>
  <si>
    <t xml:space="preserve">033: Software Bill of Material</t>
  </si>
  <si>
    <t xml:space="preserve">034: Network Topology &amp; Archit</t>
  </si>
  <si>
    <t xml:space="preserve">035: Technology Lifecycle Mana</t>
  </si>
  <si>
    <t xml:space="preserve">036: Data Classification Frame</t>
  </si>
  <si>
    <t xml:space="preserve">037: Sensitive Data Discovery </t>
  </si>
  <si>
    <t xml:space="preserve">038: Data Flow &amp; Transfer Mapp</t>
  </si>
  <si>
    <t xml:space="preserve">039: Retention Schedule &amp; Disp</t>
  </si>
  <si>
    <t xml:space="preserve">040: Payment Data Scoping &amp; CD</t>
  </si>
  <si>
    <t xml:space="preserve">041: Business Impact Analysis </t>
  </si>
  <si>
    <t xml:space="preserve">042: Threat Landscape Assessme</t>
  </si>
  <si>
    <t xml:space="preserve">043: Vulnerability Management </t>
  </si>
  <si>
    <t xml:space="preserve">044: Penetration Testing Progr</t>
  </si>
  <si>
    <t xml:space="preserve">045: Third-Party Security Rati</t>
  </si>
  <si>
    <t xml:space="preserve">046: Critical Asset Identifica</t>
  </si>
  <si>
    <t xml:space="preserve">047: SOX IT General Controls A</t>
  </si>
  <si>
    <t xml:space="preserve">048: HIPAA Risk Analysis</t>
  </si>
  <si>
    <t xml:space="preserve">049: Security Metrics &amp; Measur</t>
  </si>
  <si>
    <t xml:space="preserve">050: Red Team Programme</t>
  </si>
  <si>
    <t xml:space="preserve">051: Multi-Factor Authenticati</t>
  </si>
  <si>
    <t xml:space="preserve">052: Phishing-Resistant MFA fo</t>
  </si>
  <si>
    <t xml:space="preserve">053: Privileged Access Managem</t>
  </si>
  <si>
    <t xml:space="preserve">054: Identity Lifecycle — Join</t>
  </si>
  <si>
    <t xml:space="preserve">055: Identity Lifecycle — Move</t>
  </si>
  <si>
    <t xml:space="preserve">056: Identity Lifecycle — Leav</t>
  </si>
  <si>
    <t xml:space="preserve">057: Quarterly Access Reviews </t>
  </si>
  <si>
    <t xml:space="preserve">058: Single Sign-On (SSO) &amp; Fe</t>
  </si>
  <si>
    <t xml:space="preserve">059: Separation of Duties (SoD</t>
  </si>
  <si>
    <t xml:space="preserve">060: Dormant Account Detection</t>
  </si>
  <si>
    <t xml:space="preserve">061: Machine Identity &amp; Servic</t>
  </si>
  <si>
    <t xml:space="preserve">062: API Key &amp; Secrets Managem</t>
  </si>
  <si>
    <t xml:space="preserve">063: Zero Trust Architecture (</t>
  </si>
  <si>
    <t xml:space="preserve">064: Encryption at Rest — Sens</t>
  </si>
  <si>
    <t xml:space="preserve">065: Encryption in Transit — T</t>
  </si>
  <si>
    <t xml:space="preserve">066: Data Loss Prevention (DLP</t>
  </si>
  <si>
    <t xml:space="preserve">067: Data Loss Prevention (DLP</t>
  </si>
  <si>
    <t xml:space="preserve">068: Data Loss Prevention (DLP</t>
  </si>
  <si>
    <t xml:space="preserve">069: Data Masking &amp; Pseudonymi</t>
  </si>
  <si>
    <t xml:space="preserve">070: Payment Card Data (PAN) P</t>
  </si>
  <si>
    <t xml:space="preserve">071: Backup — Architecture &amp; I</t>
  </si>
  <si>
    <t xml:space="preserve">072: Backup — Restoration Test</t>
  </si>
  <si>
    <t xml:space="preserve">073: Email Security — DMARC, D</t>
  </si>
  <si>
    <t xml:space="preserve">074: Email Security — Anti-Phi</t>
  </si>
  <si>
    <t xml:space="preserve">075: Cryptographic Standards &amp;</t>
  </si>
  <si>
    <t xml:space="preserve">076: Endpoint Detection &amp; Resp</t>
  </si>
  <si>
    <t xml:space="preserve">077: Endpoint Hardening &amp; CIS </t>
  </si>
  <si>
    <t xml:space="preserve">078: Patch Management — Critic</t>
  </si>
  <si>
    <t xml:space="preserve">079: Patch Management — Medium</t>
  </si>
  <si>
    <t xml:space="preserve">080: End-of-Life (EOL) Softwar</t>
  </si>
  <si>
    <t xml:space="preserve">081: Application Whitelisting </t>
  </si>
  <si>
    <t xml:space="preserve">082: Removable Media Controls</t>
  </si>
  <si>
    <t xml:space="preserve">083: Mobile Device Management </t>
  </si>
  <si>
    <t xml:space="preserve">084: Network Segmentation — Zo</t>
  </si>
  <si>
    <t xml:space="preserve">085: Network Microsegmentation</t>
  </si>
  <si>
    <t xml:space="preserve">086: CDE Network Segmentation </t>
  </si>
  <si>
    <t xml:space="preserve">087: NGFW &amp; Firewall Rule Mana</t>
  </si>
  <si>
    <t xml:space="preserve">088: Web Application Firewall </t>
  </si>
  <si>
    <t xml:space="preserve">089: Zero Trust Network Access</t>
  </si>
  <si>
    <t xml:space="preserve">090: SASE Architecture</t>
  </si>
  <si>
    <t xml:space="preserve">091: Protective DNS &amp; DNS Secu</t>
  </si>
  <si>
    <t xml:space="preserve">092: Egress Filtering &amp; Allowl</t>
  </si>
  <si>
    <t xml:space="preserve">093: Network Intrusion Prevent</t>
  </si>
  <si>
    <t xml:space="preserve">094: Remote Administration Sec</t>
  </si>
  <si>
    <t xml:space="preserve">095: Wireless Network Security</t>
  </si>
  <si>
    <t xml:space="preserve">096: OT/ICS Network Security</t>
  </si>
  <si>
    <t xml:space="preserve">097: Secure SDLC — Security Re</t>
  </si>
  <si>
    <t xml:space="preserve">098: Secure SDLC — Static Anal</t>
  </si>
  <si>
    <t xml:space="preserve">099: Secure SDLC — Software Co</t>
  </si>
  <si>
    <t xml:space="preserve">100: Secure SDLC — Dynamic Ana</t>
  </si>
  <si>
    <t xml:space="preserve">101: Secure SDLC — Release Sec</t>
  </si>
  <si>
    <t xml:space="preserve">102: API Security — Inventory </t>
  </si>
  <si>
    <t xml:space="preserve">103: Container Security — Imag</t>
  </si>
  <si>
    <t xml:space="preserve">104: Container Security — Runt</t>
  </si>
  <si>
    <t xml:space="preserve">105: Secrets Exposure Preventi</t>
  </si>
  <si>
    <t xml:space="preserve">106: Payment Page &amp; Script Int</t>
  </si>
  <si>
    <t xml:space="preserve">107: Software Supply Chain Sec</t>
  </si>
  <si>
    <t xml:space="preserve">108: Threat Modelling Programm</t>
  </si>
  <si>
    <t xml:space="preserve">109: Cloud Security Posture Ma</t>
  </si>
  <si>
    <t xml:space="preserve">110: Cloud Infrastructure Enti</t>
  </si>
  <si>
    <t xml:space="preserve">111: Cloud Shared Responsibili</t>
  </si>
  <si>
    <t xml:space="preserve">112: Cloud Native Security Con</t>
  </si>
  <si>
    <t xml:space="preserve">113: Cloud Key Management &amp; HS</t>
  </si>
  <si>
    <t xml:space="preserve">114: FedRAMP Compliance (where</t>
  </si>
  <si>
    <t xml:space="preserve">115: Data Residency &amp; Sovereig</t>
  </si>
  <si>
    <t xml:space="preserve">116: SaaS Security &amp; CASB</t>
  </si>
  <si>
    <t xml:space="preserve">117: Cloud Configuration Drift</t>
  </si>
  <si>
    <t xml:space="preserve">118: Container Orchestration S</t>
  </si>
  <si>
    <t xml:space="preserve">119: Cloud Workload Protection</t>
  </si>
  <si>
    <t xml:space="preserve">120: Prompt Injection Preventi</t>
  </si>
  <si>
    <t xml:space="preserve">121: AI Model Access Control &amp;</t>
  </si>
  <si>
    <t xml:space="preserve">122: AI Output Monitoring &amp; Co</t>
  </si>
  <si>
    <t xml:space="preserve">123: Adversarial AI Testing</t>
  </si>
  <si>
    <t xml:space="preserve">124: Physical Access Control</t>
  </si>
  <si>
    <t xml:space="preserve">125: Clean Desk &amp; Screen Lock </t>
  </si>
  <si>
    <t xml:space="preserve">126: Security Awareness Traini</t>
  </si>
  <si>
    <t xml:space="preserve">127: Role-Specific Security Tr</t>
  </si>
  <si>
    <t xml:space="preserve">128: Phishing Simulation Progr</t>
  </si>
  <si>
    <t xml:space="preserve">129: AI Literacy &amp; Security Tr</t>
  </si>
  <si>
    <t xml:space="preserve">130: Data Subject Rights — Pro</t>
  </si>
  <si>
    <t xml:space="preserve">131: Personnel Security — Back</t>
  </si>
  <si>
    <t xml:space="preserve">132: Security by Default — Pro</t>
  </si>
  <si>
    <t xml:space="preserve">133: NIS2 Supply Chain Securit</t>
  </si>
  <si>
    <t xml:space="preserve">134: SIEM — Log Ingestion &amp; Co</t>
  </si>
  <si>
    <t xml:space="preserve">135: SIEM — Use Case Library &amp;</t>
  </si>
  <si>
    <t xml:space="preserve">136: SIEM — Log Integrity &amp; Ta</t>
  </si>
  <si>
    <t xml:space="preserve">137: SIEM — Compliance Monitor</t>
  </si>
  <si>
    <t xml:space="preserve">138: Log Retention &amp; Archival </t>
  </si>
  <si>
    <t xml:space="preserve">139: Telemetry Coverage Manage</t>
  </si>
  <si>
    <t xml:space="preserve">140: Detection Health Monitori</t>
  </si>
  <si>
    <t xml:space="preserve">141: SOC Operations — Triage &amp;</t>
  </si>
  <si>
    <t xml:space="preserve">142: NIS2 Significant Incident</t>
  </si>
  <si>
    <t xml:space="preserve">143: DORA Major Incident Class</t>
  </si>
  <si>
    <t xml:space="preserve">144: Threat Intelligence Integ</t>
  </si>
  <si>
    <t xml:space="preserve">145: User &amp; Entity Behaviour A</t>
  </si>
  <si>
    <t xml:space="preserve">146: Network Detection &amp; Respo</t>
  </si>
  <si>
    <t xml:space="preserve">147: Cloud Detection &amp; Respons</t>
  </si>
  <si>
    <t xml:space="preserve">148: Privacy Event Detection</t>
  </si>
  <si>
    <t xml:space="preserve">149: SOX Financial System Moni</t>
  </si>
  <si>
    <t xml:space="preserve">150: Dark Web &amp; Exposure Monit</t>
  </si>
  <si>
    <t xml:space="preserve">151: AI-Specific Threat Detect</t>
  </si>
  <si>
    <t xml:space="preserve">152: Detection Validation — Pu</t>
  </si>
  <si>
    <t xml:space="preserve">153: Security Metrics &amp; KPIs —</t>
  </si>
  <si>
    <t xml:space="preserve">154: Security Dashboard &amp; Visi</t>
  </si>
  <si>
    <t xml:space="preserve">155: Vulnerability Scanner Int</t>
  </si>
  <si>
    <t xml:space="preserve">156: Incident Response Plan (I</t>
  </si>
  <si>
    <t xml:space="preserve">157: Evidence Preservation &amp; C</t>
  </si>
  <si>
    <t xml:space="preserve">158: Third-Party Incident Coor</t>
  </si>
  <si>
    <t xml:space="preserve">159: Cyber Insurance Engagemen</t>
  </si>
  <si>
    <t xml:space="preserve">160: Incident Playbooks — Rans</t>
  </si>
  <si>
    <t xml:space="preserve">161: Incident Playbooks — Data</t>
  </si>
  <si>
    <t xml:space="preserve">162: Incident Playbooks — Busi</t>
  </si>
  <si>
    <t xml:space="preserve">163: Incident Playbooks — Clou</t>
  </si>
  <si>
    <t xml:space="preserve">164: NIS2 Three-Stage Notifica</t>
  </si>
  <si>
    <t xml:space="preserve">165: DORA Major Incident Repor</t>
  </si>
  <si>
    <t xml:space="preserve">166: GDPR Breach Notification </t>
  </si>
  <si>
    <t xml:space="preserve">167: Breach Materiality &amp; Regu</t>
  </si>
  <si>
    <t xml:space="preserve">168: Tabletop Exercises — Tech</t>
  </si>
  <si>
    <t xml:space="preserve">169: Tabletop Exercises — Exec</t>
  </si>
  <si>
    <t xml:space="preserve">170: Post-Incident Review &amp; Le</t>
  </si>
  <si>
    <t xml:space="preserve">171: Regulatory Investigation </t>
  </si>
  <si>
    <t xml:space="preserve">172: Business Continuity Plan </t>
  </si>
  <si>
    <t xml:space="preserve">173: Disaster Recovery Plan (D</t>
  </si>
  <si>
    <t xml:space="preserve">174: Recovery Time Objective (</t>
  </si>
  <si>
    <t xml:space="preserve">175: Recovery Point Objective </t>
  </si>
  <si>
    <t xml:space="preserve">176: Crisis Communications Pla</t>
  </si>
  <si>
    <t xml:space="preserve">177: Recovery Testing — Full S</t>
  </si>
  <si>
    <t xml:space="preserve">178: DORA Threat-Led Penetrati</t>
  </si>
  <si>
    <t xml:space="preserve">179: Post-Recovery Control Val</t>
  </si>
  <si>
    <t xml:space="preserve">180: Privacy Capability Restor</t>
  </si>
  <si>
    <t xml:space="preserve">181: AI Model Integrity Valida</t>
  </si>
  <si>
    <t xml:space="preserve">182: CDE Recovery &amp; PCI Compli</t>
  </si>
  <si>
    <t xml:space="preserve">183: Continuity Testing — Tabl</t>
  </si>
  <si>
    <t xml:space="preserve">184: Lessons Learned — Continu</t>
  </si>
  <si>
    <t xml:space="preserve">185: Business Service Recovery</t>
  </si>
  <si>
    <t xml:space="preserve">186: Recovery Metrics — RTO/RP</t>
  </si>
  <si>
    <t xml:space="preserve">187: Operational Technology (O</t>
  </si>
  <si>
    <t xml:space="preserve">188: Supplier Resilience Asses</t>
  </si>
</sst>
</file>

<file path=xl/styles.xml><?xml version="1.0" encoding="utf-8"?>
<styleSheet xmlns="http://schemas.openxmlformats.org/spreadsheetml/2006/main">
  <numFmts count="7">
    <numFmt numFmtId="164" formatCode="General"/>
    <numFmt numFmtId="165" formatCode="d\-mmm\-yy"/>
    <numFmt numFmtId="166" formatCode="0%"/>
    <numFmt numFmtId="167" formatCode="0.00"/>
    <numFmt numFmtId="168" formatCode="General"/>
    <numFmt numFmtId="169" formatCode="#,##0"/>
    <numFmt numFmtId="170" formatCode="dd/mm/yyyy"/>
  </numFmts>
  <fonts count="84">
    <font>
      <sz val="11"/>
      <color theme="1"/>
      <name val="Calibri"/>
      <family val="2"/>
      <charset val="1"/>
    </font>
    <font>
      <sz val="10"/>
      <name val="Arial"/>
      <family val="0"/>
    </font>
    <font>
      <sz val="10"/>
      <name val="Arial"/>
      <family val="0"/>
    </font>
    <font>
      <sz val="10"/>
      <name val="Arial"/>
      <family val="0"/>
    </font>
    <font>
      <b val="true"/>
      <sz val="14.5"/>
      <color rgb="FFFFFFFF"/>
      <name val="Calibri"/>
      <family val="0"/>
      <charset val="1"/>
    </font>
    <font>
      <sz val="9"/>
      <color rgb="FFFFFFFF"/>
      <name val="Calibri"/>
      <family val="0"/>
      <charset val="1"/>
    </font>
    <font>
      <b val="true"/>
      <sz val="9.5"/>
      <color rgb="FFFFFFFF"/>
      <name val="Calibri"/>
      <family val="0"/>
      <charset val="1"/>
    </font>
    <font>
      <sz val="9"/>
      <color rgb="FF2D2D2D"/>
      <name val="Calibri"/>
      <family val="0"/>
      <charset val="1"/>
    </font>
    <font>
      <b val="true"/>
      <sz val="13"/>
      <color rgb="FFFFFFFF"/>
      <name val="Calibri"/>
      <family val="0"/>
      <charset val="1"/>
    </font>
    <font>
      <b val="true"/>
      <sz val="9"/>
      <color rgb="FFED7D31"/>
      <name val="Calibri"/>
      <family val="0"/>
      <charset val="1"/>
    </font>
    <font>
      <b val="true"/>
      <sz val="8.5"/>
      <color rgb="FFFFFFFF"/>
      <name val="Calibri"/>
      <family val="0"/>
      <charset val="1"/>
    </font>
    <font>
      <b val="true"/>
      <sz val="9"/>
      <color rgb="FFFFFFFF"/>
      <name val="Calibri"/>
      <family val="0"/>
      <charset val="1"/>
    </font>
    <font>
      <sz val="8.5"/>
      <color rgb="FF2D2D2D"/>
      <name val="Calibri"/>
      <family val="0"/>
      <charset val="1"/>
    </font>
    <font>
      <i val="true"/>
      <sz val="8.5"/>
      <color rgb="FF555555"/>
      <name val="Calibri"/>
      <family val="0"/>
      <charset val="1"/>
    </font>
    <font>
      <b val="true"/>
      <sz val="9"/>
      <color rgb="FFA32020"/>
      <name val="Calibri"/>
      <family val="0"/>
      <charset val="1"/>
    </font>
    <font>
      <i val="true"/>
      <sz val="9"/>
      <color rgb="FF888888"/>
      <name val="Calibri"/>
      <family val="0"/>
      <charset val="1"/>
    </font>
    <font>
      <i val="true"/>
      <sz val="9"/>
      <color rgb="FF555555"/>
      <name val="Calibri"/>
      <family val="0"/>
      <charset val="1"/>
    </font>
    <font>
      <sz val="8.5"/>
      <color rgb="FFFFFFFF"/>
      <name val="Calibri"/>
      <family val="0"/>
      <charset val="1"/>
    </font>
    <font>
      <b val="true"/>
      <sz val="9"/>
      <color rgb="FF2D2D2D"/>
      <name val="Calibri"/>
      <family val="0"/>
      <charset val="1"/>
    </font>
    <font>
      <sz val="9.5"/>
      <color rgb="FF2D2D2D"/>
      <name val="Calibri"/>
      <family val="0"/>
      <charset val="1"/>
    </font>
    <font>
      <b val="true"/>
      <sz val="10"/>
      <color rgb="FFFFFFFF"/>
      <name val="Calibri"/>
      <family val="0"/>
      <charset val="1"/>
    </font>
    <font>
      <sz val="13"/>
      <color rgb="FF2D2D2D"/>
      <name val="Calibri"/>
      <family val="0"/>
      <charset val="1"/>
    </font>
    <font>
      <b val="true"/>
      <sz val="9"/>
      <color rgb="FF002060"/>
      <name val="Calibri"/>
      <family val="0"/>
      <charset val="1"/>
    </font>
    <font>
      <b val="true"/>
      <sz val="12"/>
      <color rgb="FF2D2D2D"/>
      <name val="Calibri"/>
      <family val="0"/>
      <charset val="1"/>
    </font>
    <font>
      <b val="true"/>
      <sz val="8.5"/>
      <color rgb="FF2D2D2D"/>
      <name val="Calibri"/>
      <family val="0"/>
      <charset val="1"/>
    </font>
    <font>
      <b val="true"/>
      <sz val="12"/>
      <color rgb="FFE05A1E"/>
      <name val="Calibri"/>
      <family val="0"/>
      <charset val="1"/>
    </font>
    <font>
      <b val="true"/>
      <sz val="9"/>
      <color rgb="FFE05A1E"/>
      <name val="Calibri"/>
      <family val="0"/>
      <charset val="1"/>
    </font>
    <font>
      <b val="true"/>
      <sz val="8.5"/>
      <color rgb="FFE05A1E"/>
      <name val="Calibri"/>
      <family val="0"/>
      <charset val="1"/>
    </font>
    <font>
      <sz val="9"/>
      <color rgb="FF002060"/>
      <name val="Calibri"/>
      <family val="0"/>
      <charset val="1"/>
    </font>
    <font>
      <b val="true"/>
      <sz val="10.5"/>
      <color rgb="FFED7D31"/>
      <name val="Calibri"/>
      <family val="0"/>
      <charset val="1"/>
    </font>
    <font>
      <b val="true"/>
      <sz val="14"/>
      <color rgb="FFED7D31"/>
      <name val="Calibri"/>
      <family val="0"/>
      <charset val="1"/>
    </font>
    <font>
      <b val="true"/>
      <sz val="10"/>
      <color rgb="FFED7D31"/>
      <name val="Calibri"/>
      <family val="0"/>
      <charset val="1"/>
    </font>
    <font>
      <b val="true"/>
      <sz val="14"/>
      <color rgb="FFFFFFFF"/>
      <name val="Calibri"/>
      <family val="0"/>
      <charset val="1"/>
    </font>
    <font>
      <b val="true"/>
      <sz val="12"/>
      <color rgb="FFED7D31"/>
      <name val="Calibri"/>
      <family val="0"/>
      <charset val="1"/>
    </font>
    <font>
      <i val="true"/>
      <sz val="8"/>
      <color rgb="FFED7D31"/>
      <name val="Calibri"/>
      <family val="0"/>
      <charset val="1"/>
    </font>
    <font>
      <sz val="9"/>
      <name val="Calibri"/>
      <family val="0"/>
      <charset val="1"/>
    </font>
    <font>
      <sz val="8.5"/>
      <color rgb="FF555555"/>
      <name val="Calibri"/>
      <family val="0"/>
      <charset val="1"/>
    </font>
    <font>
      <b val="true"/>
      <sz val="11"/>
      <color rgb="FFFFFFFF"/>
      <name val="Calibri"/>
      <family val="0"/>
      <charset val="1"/>
    </font>
    <font>
      <sz val="9"/>
      <color rgb="FF000000"/>
      <name val="Calibri"/>
      <family val="0"/>
      <charset val="1"/>
    </font>
    <font>
      <b val="true"/>
      <sz val="10"/>
      <color rgb="FF002060"/>
      <name val="Calibri"/>
      <family val="0"/>
      <charset val="1"/>
    </font>
    <font>
      <b val="true"/>
      <sz val="10"/>
      <color rgb="FF1A5E3A"/>
      <name val="Calibri"/>
      <family val="0"/>
      <charset val="1"/>
    </font>
    <font>
      <b val="true"/>
      <sz val="11"/>
      <color rgb="FFE05A1E"/>
      <name val="Calibri"/>
      <family val="0"/>
      <charset val="1"/>
    </font>
    <font>
      <b val="true"/>
      <sz val="11"/>
      <color rgb="FF002060"/>
      <name val="Calibri"/>
      <family val="0"/>
      <charset val="1"/>
    </font>
    <font>
      <b val="true"/>
      <sz val="11"/>
      <color rgb="FF1A5E3A"/>
      <name val="Calibri"/>
      <family val="0"/>
      <charset val="1"/>
    </font>
    <font>
      <b val="true"/>
      <sz val="16"/>
      <color rgb="FFFFFFFF"/>
      <name val="Calibri"/>
      <family val="0"/>
      <charset val="1"/>
    </font>
    <font>
      <b val="true"/>
      <sz val="13"/>
      <color rgb="FF2D2D2D"/>
      <name val="Calibri"/>
      <family val="0"/>
      <charset val="1"/>
    </font>
    <font>
      <b val="true"/>
      <sz val="13"/>
      <color rgb="FFE05A1E"/>
      <name val="Calibri"/>
      <family val="0"/>
      <charset val="1"/>
    </font>
    <font>
      <sz val="8"/>
      <color rgb="FF2D2D2D"/>
      <name val="Calibri"/>
      <family val="0"/>
      <charset val="1"/>
    </font>
    <font>
      <b val="true"/>
      <sz val="15"/>
      <color rgb="FFED7D31"/>
      <name val="Calibri"/>
      <family val="0"/>
      <charset val="1"/>
    </font>
    <font>
      <b val="true"/>
      <sz val="15"/>
      <color rgb="FFFFFFFF"/>
      <name val="Calibri"/>
      <family val="0"/>
      <charset val="1"/>
    </font>
    <font>
      <b val="true"/>
      <sz val="9.5"/>
      <color rgb="FFED7D31"/>
      <name val="Calibri"/>
      <family val="0"/>
      <charset val="1"/>
    </font>
    <font>
      <b val="true"/>
      <sz val="9"/>
      <color rgb="FF1A5E3A"/>
      <name val="Calibri"/>
      <family val="0"/>
      <charset val="1"/>
    </font>
    <font>
      <i val="true"/>
      <sz val="9"/>
      <color rgb="FF002060"/>
      <name val="Calibri"/>
      <family val="0"/>
      <charset val="1"/>
    </font>
    <font>
      <b val="true"/>
      <sz val="12"/>
      <color rgb="FFFFFFFF"/>
      <name val="Calibri"/>
      <family val="0"/>
      <charset val="1"/>
    </font>
    <font>
      <i val="true"/>
      <sz val="8.5"/>
      <color rgb="FFED7D31"/>
      <name val="Calibri"/>
      <family val="0"/>
      <charset val="1"/>
    </font>
    <font>
      <b val="true"/>
      <sz val="10"/>
      <color rgb="FFA32020"/>
      <name val="Calibri"/>
      <family val="0"/>
      <charset val="1"/>
    </font>
    <font>
      <b val="true"/>
      <sz val="8.5"/>
      <color rgb="FF002060"/>
      <name val="Calibri"/>
      <family val="0"/>
      <charset val="1"/>
    </font>
    <font>
      <sz val="11"/>
      <name val="Calibri"/>
      <family val="0"/>
      <charset val="1"/>
    </font>
    <font>
      <sz val="8"/>
      <color rgb="FFED7D31"/>
      <name val="Calibri"/>
      <family val="0"/>
      <charset val="1"/>
    </font>
    <font>
      <b val="true"/>
      <sz val="8"/>
      <color rgb="FFED7D31"/>
      <name val="Calibri"/>
      <family val="0"/>
      <charset val="1"/>
    </font>
    <font>
      <b val="true"/>
      <sz val="11"/>
      <color rgb="FF1B3A6B"/>
      <name val="Calibri"/>
      <family val="0"/>
      <charset val="1"/>
    </font>
    <font>
      <b val="true"/>
      <sz val="8.5"/>
      <color rgb="FFA32020"/>
      <name val="Calibri"/>
      <family val="0"/>
      <charset val="1"/>
    </font>
    <font>
      <b val="true"/>
      <sz val="8.5"/>
      <color rgb="FFED7D31"/>
      <name val="Calibri"/>
      <family val="0"/>
      <charset val="1"/>
    </font>
    <font>
      <sz val="8"/>
      <color rgb="FF1A5E3A"/>
      <name val="Calibri"/>
      <family val="0"/>
      <charset val="1"/>
    </font>
    <font>
      <sz val="8"/>
      <color rgb="FF999999"/>
      <name val="Calibri"/>
      <family val="0"/>
      <charset val="1"/>
    </font>
    <font>
      <b val="true"/>
      <sz val="9"/>
      <color rgb="FF1B3A6B"/>
      <name val="Calibri"/>
      <family val="0"/>
      <charset val="1"/>
    </font>
    <font>
      <sz val="9"/>
      <color rgb="FF555555"/>
      <name val="Calibri"/>
      <family val="0"/>
      <charset val="1"/>
    </font>
    <font>
      <sz val="9"/>
      <color rgb="FF2C3E50"/>
      <name val="Calibri"/>
      <family val="0"/>
      <charset val="1"/>
    </font>
    <font>
      <sz val="9"/>
      <color rgb="FF1B3A6B"/>
      <name val="Calibri"/>
      <family val="0"/>
      <charset val="1"/>
    </font>
    <font>
      <i val="true"/>
      <sz val="9.5"/>
      <color rgb="FF000000"/>
      <name val="Calibri"/>
      <family val="0"/>
      <charset val="1"/>
    </font>
    <font>
      <b val="true"/>
      <sz val="9"/>
      <color rgb="FF1B5E20"/>
      <name val="Calibri"/>
      <family val="0"/>
      <charset val="1"/>
    </font>
    <font>
      <i val="true"/>
      <sz val="8.5"/>
      <color rgb="FF2C3E50"/>
      <name val="Calibri"/>
      <family val="0"/>
      <charset val="1"/>
    </font>
    <font>
      <sz val="8.5"/>
      <color rgb="FF002060"/>
      <name val="Calibri"/>
      <family val="0"/>
      <charset val="1"/>
    </font>
    <font>
      <b val="true"/>
      <sz val="9"/>
      <color rgb="FF856000"/>
      <name val="Calibri"/>
      <family val="0"/>
      <charset val="1"/>
    </font>
    <font>
      <b val="true"/>
      <sz val="9"/>
      <color rgb="FFB71C1C"/>
      <name val="Calibri"/>
      <family val="0"/>
      <charset val="1"/>
    </font>
    <font>
      <b val="true"/>
      <sz val="9"/>
      <color rgb="FF555555"/>
      <name val="Calibri"/>
      <family val="0"/>
      <charset val="1"/>
    </font>
    <font>
      <sz val="9.5"/>
      <color rgb="FF000000"/>
      <name val="Calibri"/>
      <family val="0"/>
      <charset val="1"/>
    </font>
    <font>
      <b val="true"/>
      <sz val="11"/>
      <color rgb="FF2D2D2D"/>
      <name val="Calibri"/>
      <family val="0"/>
      <charset val="1"/>
    </font>
    <font>
      <b val="true"/>
      <sz val="8"/>
      <color rgb="FFFFFFFF"/>
      <name val="Calibri"/>
      <family val="0"/>
      <charset val="1"/>
    </font>
    <font>
      <b val="true"/>
      <sz val="7.5"/>
      <color rgb="FFFFFFFF"/>
      <name val="Calibri"/>
      <family val="0"/>
      <charset val="1"/>
    </font>
    <font>
      <sz val="7.5"/>
      <name val="Calibri"/>
      <family val="0"/>
      <charset val="1"/>
    </font>
    <font>
      <sz val="8"/>
      <color rgb="FFCCCCCC"/>
      <name val="Calibri"/>
      <family val="0"/>
      <charset val="1"/>
    </font>
    <font>
      <sz val="8"/>
      <color rgb="FF002060"/>
      <name val="Calibri"/>
      <family val="0"/>
      <charset val="1"/>
    </font>
    <font>
      <sz val="9"/>
      <color rgb="FFAAAAAA"/>
      <name val="Calibri"/>
      <family val="0"/>
      <charset val="1"/>
    </font>
  </fonts>
  <fills count="42">
    <fill>
      <patternFill patternType="none"/>
    </fill>
    <fill>
      <patternFill patternType="gray125"/>
    </fill>
    <fill>
      <patternFill patternType="solid">
        <fgColor rgb="FF1B3A6A"/>
        <bgColor rgb="FF0D47A1"/>
      </patternFill>
    </fill>
    <fill>
      <patternFill patternType="solid">
        <fgColor rgb="FF808080"/>
        <bgColor rgb="FF999999"/>
      </patternFill>
    </fill>
    <fill>
      <patternFill patternType="solid">
        <fgColor rgb="FF002060"/>
        <bgColor rgb="FF1B3A6A"/>
      </patternFill>
    </fill>
    <fill>
      <patternFill patternType="solid">
        <fgColor rgb="FFF2F4F7"/>
        <bgColor rgb="FFF5F5F5"/>
      </patternFill>
    </fill>
    <fill>
      <patternFill patternType="solid">
        <fgColor rgb="FFFFFFFF"/>
        <bgColor rgb="FFFFFDF0"/>
      </patternFill>
    </fill>
    <fill>
      <patternFill patternType="solid">
        <fgColor rgb="FFFFFDE7"/>
        <bgColor rgb="FFFFFDF0"/>
      </patternFill>
    </fill>
    <fill>
      <patternFill patternType="solid">
        <fgColor rgb="FFFFEBEE"/>
        <bgColor rgb="FFFFF3EC"/>
      </patternFill>
    </fill>
    <fill>
      <patternFill patternType="solid">
        <fgColor rgb="FFF5F5F5"/>
        <bgColor rgb="FFF2F4F7"/>
      </patternFill>
    </fill>
    <fill>
      <patternFill patternType="solid">
        <fgColor rgb="FFE05A1E"/>
        <bgColor rgb="FFED7D31"/>
      </patternFill>
    </fill>
    <fill>
      <patternFill patternType="solid">
        <fgColor rgb="FFFFF2E0"/>
        <bgColor rgb="FFFFF3EC"/>
      </patternFill>
    </fill>
    <fill>
      <patternFill patternType="solid">
        <fgColor rgb="FFECF4FB"/>
        <bgColor rgb="FFEBF4FB"/>
      </patternFill>
    </fill>
    <fill>
      <patternFill patternType="solid">
        <fgColor rgb="FFFFF3EC"/>
        <bgColor rgb="FFFFF2E0"/>
      </patternFill>
    </fill>
    <fill>
      <patternFill patternType="solid">
        <fgColor rgb="FFE8F5E9"/>
        <bgColor rgb="FFE3F5E7"/>
      </patternFill>
    </fill>
    <fill>
      <patternFill patternType="darkGray">
        <fgColor rgb="FF11603C"/>
        <bgColor rgb="FF1B5E20"/>
      </patternFill>
    </fill>
    <fill>
      <patternFill patternType="solid">
        <fgColor rgb="FF4A1580"/>
        <bgColor rgb="FF2D2D2D"/>
      </patternFill>
    </fill>
    <fill>
      <patternFill patternType="solid">
        <fgColor rgb="FFA32020"/>
        <bgColor rgb="FFB71C1C"/>
      </patternFill>
    </fill>
    <fill>
      <patternFill patternType="solid">
        <fgColor rgb="FF856000"/>
        <bgColor rgb="FF827717"/>
      </patternFill>
    </fill>
    <fill>
      <patternFill patternType="solid">
        <fgColor rgb="FFFBE5D6"/>
        <bgColor rgb="FFFFEBEE"/>
      </patternFill>
    </fill>
    <fill>
      <patternFill patternType="darkGray">
        <fgColor rgb="FFD6E9F8"/>
        <bgColor rgb="FFDDEEFF"/>
      </patternFill>
    </fill>
    <fill>
      <patternFill patternType="solid">
        <fgColor rgb="FFE3F5E7"/>
        <bgColor rgb="FFE8F5E9"/>
      </patternFill>
    </fill>
    <fill>
      <patternFill patternType="solid">
        <fgColor rgb="FFFFF8E7"/>
        <bgColor rgb="FFFFF8E1"/>
      </patternFill>
    </fill>
    <fill>
      <patternFill patternType="solid">
        <fgColor rgb="FFFFF8F2"/>
        <bgColor rgb="FFFFF8E7"/>
      </patternFill>
    </fill>
    <fill>
      <patternFill patternType="solid">
        <fgColor rgb="FFF0FAF0"/>
        <bgColor rgb="FFF0F8F0"/>
      </patternFill>
    </fill>
    <fill>
      <patternFill patternType="solid">
        <fgColor rgb="FFFFFDF0"/>
        <bgColor rgb="FFFFFDE7"/>
      </patternFill>
    </fill>
    <fill>
      <patternFill patternType="solid">
        <fgColor rgb="FFECEFF3"/>
        <bgColor rgb="FFEEEEEE"/>
      </patternFill>
    </fill>
    <fill>
      <patternFill patternType="solid">
        <fgColor rgb="FFF0F8F0"/>
        <bgColor rgb="FFF0FAF0"/>
      </patternFill>
    </fill>
    <fill>
      <patternFill patternType="solid">
        <fgColor rgb="FFE8ECF0"/>
        <bgColor rgb="FFECEFF3"/>
      </patternFill>
    </fill>
    <fill>
      <patternFill patternType="solid">
        <fgColor rgb="FFE3EDF8"/>
        <bgColor rgb="FFE8ECF0"/>
      </patternFill>
    </fill>
    <fill>
      <patternFill patternType="solid">
        <fgColor rgb="FFE8F5E9"/>
        <bgColor rgb="FFE3F5E7"/>
      </patternFill>
    </fill>
    <fill>
      <patternFill patternType="solid">
        <fgColor rgb="FFF0F2F5"/>
        <bgColor rgb="FFF2F4F7"/>
      </patternFill>
    </fill>
    <fill>
      <patternFill patternType="solid">
        <fgColor rgb="FFEBF4FB"/>
        <bgColor rgb="FFECF4FB"/>
      </patternFill>
    </fill>
    <fill>
      <patternFill patternType="darkGray">
        <fgColor rgb="FF24B55A"/>
        <bgColor rgb="FF11603C"/>
      </patternFill>
    </fill>
    <fill>
      <patternFill patternType="solid">
        <fgColor rgb="FFF8F9FA"/>
        <bgColor rgb="FFF5F5F5"/>
      </patternFill>
    </fill>
    <fill>
      <patternFill patternType="solid">
        <fgColor rgb="FFFF7D0E"/>
        <bgColor rgb="FFFD7E14"/>
      </patternFill>
    </fill>
    <fill>
      <patternFill patternType="solid">
        <fgColor rgb="FFD6E9F8"/>
        <bgColor rgb="FFDDEEFF"/>
      </patternFill>
    </fill>
    <fill>
      <patternFill patternType="solid">
        <fgColor rgb="FFDC3545"/>
        <bgColor rgb="FFBF360C"/>
      </patternFill>
    </fill>
    <fill>
      <patternFill patternType="solid">
        <fgColor rgb="FFFD7E14"/>
        <bgColor rgb="FFFF7D0E"/>
      </patternFill>
    </fill>
    <fill>
      <patternFill patternType="solid">
        <fgColor rgb="FFFFC107"/>
        <bgColor rgb="FFFD7E14"/>
      </patternFill>
    </fill>
    <fill>
      <patternFill patternType="solid">
        <fgColor rgb="FF24B55A"/>
        <bgColor rgb="FF999999"/>
      </patternFill>
    </fill>
    <fill>
      <patternFill patternType="solid">
        <fgColor rgb="FFEAF3FB"/>
        <bgColor rgb="FFEBF4FB"/>
      </patternFill>
    </fill>
  </fills>
  <borders count="6">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1B3A6A"/>
      </left>
      <right style="thin">
        <color rgb="FF1B3A6A"/>
      </right>
      <top style="thin">
        <color rgb="FF1B3A6A"/>
      </top>
      <bottom style="thin">
        <color rgb="FF1B3A6A"/>
      </bottom>
      <diagonal/>
    </border>
    <border diagonalUp="false" diagonalDown="false">
      <left style="thin">
        <color rgb="FFCCCCCC"/>
      </left>
      <right/>
      <top style="thin">
        <color rgb="FFCCCCCC"/>
      </top>
      <bottom style="thin">
        <color rgb="FFCCCCCC"/>
      </bottom>
      <diagonal/>
    </border>
    <border diagonalUp="false" diagonalDown="false">
      <left/>
      <right/>
      <top style="thin">
        <color rgb="FFCCCCCC"/>
      </top>
      <bottom style="thin">
        <color rgb="FFCCCCCC"/>
      </bottom>
      <diagonal/>
    </border>
    <border diagonalUp="false" diagonalDown="false">
      <left/>
      <right style="thin">
        <color rgb="FFCCCCCC"/>
      </right>
      <top style="thin">
        <color rgb="FFCCCCCC"/>
      </top>
      <bottom style="thin">
        <color rgb="FFCCCCCC"/>
      </bottom>
      <diagonal/>
    </border>
  </borders>
  <cellStyleXfs count="5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3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7" fillId="5" borderId="0"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true" indent="0" shrinkToFit="false"/>
      <protection locked="true" hidden="false"/>
    </xf>
    <xf numFmtId="164" fontId="11" fillId="4"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left" vertical="top" textRotation="0" wrapText="true" indent="0" shrinkToFit="false"/>
      <protection locked="true" hidden="false"/>
    </xf>
    <xf numFmtId="164" fontId="7" fillId="6" borderId="0" xfId="0" applyFont="true" applyBorder="true" applyAlignment="true" applyProtection="false">
      <alignment horizontal="left" vertical="top" textRotation="0" wrapText="true" indent="0" shrinkToFit="false"/>
      <protection locked="true" hidden="false"/>
    </xf>
    <xf numFmtId="164" fontId="7" fillId="7" borderId="0" xfId="0" applyFont="true" applyBorder="true" applyAlignment="true" applyProtection="false">
      <alignment horizontal="center" vertical="center" textRotation="0" wrapText="true" indent="0" shrinkToFit="false"/>
      <protection locked="true" hidden="false"/>
    </xf>
    <xf numFmtId="164" fontId="13" fillId="6" borderId="0" xfId="0" applyFont="true" applyBorder="true" applyAlignment="true" applyProtection="false">
      <alignment horizontal="left" vertical="top" textRotation="0" wrapText="true" indent="0"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2" fillId="5" borderId="0" xfId="0" applyFont="true" applyBorder="true" applyAlignment="true" applyProtection="false">
      <alignment horizontal="left" vertical="top" textRotation="0" wrapText="true" indent="0" shrinkToFit="false"/>
      <protection locked="true" hidden="false"/>
    </xf>
    <xf numFmtId="164" fontId="13" fillId="5" borderId="0" xfId="0" applyFont="true" applyBorder="true" applyAlignment="true" applyProtection="false">
      <alignment horizontal="left" vertical="top" textRotation="0" wrapText="true" indent="0" shrinkToFit="false"/>
      <protection locked="true" hidden="false"/>
    </xf>
    <xf numFmtId="164" fontId="15" fillId="9" borderId="1" xfId="0" applyFont="true" applyBorder="true" applyAlignment="true" applyProtection="false">
      <alignment horizontal="center" vertical="center" textRotation="0" wrapText="false" indent="0" shrinkToFit="false"/>
      <protection locked="true" hidden="false"/>
    </xf>
    <xf numFmtId="164" fontId="16" fillId="7" borderId="0" xfId="0" applyFont="true" applyBorder="true" applyAlignment="true" applyProtection="false">
      <alignment horizontal="left" vertical="center" textRotation="0" wrapText="true" indent="0" shrinkToFit="false"/>
      <protection locked="true" hidden="false"/>
    </xf>
    <xf numFmtId="164" fontId="17" fillId="3" borderId="0" xfId="0" applyFont="true" applyBorder="true" applyAlignment="true" applyProtection="false">
      <alignment horizontal="center" vertical="center" textRotation="0" wrapText="true" indent="0" shrinkToFit="false"/>
      <protection locked="true" hidden="false"/>
    </xf>
    <xf numFmtId="164" fontId="18" fillId="5" borderId="0" xfId="0" applyFont="true" applyBorder="true" applyAlignment="true" applyProtection="false">
      <alignment horizontal="left" vertical="center" textRotation="0" wrapText="true" indent="0" shrinkToFit="false"/>
      <protection locked="true" hidden="false"/>
    </xf>
    <xf numFmtId="164" fontId="19" fillId="7" borderId="0" xfId="0" applyFont="true" applyBorder="true" applyAlignment="true" applyProtection="false">
      <alignment horizontal="left" vertical="center" textRotation="0" wrapText="true" indent="0" shrinkToFit="false"/>
      <protection locked="true" hidden="false"/>
    </xf>
    <xf numFmtId="165" fontId="19" fillId="7" borderId="0" xfId="0" applyFont="true" applyBorder="true" applyAlignment="true" applyProtection="false">
      <alignment horizontal="left" vertical="center" textRotation="0" wrapText="true" indent="0" shrinkToFit="false"/>
      <protection locked="true" hidden="false"/>
    </xf>
    <xf numFmtId="164" fontId="20" fillId="4" borderId="0" xfId="0" applyFont="true" applyBorder="true" applyAlignment="true" applyProtection="false">
      <alignment horizontal="left"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0" fillId="10" borderId="0" xfId="0" applyFont="true" applyBorder="true" applyAlignment="true" applyProtection="false">
      <alignment horizontal="center" vertical="center" textRotation="0" wrapText="true" indent="0" shrinkToFit="false"/>
      <protection locked="true" hidden="false"/>
    </xf>
    <xf numFmtId="164" fontId="21" fillId="5" borderId="0" xfId="0" applyFont="true" applyBorder="true" applyAlignment="true" applyProtection="false">
      <alignment horizontal="center" vertical="center" textRotation="0" wrapText="true" indent="0" shrinkToFit="false"/>
      <protection locked="true" hidden="false"/>
    </xf>
    <xf numFmtId="164" fontId="22" fillId="5" borderId="0" xfId="0" applyFont="true" applyBorder="true" applyAlignment="true" applyProtection="false">
      <alignment horizontal="left" vertical="center" textRotation="0" wrapText="true" indent="0" shrinkToFit="false"/>
      <protection locked="true" hidden="false"/>
    </xf>
    <xf numFmtId="166" fontId="19" fillId="5" borderId="0" xfId="0" applyFont="true" applyBorder="true" applyAlignment="true" applyProtection="false">
      <alignment horizontal="center" vertical="center" textRotation="0" wrapText="true" indent="0" shrinkToFit="false"/>
      <protection locked="true" hidden="false"/>
    </xf>
    <xf numFmtId="167" fontId="23" fillId="5" borderId="0" xfId="0" applyFont="true" applyBorder="true" applyAlignment="true" applyProtection="false">
      <alignment horizontal="center" vertical="center" textRotation="0" wrapText="true" indent="0" shrinkToFit="false"/>
      <protection locked="true" hidden="false"/>
    </xf>
    <xf numFmtId="166" fontId="18" fillId="5" borderId="0" xfId="0" applyFont="true" applyBorder="true" applyAlignment="true" applyProtection="false">
      <alignment horizontal="center" vertical="center" textRotation="0" wrapText="true" indent="0" shrinkToFit="false"/>
      <protection locked="true" hidden="false"/>
    </xf>
    <xf numFmtId="164" fontId="24" fillId="5" borderId="0" xfId="0" applyFont="true" applyBorder="true" applyAlignment="true" applyProtection="false">
      <alignment horizontal="left" vertical="center" textRotation="0" wrapText="true" indent="0" shrinkToFit="false"/>
      <protection locked="true" hidden="false"/>
    </xf>
    <xf numFmtId="167" fontId="25" fillId="11" borderId="0" xfId="0" applyFont="true" applyBorder="true" applyAlignment="true" applyProtection="false">
      <alignment horizontal="center" vertical="center" textRotation="0" wrapText="true" indent="0" shrinkToFit="false"/>
      <protection locked="true" hidden="false"/>
    </xf>
    <xf numFmtId="166" fontId="26" fillId="11" borderId="0" xfId="0" applyFont="true" applyBorder="true" applyAlignment="true" applyProtection="false">
      <alignment horizontal="center" vertical="center" textRotation="0" wrapText="true" indent="0" shrinkToFit="false"/>
      <protection locked="true" hidden="false"/>
    </xf>
    <xf numFmtId="164" fontId="27" fillId="11" borderId="0" xfId="0" applyFont="true" applyBorder="true" applyAlignment="true" applyProtection="false">
      <alignment horizontal="left" vertical="center" textRotation="0" wrapText="true" indent="0" shrinkToFit="false"/>
      <protection locked="true" hidden="false"/>
    </xf>
    <xf numFmtId="168" fontId="23" fillId="5" borderId="0"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left" vertical="center" textRotation="0" wrapText="true" indent="0" shrinkToFit="false"/>
      <protection locked="true" hidden="false"/>
    </xf>
    <xf numFmtId="164" fontId="28" fillId="12" borderId="1" xfId="0" applyFont="true" applyBorder="true" applyAlignment="true" applyProtection="false">
      <alignment horizontal="center" vertical="center" textRotation="0" wrapText="true" indent="0" shrinkToFit="false"/>
      <protection locked="true" hidden="false"/>
    </xf>
    <xf numFmtId="168" fontId="26" fillId="5" borderId="1" xfId="0" applyFont="true" applyBorder="true" applyAlignment="true" applyProtection="false">
      <alignment horizontal="center" vertical="center" textRotation="0" wrapText="false" indent="0" shrinkToFit="false"/>
      <protection locked="true" hidden="false"/>
    </xf>
    <xf numFmtId="164" fontId="21" fillId="6" borderId="0" xfId="0" applyFont="true" applyBorder="true" applyAlignment="true" applyProtection="false">
      <alignment horizontal="center" vertical="center" textRotation="0" wrapText="true" indent="0" shrinkToFit="false"/>
      <protection locked="true" hidden="false"/>
    </xf>
    <xf numFmtId="164" fontId="22" fillId="6" borderId="0" xfId="0" applyFont="true" applyBorder="true" applyAlignment="true" applyProtection="false">
      <alignment horizontal="left" vertical="center" textRotation="0" wrapText="true" indent="0" shrinkToFit="false"/>
      <protection locked="true" hidden="false"/>
    </xf>
    <xf numFmtId="166" fontId="19" fillId="6" borderId="0" xfId="0" applyFont="true" applyBorder="true" applyAlignment="true" applyProtection="false">
      <alignment horizontal="center" vertical="center" textRotation="0" wrapText="true" indent="0" shrinkToFit="false"/>
      <protection locked="true" hidden="false"/>
    </xf>
    <xf numFmtId="167" fontId="23" fillId="6" borderId="0" xfId="0" applyFont="true" applyBorder="true" applyAlignment="true" applyProtection="false">
      <alignment horizontal="center" vertical="center" textRotation="0" wrapText="true" indent="0" shrinkToFit="false"/>
      <protection locked="true" hidden="false"/>
    </xf>
    <xf numFmtId="166" fontId="18" fillId="6" borderId="0" xfId="0" applyFont="true" applyBorder="true" applyAlignment="true" applyProtection="false">
      <alignment horizontal="center" vertical="center" textRotation="0" wrapText="true" indent="0" shrinkToFit="false"/>
      <protection locked="true" hidden="false"/>
    </xf>
    <xf numFmtId="164" fontId="24" fillId="6" borderId="0" xfId="0" applyFont="true" applyBorder="true" applyAlignment="true" applyProtection="false">
      <alignment horizontal="left" vertical="center" textRotation="0" wrapText="true" indent="0" shrinkToFit="false"/>
      <protection locked="true" hidden="false"/>
    </xf>
    <xf numFmtId="168" fontId="23" fillId="6"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left" vertical="center" textRotation="0" wrapText="true" indent="0" shrinkToFit="false"/>
      <protection locked="true" hidden="false"/>
    </xf>
    <xf numFmtId="168" fontId="26" fillId="13" borderId="1" xfId="0" applyFont="true" applyBorder="true" applyAlignment="true" applyProtection="false">
      <alignment horizontal="center" vertical="center" textRotation="0" wrapText="false" indent="0" shrinkToFit="false"/>
      <protection locked="true" hidden="false"/>
    </xf>
    <xf numFmtId="164" fontId="29" fillId="2" borderId="0" xfId="0" applyFont="true" applyBorder="true" applyAlignment="true" applyProtection="false">
      <alignment horizontal="left" vertical="center" textRotation="0" wrapText="true" indent="0" shrinkToFit="false"/>
      <protection locked="true" hidden="false"/>
    </xf>
    <xf numFmtId="167" fontId="30" fillId="2" borderId="0" xfId="0" applyFont="true" applyBorder="true" applyAlignment="true" applyProtection="false">
      <alignment horizontal="center" vertical="center" textRotation="0" wrapText="true" indent="0" shrinkToFit="false"/>
      <protection locked="true" hidden="false"/>
    </xf>
    <xf numFmtId="166" fontId="31" fillId="2"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left" vertical="center" textRotation="0" wrapText="true" indent="0" shrinkToFit="false"/>
      <protection locked="true" hidden="false"/>
    </xf>
    <xf numFmtId="167" fontId="32" fillId="10" borderId="0" xfId="0" applyFont="true" applyBorder="true" applyAlignment="true" applyProtection="false">
      <alignment horizontal="center" vertical="center" textRotation="0" wrapText="true" indent="0" shrinkToFit="false"/>
      <protection locked="true" hidden="false"/>
    </xf>
    <xf numFmtId="166" fontId="20" fillId="10" borderId="0" xfId="0" applyFont="true" applyBorder="true" applyAlignment="true" applyProtection="false">
      <alignment horizontal="center" vertical="center" textRotation="0" wrapText="true" indent="0" shrinkToFit="false"/>
      <protection locked="true" hidden="false"/>
    </xf>
    <xf numFmtId="164" fontId="11" fillId="10" borderId="0" xfId="0" applyFont="true" applyBorder="true" applyAlignment="true" applyProtection="false">
      <alignment horizontal="left" vertical="center" textRotation="0" wrapText="true" indent="0" shrinkToFit="false"/>
      <protection locked="true" hidden="false"/>
    </xf>
    <xf numFmtId="168" fontId="33" fillId="2" borderId="0" xfId="0" applyFont="true" applyBorder="true" applyAlignment="true" applyProtection="false">
      <alignment horizontal="center" vertical="center" textRotation="0" wrapText="true" indent="0" shrinkToFit="false"/>
      <protection locked="true" hidden="false"/>
    </xf>
    <xf numFmtId="164" fontId="34" fillId="2" borderId="0" xfId="0" applyFont="true" applyBorder="true" applyAlignment="true" applyProtection="false">
      <alignment horizontal="left" vertical="center" textRotation="0" wrapText="true" indent="0" shrinkToFit="false"/>
      <protection locked="true" hidden="false"/>
    </xf>
    <xf numFmtId="164" fontId="35" fillId="12" borderId="1" xfId="0" applyFont="true" applyBorder="tru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true" applyAlignment="true" applyProtection="false">
      <alignment horizontal="left" vertical="center" textRotation="0" wrapText="true" indent="0" shrinkToFit="false"/>
      <protection locked="true" hidden="false"/>
    </xf>
    <xf numFmtId="164" fontId="36" fillId="8" borderId="0" xfId="0" applyFont="true" applyBorder="true" applyAlignment="true" applyProtection="false">
      <alignment horizontal="left" vertical="center" textRotation="0" wrapText="true" indent="0" shrinkToFit="false"/>
      <protection locked="true" hidden="false"/>
    </xf>
    <xf numFmtId="164" fontId="37" fillId="2" borderId="2" xfId="0" applyFont="true" applyBorder="true" applyAlignment="true" applyProtection="false">
      <alignment horizontal="left" vertical="center" textRotation="0" wrapText="false" indent="0" shrinkToFit="false"/>
      <protection locked="true" hidden="false"/>
    </xf>
    <xf numFmtId="164" fontId="10" fillId="4" borderId="2"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left" vertical="center" textRotation="0" wrapText="false" indent="0" shrinkToFit="false"/>
      <protection locked="true" hidden="false"/>
    </xf>
    <xf numFmtId="164" fontId="38" fillId="5" borderId="1" xfId="0" applyFont="true" applyBorder="true" applyAlignment="true" applyProtection="false">
      <alignment horizontal="center" vertical="center" textRotation="0" wrapText="true" indent="0" shrinkToFit="false"/>
      <protection locked="true" hidden="false"/>
    </xf>
    <xf numFmtId="164" fontId="28" fillId="5" borderId="1" xfId="0" applyFont="true" applyBorder="true" applyAlignment="true" applyProtection="false">
      <alignment horizontal="center" vertical="center" textRotation="0" wrapText="true" indent="0" shrinkToFit="false"/>
      <protection locked="true" hidden="false"/>
    </xf>
    <xf numFmtId="169" fontId="28" fillId="5" borderId="1" xfId="0" applyFont="true" applyBorder="true" applyAlignment="true" applyProtection="false">
      <alignment horizontal="right" vertical="center" textRotation="0" wrapText="false" indent="0" shrinkToFit="false"/>
      <protection locked="true" hidden="false"/>
    </xf>
    <xf numFmtId="169" fontId="39" fillId="12" borderId="1" xfId="0" applyFont="true" applyBorder="true" applyAlignment="true" applyProtection="false">
      <alignment horizontal="right" vertical="center" textRotation="0" wrapText="false" indent="0" shrinkToFit="false"/>
      <protection locked="true" hidden="false"/>
    </xf>
    <xf numFmtId="169" fontId="40" fillId="14" borderId="1" xfId="0" applyFont="true" applyBorder="true" applyAlignment="true" applyProtection="false">
      <alignment horizontal="right" vertical="center" textRotation="0" wrapText="false" indent="0" shrinkToFit="false"/>
      <protection locked="true" hidden="false"/>
    </xf>
    <xf numFmtId="164" fontId="36" fillId="5" borderId="1" xfId="0" applyFont="true" applyBorder="true" applyAlignment="true" applyProtection="false">
      <alignment horizontal="center" vertical="center" textRotation="0" wrapText="false" indent="0" shrinkToFit="false"/>
      <protection locked="true" hidden="false"/>
    </xf>
    <xf numFmtId="164" fontId="36" fillId="5"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4" fontId="38" fillId="6" borderId="1" xfId="0" applyFont="true" applyBorder="true" applyAlignment="true" applyProtection="false">
      <alignment horizontal="center" vertical="center" textRotation="0" wrapText="true" indent="0" shrinkToFit="false"/>
      <protection locked="true" hidden="false"/>
    </xf>
    <xf numFmtId="164" fontId="28" fillId="6" borderId="1" xfId="0" applyFont="true" applyBorder="true" applyAlignment="true" applyProtection="false">
      <alignment horizontal="center" vertical="center" textRotation="0" wrapText="true" indent="0" shrinkToFit="false"/>
      <protection locked="true" hidden="false"/>
    </xf>
    <xf numFmtId="169" fontId="28" fillId="6" borderId="1" xfId="0" applyFont="true" applyBorder="true" applyAlignment="true" applyProtection="false">
      <alignment horizontal="right" vertical="center" textRotation="0" wrapText="false" indent="0" shrinkToFit="false"/>
      <protection locked="true" hidden="false"/>
    </xf>
    <xf numFmtId="164" fontId="36" fillId="6" borderId="1" xfId="0" applyFont="true" applyBorder="true" applyAlignment="true" applyProtection="false">
      <alignment horizontal="center"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11" fillId="15" borderId="1" xfId="0" applyFont="true" applyBorder="true" applyAlignment="true" applyProtection="false">
      <alignment horizontal="left" vertical="center" textRotation="0" wrapText="false" indent="0" shrinkToFit="false"/>
      <protection locked="true" hidden="false"/>
    </xf>
    <xf numFmtId="164" fontId="11" fillId="16" borderId="1" xfId="0" applyFont="true" applyBorder="true" applyAlignment="true" applyProtection="false">
      <alignment horizontal="left" vertical="center" textRotation="0" wrapText="false" indent="0" shrinkToFit="false"/>
      <protection locked="true" hidden="false"/>
    </xf>
    <xf numFmtId="164" fontId="11" fillId="17" borderId="1" xfId="0" applyFont="true" applyBorder="true" applyAlignment="true" applyProtection="false">
      <alignment horizontal="left" vertical="center" textRotation="0" wrapText="false" indent="0" shrinkToFit="false"/>
      <protection locked="true" hidden="false"/>
    </xf>
    <xf numFmtId="164" fontId="11" fillId="18" borderId="1" xfId="0" applyFont="true" applyBorder="true" applyAlignment="true" applyProtection="false">
      <alignment horizontal="left" vertical="center" textRotation="0" wrapText="false" indent="0" shrinkToFit="false"/>
      <protection locked="true" hidden="false"/>
    </xf>
    <xf numFmtId="164" fontId="20" fillId="2" borderId="2" xfId="0" applyFont="true" applyBorder="true" applyAlignment="true" applyProtection="false">
      <alignment horizontal="left" vertical="center" textRotation="0" wrapText="false" indent="0" shrinkToFit="false"/>
      <protection locked="true" hidden="false"/>
    </xf>
    <xf numFmtId="164" fontId="20" fillId="2" borderId="2" xfId="0" applyFont="true" applyBorder="true" applyAlignment="true" applyProtection="false">
      <alignment horizontal="center" vertical="center" textRotation="0" wrapText="false" indent="0" shrinkToFit="false"/>
      <protection locked="true" hidden="false"/>
    </xf>
    <xf numFmtId="169" fontId="41" fillId="19" borderId="2" xfId="0" applyFont="true" applyBorder="true" applyAlignment="true" applyProtection="false">
      <alignment horizontal="right" vertical="center" textRotation="0" wrapText="false" indent="0" shrinkToFit="false"/>
      <protection locked="true" hidden="false"/>
    </xf>
    <xf numFmtId="169" fontId="42" fillId="20" borderId="2" xfId="0" applyFont="true" applyBorder="true" applyAlignment="true" applyProtection="false">
      <alignment horizontal="right" vertical="center" textRotation="0" wrapText="false" indent="0" shrinkToFit="false"/>
      <protection locked="true" hidden="false"/>
    </xf>
    <xf numFmtId="169" fontId="43" fillId="21" borderId="2" xfId="0" applyFont="true" applyBorder="true" applyAlignment="true" applyProtection="false">
      <alignment horizontal="right" vertical="center" textRotation="0" wrapText="false" indent="0" shrinkToFit="false"/>
      <protection locked="true" hidden="false"/>
    </xf>
    <xf numFmtId="164" fontId="22" fillId="19" borderId="2" xfId="0" applyFont="true" applyBorder="true" applyAlignment="true" applyProtection="false">
      <alignment horizontal="center" vertical="center"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13" fillId="22" borderId="1" xfId="0" applyFont="true" applyBorder="true" applyAlignment="true" applyProtection="false">
      <alignment horizontal="left" vertical="center" textRotation="0" wrapText="true" indent="0" shrinkToFit="false"/>
      <protection locked="true" hidden="false"/>
    </xf>
    <xf numFmtId="164" fontId="31" fillId="2" borderId="0" xfId="0" applyFont="true" applyBorder="true" applyAlignment="true" applyProtection="false">
      <alignment horizontal="center" vertical="center" textRotation="0" wrapText="true" indent="0" shrinkToFit="false"/>
      <protection locked="true" hidden="false"/>
    </xf>
    <xf numFmtId="164" fontId="44" fillId="4" borderId="0" xfId="0" applyFont="true" applyBorder="true" applyAlignment="true" applyProtection="false">
      <alignment horizontal="center" vertical="center" textRotation="0" wrapText="true" indent="0" shrinkToFit="false"/>
      <protection locked="true" hidden="false"/>
    </xf>
    <xf numFmtId="164" fontId="31" fillId="4" borderId="0" xfId="0" applyFont="true" applyBorder="true" applyAlignment="true" applyProtection="false">
      <alignment horizontal="left" vertical="center" textRotation="0" wrapText="true" indent="0" shrinkToFit="false"/>
      <protection locked="true" hidden="false"/>
    </xf>
    <xf numFmtId="167" fontId="45" fillId="5" borderId="0"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true" applyAlignment="true" applyProtection="false">
      <alignment horizontal="left" vertical="center" textRotation="0" wrapText="true" indent="0" shrinkToFit="false"/>
      <protection locked="true" hidden="false"/>
    </xf>
    <xf numFmtId="167" fontId="46" fillId="11" borderId="0" xfId="0" applyFont="true" applyBorder="true" applyAlignment="true" applyProtection="false">
      <alignment horizontal="center" vertical="center" textRotation="0" wrapText="true" indent="0" shrinkToFit="false"/>
      <protection locked="true" hidden="false"/>
    </xf>
    <xf numFmtId="164" fontId="47" fillId="5" borderId="0" xfId="0" applyFont="true" applyBorder="true" applyAlignment="true" applyProtection="false">
      <alignment horizontal="left" vertical="center" textRotation="0" wrapText="true" indent="0" shrinkToFit="false"/>
      <protection locked="true" hidden="false"/>
    </xf>
    <xf numFmtId="167" fontId="45" fillId="6" borderId="0" xfId="0" applyFont="true" applyBorder="true" applyAlignment="true" applyProtection="false">
      <alignment horizontal="center" vertical="center" textRotation="0" wrapText="true" indent="0" shrinkToFit="false"/>
      <protection locked="true" hidden="false"/>
    </xf>
    <xf numFmtId="164" fontId="7" fillId="6" borderId="0" xfId="0" applyFont="true" applyBorder="true" applyAlignment="true" applyProtection="false">
      <alignment horizontal="left" vertical="center" textRotation="0" wrapText="true" indent="0" shrinkToFit="false"/>
      <protection locked="true" hidden="false"/>
    </xf>
    <xf numFmtId="164" fontId="47" fillId="6" borderId="0" xfId="0" applyFont="true" applyBorder="true" applyAlignment="true" applyProtection="false">
      <alignment horizontal="left" vertical="center" textRotation="0" wrapText="true" indent="0" shrinkToFit="false"/>
      <protection locked="true" hidden="false"/>
    </xf>
    <xf numFmtId="167" fontId="48" fillId="2" borderId="0" xfId="0" applyFont="true" applyBorder="true" applyAlignment="true" applyProtection="false">
      <alignment horizontal="center" vertical="center" textRotation="0" wrapText="true" indent="0" shrinkToFit="false"/>
      <protection locked="true" hidden="false"/>
    </xf>
    <xf numFmtId="167" fontId="49" fillId="10" borderId="0" xfId="0" applyFont="true" applyBorder="true" applyAlignment="true" applyProtection="false">
      <alignment horizontal="center" vertical="center" textRotation="0" wrapText="true" indent="0" shrinkToFit="false"/>
      <protection locked="true" hidden="false"/>
    </xf>
    <xf numFmtId="164" fontId="50" fillId="4" borderId="0" xfId="0" applyFont="true" applyBorder="true" applyAlignment="true" applyProtection="false">
      <alignment horizontal="left" vertical="center" textRotation="0" wrapText="true" indent="0" shrinkToFit="false"/>
      <protection locked="true" hidden="false"/>
    </xf>
    <xf numFmtId="164" fontId="13" fillId="22" borderId="1" xfId="0" applyFont="true" applyBorder="true" applyAlignment="true" applyProtection="false">
      <alignment horizontal="left"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35" fillId="5" borderId="1" xfId="0" applyFont="true" applyBorder="true" applyAlignment="true" applyProtection="false">
      <alignment horizontal="center" vertical="center" textRotation="0" wrapText="false" indent="0" shrinkToFit="false"/>
      <protection locked="true" hidden="false"/>
    </xf>
    <xf numFmtId="169" fontId="22" fillId="5" borderId="1" xfId="0" applyFont="true" applyBorder="true" applyAlignment="true" applyProtection="false">
      <alignment horizontal="right" vertical="center" textRotation="0" wrapText="false" indent="0" shrinkToFit="false"/>
      <protection locked="true" hidden="false"/>
    </xf>
    <xf numFmtId="169" fontId="51" fillId="5" borderId="1" xfId="0" applyFont="true" applyBorder="true" applyAlignment="true" applyProtection="false">
      <alignment horizontal="right" vertical="center" textRotation="0" wrapText="false" indent="0" shrinkToFit="false"/>
      <protection locked="true" hidden="false"/>
    </xf>
    <xf numFmtId="164" fontId="35" fillId="5"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4" fontId="35" fillId="6" borderId="1" xfId="0" applyFont="true" applyBorder="true" applyAlignment="true" applyProtection="false">
      <alignment horizontal="center" vertical="center" textRotation="0" wrapText="false" indent="0" shrinkToFit="false"/>
      <protection locked="true" hidden="false"/>
    </xf>
    <xf numFmtId="169" fontId="22" fillId="6" borderId="1" xfId="0" applyFont="true" applyBorder="true" applyAlignment="true" applyProtection="false">
      <alignment horizontal="right" vertical="center" textRotation="0" wrapText="false" indent="0" shrinkToFit="false"/>
      <protection locked="true" hidden="false"/>
    </xf>
    <xf numFmtId="169" fontId="51" fillId="6" borderId="1" xfId="0" applyFont="true" applyBorder="true" applyAlignment="true" applyProtection="false">
      <alignment horizontal="right" vertical="center" textRotation="0" wrapText="false" indent="0" shrinkToFit="false"/>
      <protection locked="true" hidden="false"/>
    </xf>
    <xf numFmtId="164" fontId="35" fillId="6"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false" indent="0" shrinkToFit="false"/>
      <protection locked="true" hidden="false"/>
    </xf>
    <xf numFmtId="164" fontId="52" fillId="12" borderId="1" xfId="0" applyFont="true" applyBorder="true" applyAlignment="true" applyProtection="false">
      <alignment horizontal="left" vertical="center" textRotation="0" wrapText="true" indent="0" shrinkToFit="false"/>
      <protection locked="true" hidden="false"/>
    </xf>
    <xf numFmtId="164" fontId="53" fillId="2" borderId="0" xfId="0" applyFont="true" applyBorder="true" applyAlignment="true" applyProtection="false">
      <alignment horizontal="left" vertical="center" textRotation="0" wrapText="false" indent="0" shrinkToFit="false"/>
      <protection locked="true" hidden="false"/>
    </xf>
    <xf numFmtId="164" fontId="54" fillId="4" borderId="0" xfId="0" applyFont="true" applyBorder="true" applyAlignment="true" applyProtection="false">
      <alignment horizontal="left" vertical="center" textRotation="0" wrapText="false" indent="0" shrinkToFit="false"/>
      <protection locked="true" hidden="false"/>
    </xf>
    <xf numFmtId="164" fontId="11" fillId="4" borderId="0" xfId="0" applyFont="true" applyBorder="true" applyAlignment="true" applyProtection="false">
      <alignment horizontal="center" vertical="center" textRotation="0" wrapText="false" indent="0" shrinkToFit="false"/>
      <protection locked="true" hidden="false"/>
    </xf>
    <xf numFmtId="164" fontId="11" fillId="10" borderId="0" xfId="0" applyFont="true" applyBorder="true" applyAlignment="true" applyProtection="false">
      <alignment horizontal="center" vertical="center" textRotation="0" wrapText="false" indent="0" shrinkToFit="false"/>
      <protection locked="true" hidden="false"/>
    </xf>
    <xf numFmtId="164" fontId="11" fillId="15" borderId="0" xfId="0" applyFont="true" applyBorder="true" applyAlignment="true" applyProtection="false">
      <alignment horizontal="center" vertical="center" textRotation="0" wrapText="false" indent="0" shrinkToFit="false"/>
      <protection locked="true" hidden="false"/>
    </xf>
    <xf numFmtId="164" fontId="11" fillId="18" borderId="0" xfId="0" applyFont="true" applyBorder="true" applyAlignment="true" applyProtection="false">
      <alignment horizontal="center" vertical="center" textRotation="0" wrapText="fals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10" fillId="16" borderId="1" xfId="0" applyFont="true" applyBorder="true" applyAlignment="true" applyProtection="false">
      <alignment horizontal="center" vertical="center" textRotation="0" wrapText="true" indent="0" shrinkToFit="false"/>
      <protection locked="true" hidden="false"/>
    </xf>
    <xf numFmtId="164" fontId="10" fillId="18" borderId="1" xfId="0" applyFont="true" applyBorder="true" applyAlignment="true" applyProtection="false">
      <alignment horizontal="center" vertical="center" textRotation="0" wrapText="true" indent="0" shrinkToFit="false"/>
      <protection locked="true" hidden="false"/>
    </xf>
    <xf numFmtId="164" fontId="55" fillId="5" borderId="1" xfId="58" applyFont="true" applyBorder="true" applyAlignment="true" applyProtection="false">
      <alignment horizontal="center" vertical="center" textRotation="0" wrapText="false" indent="0" shrinkToFit="false"/>
      <protection locked="true" hidden="false"/>
    </xf>
    <xf numFmtId="164" fontId="56" fillId="5" borderId="1" xfId="0" applyFont="true" applyBorder="true" applyAlignment="true" applyProtection="false">
      <alignment horizontal="left" vertical="center" textRotation="0" wrapText="false" indent="0" shrinkToFit="false"/>
      <protection locked="true" hidden="false"/>
    </xf>
    <xf numFmtId="164" fontId="22" fillId="5" borderId="1" xfId="0" applyFont="true" applyBorder="true" applyAlignment="true" applyProtection="false">
      <alignment horizontal="left" vertical="center" textRotation="0" wrapText="true" indent="0" shrinkToFit="false"/>
      <protection locked="true" hidden="false"/>
    </xf>
    <xf numFmtId="164" fontId="36" fillId="5" borderId="1" xfId="57" applyFont="true" applyBorder="true" applyAlignment="true" applyProtection="false">
      <alignment horizontal="left" vertical="center" textRotation="0" wrapText="true" indent="0" shrinkToFit="false"/>
      <protection locked="true" hidden="false"/>
    </xf>
    <xf numFmtId="164" fontId="36" fillId="5" borderId="1" xfId="55" applyFont="true" applyBorder="true" applyAlignment="true" applyProtection="false">
      <alignment horizontal="left" vertical="center" textRotation="0" wrapText="true" indent="0" shrinkToFit="false"/>
      <protection locked="true" hidden="false"/>
    </xf>
    <xf numFmtId="169" fontId="28" fillId="13" borderId="1" xfId="0" applyFont="true" applyBorder="true" applyAlignment="true" applyProtection="false">
      <alignment horizontal="right" vertical="center" textRotation="0" wrapText="false" indent="0" shrinkToFit="false"/>
      <protection locked="true" hidden="false"/>
    </xf>
    <xf numFmtId="169" fontId="51" fillId="14" borderId="1" xfId="0" applyFont="true" applyBorder="true" applyAlignment="true" applyProtection="false">
      <alignment horizontal="right" vertical="center" textRotation="0" wrapText="false" indent="0" shrinkToFit="false"/>
      <protection locked="true" hidden="false"/>
    </xf>
    <xf numFmtId="164" fontId="36" fillId="22" borderId="1" xfId="53" applyFont="true" applyBorder="true" applyAlignment="true" applyProtection="false">
      <alignment horizontal="left" vertical="center" textRotation="0" wrapText="true" indent="0" shrinkToFit="false"/>
      <protection locked="true" hidden="false"/>
    </xf>
    <xf numFmtId="164" fontId="55" fillId="6" borderId="1" xfId="58" applyFont="true" applyBorder="true" applyAlignment="true" applyProtection="false">
      <alignment horizontal="center" vertical="center" textRotation="0" wrapText="false" indent="0" shrinkToFit="false"/>
      <protection locked="true" hidden="false"/>
    </xf>
    <xf numFmtId="164" fontId="56" fillId="6" borderId="1" xfId="0" applyFont="true" applyBorder="true" applyAlignment="true" applyProtection="false">
      <alignment horizontal="left" vertical="center" textRotation="0" wrapText="false" indent="0" shrinkToFit="false"/>
      <protection locked="true" hidden="false"/>
    </xf>
    <xf numFmtId="164" fontId="22" fillId="6" borderId="1" xfId="0" applyFont="true" applyBorder="true" applyAlignment="true" applyProtection="false">
      <alignment horizontal="left" vertical="center" textRotation="0" wrapText="true" indent="0" shrinkToFit="false"/>
      <protection locked="true" hidden="false"/>
    </xf>
    <xf numFmtId="164" fontId="36" fillId="6" borderId="1" xfId="57" applyFont="true" applyBorder="true" applyAlignment="true" applyProtection="false">
      <alignment horizontal="left" vertical="center" textRotation="0" wrapText="true" indent="0" shrinkToFit="false"/>
      <protection locked="true" hidden="false"/>
    </xf>
    <xf numFmtId="164" fontId="36" fillId="6" borderId="1" xfId="55" applyFont="true" applyBorder="true" applyAlignment="true" applyProtection="false">
      <alignment horizontal="left" vertical="center" textRotation="0" wrapText="true" indent="0" shrinkToFit="false"/>
      <protection locked="true" hidden="false"/>
    </xf>
    <xf numFmtId="169" fontId="28" fillId="23" borderId="1" xfId="0" applyFont="true" applyBorder="true" applyAlignment="true" applyProtection="false">
      <alignment horizontal="right" vertical="center" textRotation="0" wrapText="false" indent="0" shrinkToFit="false"/>
      <protection locked="true" hidden="false"/>
    </xf>
    <xf numFmtId="169" fontId="51" fillId="24" borderId="1" xfId="0" applyFont="true" applyBorder="true" applyAlignment="true" applyProtection="false">
      <alignment horizontal="right" vertical="center" textRotation="0" wrapText="false" indent="0" shrinkToFit="false"/>
      <protection locked="true" hidden="false"/>
    </xf>
    <xf numFmtId="164" fontId="36" fillId="25" borderId="1" xfId="53" applyFont="true" applyBorder="true" applyAlignment="true" applyProtection="false">
      <alignment horizontal="left" vertical="center" textRotation="0" wrapText="true" indent="0" shrinkToFit="false"/>
      <protection locked="true" hidden="false"/>
    </xf>
    <xf numFmtId="169" fontId="28" fillId="13" borderId="1" xfId="52" applyFont="true" applyBorder="true" applyAlignment="true" applyProtection="false">
      <alignment horizontal="right" vertical="center" textRotation="0" wrapText="false" indent="0" shrinkToFit="false"/>
      <protection locked="true" hidden="false"/>
    </xf>
    <xf numFmtId="169" fontId="28" fillId="13" borderId="1" xfId="54" applyFont="true" applyBorder="true" applyAlignment="true" applyProtection="false">
      <alignment horizontal="right" vertical="center" textRotation="0" wrapText="false" indent="0" shrinkToFit="false"/>
      <protection locked="true" hidden="false"/>
    </xf>
    <xf numFmtId="169" fontId="28" fillId="23" borderId="1" xfId="52" applyFont="true" applyBorder="true" applyAlignment="true" applyProtection="false">
      <alignment horizontal="right" vertical="center" textRotation="0" wrapText="false" indent="0" shrinkToFit="false"/>
      <protection locked="true" hidden="false"/>
    </xf>
    <xf numFmtId="169" fontId="28" fillId="23" borderId="1" xfId="54" applyFont="true" applyBorder="true" applyAlignment="true" applyProtection="false">
      <alignment horizontal="right" vertical="center" textRotation="0" wrapText="false" indent="0" shrinkToFit="false"/>
      <protection locked="true" hidden="false"/>
    </xf>
    <xf numFmtId="164" fontId="36" fillId="6" borderId="1" xfId="56" applyFont="true" applyBorder="true" applyAlignment="true" applyProtection="false">
      <alignment horizontal="left" vertical="center" textRotation="0" wrapText="true" indent="0" shrinkToFit="false"/>
      <protection locked="true" hidden="false"/>
    </xf>
    <xf numFmtId="164" fontId="11" fillId="4" borderId="2" xfId="0" applyFont="true" applyBorder="true" applyAlignment="true" applyProtection="false">
      <alignment horizontal="left" vertical="center" textRotation="0" wrapText="fals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9" fontId="20" fillId="4" borderId="2" xfId="0" applyFont="true" applyBorder="true" applyAlignment="true" applyProtection="false">
      <alignment horizontal="right" vertical="center" textRotation="0" wrapText="false" indent="0" shrinkToFit="false"/>
      <protection locked="true" hidden="false"/>
    </xf>
    <xf numFmtId="164" fontId="0" fillId="4" borderId="2" xfId="0" applyFont="true" applyBorder="true" applyAlignment="false" applyProtection="false">
      <alignment horizontal="general" vertical="bottom" textRotation="0" wrapText="false" indent="0" shrinkToFit="false"/>
      <protection locked="true" hidden="false"/>
    </xf>
    <xf numFmtId="164" fontId="10" fillId="2" borderId="2" xfId="0" applyFont="true" applyBorder="true" applyAlignment="true" applyProtection="false">
      <alignment horizontal="center" vertical="center" textRotation="0" wrapText="false" indent="0" shrinkToFit="false"/>
      <protection locked="true" hidden="false"/>
    </xf>
    <xf numFmtId="169" fontId="53" fillId="2" borderId="2" xfId="0" applyFont="true" applyBorder="true" applyAlignment="true" applyProtection="false">
      <alignment horizontal="right" vertical="center" textRotation="0" wrapText="false" indent="0" shrinkToFit="false"/>
      <protection locked="true" hidden="false"/>
    </xf>
    <xf numFmtId="164" fontId="53" fillId="2" borderId="0" xfId="0" applyFont="true" applyBorder="true" applyAlignment="true" applyProtection="false">
      <alignment horizontal="left" vertical="center" textRotation="0" wrapText="true" indent="0" shrinkToFit="false"/>
      <protection locked="true" hidden="false"/>
    </xf>
    <xf numFmtId="164" fontId="57" fillId="0" borderId="0" xfId="0" applyFont="true" applyBorder="true" applyAlignment="false" applyProtection="false">
      <alignment horizontal="general" vertical="bottom" textRotation="0" wrapText="false" indent="0" shrinkToFit="false"/>
      <protection locked="true" hidden="false"/>
    </xf>
    <xf numFmtId="164" fontId="57" fillId="4" borderId="0" xfId="0" applyFont="true" applyBorder="true" applyAlignment="false" applyProtection="false">
      <alignment horizontal="general" vertical="bottom" textRotation="0" wrapText="false" indent="0" shrinkToFit="false"/>
      <protection locked="true" hidden="false"/>
    </xf>
    <xf numFmtId="164" fontId="58" fillId="4" borderId="0" xfId="0" applyFont="true" applyBorder="true" applyAlignment="true" applyProtection="false">
      <alignment horizontal="left" vertical="center" textRotation="0" wrapText="false" indent="0" shrinkToFit="false"/>
      <protection locked="true" hidden="false"/>
    </xf>
    <xf numFmtId="164" fontId="59" fillId="4" borderId="0" xfId="0" applyFont="true" applyBorder="true" applyAlignment="true" applyProtection="false">
      <alignment horizontal="right" vertical="center" textRotation="0" wrapText="false" indent="0" shrinkToFit="false"/>
      <protection locked="true" hidden="false"/>
    </xf>
    <xf numFmtId="167" fontId="60" fillId="19" borderId="1" xfId="0" applyFont="true" applyBorder="true" applyAlignment="true" applyProtection="false">
      <alignment horizontal="center" vertical="center" textRotation="0" wrapText="false" indent="0" shrinkToFit="false"/>
      <protection locked="true" hidden="false"/>
    </xf>
    <xf numFmtId="167" fontId="41" fillId="11" borderId="1" xfId="0" applyFont="true" applyBorder="true" applyAlignment="true" applyProtection="false">
      <alignment horizontal="center" vertical="center" textRotation="0" wrapText="false" indent="0" shrinkToFit="false"/>
      <protection locked="true" hidden="false"/>
    </xf>
    <xf numFmtId="164" fontId="51" fillId="14" borderId="1" xfId="0" applyFont="true" applyBorder="true" applyAlignment="true" applyProtection="false">
      <alignment horizontal="center" vertical="center" textRotation="0" wrapText="false" indent="0" shrinkToFit="false"/>
      <protection locked="true" hidden="false"/>
    </xf>
    <xf numFmtId="164" fontId="61" fillId="8" borderId="1" xfId="0" applyFont="true" applyBorder="true" applyAlignment="true" applyProtection="false">
      <alignment horizontal="left" vertical="center" textRotation="0" wrapText="false" indent="0" shrinkToFit="false"/>
      <protection locked="true" hidden="false"/>
    </xf>
    <xf numFmtId="164" fontId="62" fillId="4" borderId="1" xfId="0" applyFont="true" applyBorder="true" applyAlignment="true" applyProtection="false">
      <alignment horizontal="center" vertical="center" textRotation="0" wrapText="true" indent="0" shrinkToFit="false"/>
      <protection locked="true" hidden="false"/>
    </xf>
    <xf numFmtId="164" fontId="35" fillId="19" borderId="1" xfId="0" applyFont="true" applyBorder="true" applyAlignment="true" applyProtection="false">
      <alignment horizontal="left" vertical="center" textRotation="0" wrapText="true" indent="0" shrinkToFit="false"/>
      <protection locked="true" hidden="false"/>
    </xf>
    <xf numFmtId="164" fontId="35" fillId="5" borderId="1" xfId="0" applyFont="true" applyBorder="true" applyAlignment="true" applyProtection="false">
      <alignment horizontal="left" vertical="center" textRotation="0" wrapText="true" indent="0" shrinkToFit="false"/>
      <protection locked="true" hidden="false"/>
    </xf>
    <xf numFmtId="164" fontId="35" fillId="19" borderId="1" xfId="20" applyFont="true" applyBorder="true" applyAlignment="true" applyProtection="false">
      <alignment horizontal="left" vertical="center" textRotation="0" wrapText="true" indent="0" shrinkToFit="false"/>
      <protection locked="true" hidden="false"/>
    </xf>
    <xf numFmtId="164" fontId="35" fillId="19" borderId="1" xfId="21" applyFont="true" applyBorder="true" applyAlignment="true" applyProtection="false">
      <alignment horizontal="left" vertical="center" textRotation="0" wrapText="true" indent="0" shrinkToFit="false"/>
      <protection locked="true" hidden="false"/>
    </xf>
    <xf numFmtId="164" fontId="35" fillId="12" borderId="1" xfId="0" applyFont="true" applyBorder="true" applyAlignment="true" applyProtection="false">
      <alignment horizontal="left" vertical="center" textRotation="0" wrapText="true" indent="0" shrinkToFit="false"/>
      <protection locked="true" hidden="false"/>
    </xf>
    <xf numFmtId="164" fontId="35" fillId="26" borderId="1" xfId="22" applyFont="true" applyBorder="true" applyAlignment="true" applyProtection="false">
      <alignment horizontal="left" vertical="center" textRotation="0" wrapText="true" indent="0" shrinkToFit="false"/>
      <protection locked="true" hidden="false"/>
    </xf>
    <xf numFmtId="168" fontId="60" fillId="5" borderId="1" xfId="0" applyFont="true" applyBorder="true" applyAlignment="true" applyProtection="false">
      <alignment horizontal="center" vertical="center" textRotation="0" wrapText="true" indent="0" shrinkToFit="false"/>
      <protection locked="true" hidden="false"/>
    </xf>
    <xf numFmtId="164" fontId="35" fillId="12" borderId="1" xfId="24" applyFont="true" applyBorder="true" applyAlignment="true" applyProtection="false">
      <alignment horizontal="left" vertical="center" textRotation="0" wrapText="true" indent="0" shrinkToFit="false"/>
      <protection locked="true" hidden="false"/>
    </xf>
    <xf numFmtId="168" fontId="41" fillId="12" borderId="1" xfId="0" applyFont="true" applyBorder="true" applyAlignment="true" applyProtection="false">
      <alignment horizontal="center" vertical="center" textRotation="0" wrapText="true" indent="0" shrinkToFit="false"/>
      <protection locked="true" hidden="false"/>
    </xf>
    <xf numFmtId="168" fontId="42" fillId="5" borderId="1" xfId="0" applyFont="true" applyBorder="true" applyAlignment="true" applyProtection="false">
      <alignment horizontal="center" vertical="center" textRotation="0" wrapText="true" indent="0" shrinkToFit="false"/>
      <protection locked="true" hidden="false"/>
    </xf>
    <xf numFmtId="164" fontId="63" fillId="27" borderId="1"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35" fillId="19" borderId="1" xfId="25" applyFont="true" applyBorder="true" applyAlignment="true" applyProtection="false">
      <alignment horizontal="left" vertical="center" textRotation="0" wrapText="true" indent="0" shrinkToFit="false"/>
      <protection locked="true" hidden="false"/>
    </xf>
    <xf numFmtId="164" fontId="35" fillId="26" borderId="1" xfId="0" applyFont="true" applyBorder="true" applyAlignment="true" applyProtection="false">
      <alignment horizontal="left" vertical="center" textRotation="0" wrapText="true" indent="0" shrinkToFit="false"/>
      <protection locked="true" hidden="false"/>
    </xf>
    <xf numFmtId="164" fontId="64" fillId="28" borderId="1" xfId="0" applyFont="true" applyBorder="true" applyAlignment="true" applyProtection="false">
      <alignment horizontal="left" vertical="center" textRotation="0" wrapText="true" indent="0" shrinkToFit="false"/>
      <protection locked="true" hidden="false"/>
    </xf>
    <xf numFmtId="164" fontId="35" fillId="11" borderId="1" xfId="0" applyFont="true" applyBorder="true" applyAlignment="true" applyProtection="false">
      <alignment horizontal="left" vertical="center" textRotation="0" wrapText="true" indent="0" shrinkToFit="false"/>
      <protection locked="true" hidden="false"/>
    </xf>
    <xf numFmtId="164" fontId="35" fillId="6" borderId="1" xfId="0" applyFont="true" applyBorder="true" applyAlignment="true" applyProtection="false">
      <alignment horizontal="left" vertical="center" textRotation="0" wrapText="true" indent="0" shrinkToFit="false"/>
      <protection locked="true" hidden="false"/>
    </xf>
    <xf numFmtId="164" fontId="35" fillId="11" borderId="1" xfId="20" applyFont="true" applyBorder="true" applyAlignment="true" applyProtection="false">
      <alignment horizontal="left" vertical="center" textRotation="0" wrapText="true" indent="0" shrinkToFit="false"/>
      <protection locked="true" hidden="false"/>
    </xf>
    <xf numFmtId="164" fontId="35" fillId="11" borderId="1" xfId="21" applyFont="true" applyBorder="true" applyAlignment="true" applyProtection="false">
      <alignment horizontal="left" vertical="center" textRotation="0" wrapText="true" indent="0" shrinkToFit="false"/>
      <protection locked="true" hidden="false"/>
    </xf>
    <xf numFmtId="164" fontId="35" fillId="29" borderId="1" xfId="0" applyFont="true" applyBorder="true" applyAlignment="true" applyProtection="false">
      <alignment horizontal="left" vertical="center" textRotation="0" wrapText="true" indent="0" shrinkToFit="false"/>
      <protection locked="true" hidden="false"/>
    </xf>
    <xf numFmtId="168" fontId="60" fillId="6" borderId="1" xfId="0" applyFont="true" applyBorder="true" applyAlignment="true" applyProtection="false">
      <alignment horizontal="center" vertical="center" textRotation="0" wrapText="true" indent="0" shrinkToFit="false"/>
      <protection locked="true" hidden="false"/>
    </xf>
    <xf numFmtId="164" fontId="35" fillId="29" borderId="1" xfId="24" applyFont="true" applyBorder="true" applyAlignment="true" applyProtection="false">
      <alignment horizontal="left" vertical="center" textRotation="0" wrapText="true" indent="0" shrinkToFit="false"/>
      <protection locked="true" hidden="false"/>
    </xf>
    <xf numFmtId="168" fontId="41" fillId="29" borderId="1" xfId="0" applyFont="true" applyBorder="true" applyAlignment="true" applyProtection="false">
      <alignment horizontal="center" vertical="center" textRotation="0" wrapText="true" indent="0" shrinkToFit="false"/>
      <protection locked="true" hidden="false"/>
    </xf>
    <xf numFmtId="168" fontId="42" fillId="6" borderId="1" xfId="0" applyFont="true" applyBorder="true" applyAlignment="true" applyProtection="false">
      <alignment horizontal="center" vertical="center" textRotation="0" wrapText="true" indent="0" shrinkToFit="false"/>
      <protection locked="true" hidden="false"/>
    </xf>
    <xf numFmtId="164" fontId="63" fillId="30" borderId="1" xfId="0" applyFont="true" applyBorder="true" applyAlignment="true" applyProtection="false">
      <alignment horizontal="left" vertical="center" textRotation="0" wrapText="true" indent="0" shrinkToFit="false"/>
      <protection locked="true" hidden="false"/>
    </xf>
    <xf numFmtId="164" fontId="16" fillId="6" borderId="1" xfId="0" applyFont="true" applyBorder="true" applyAlignment="true" applyProtection="false">
      <alignment horizontal="left" vertical="center" textRotation="0" wrapText="true" indent="0" shrinkToFit="false"/>
      <protection locked="true" hidden="false"/>
    </xf>
    <xf numFmtId="164" fontId="35" fillId="11" borderId="1" xfId="25" applyFont="true" applyBorder="true" applyAlignment="true" applyProtection="false">
      <alignment horizontal="left" vertical="center" textRotation="0" wrapText="true" indent="0" shrinkToFit="false"/>
      <protection locked="true" hidden="false"/>
    </xf>
    <xf numFmtId="164" fontId="64" fillId="31" borderId="1" xfId="0" applyFont="true" applyBorder="true" applyAlignment="true" applyProtection="false">
      <alignment horizontal="left" vertical="center" textRotation="0" wrapText="true" indent="0" shrinkToFit="false"/>
      <protection locked="true" hidden="false"/>
    </xf>
    <xf numFmtId="164" fontId="35" fillId="5" borderId="1" xfId="29" applyFont="true" applyBorder="true" applyAlignment="true" applyProtection="false">
      <alignment horizontal="center" vertical="center" textRotation="0" wrapText="true" indent="0" shrinkToFit="false"/>
      <protection locked="true" hidden="false"/>
    </xf>
    <xf numFmtId="164" fontId="35" fillId="6" borderId="1" xfId="29" applyFont="true" applyBorder="true" applyAlignment="true" applyProtection="false">
      <alignment horizontal="center" vertical="center" textRotation="0" wrapText="true" indent="0" shrinkToFit="false"/>
      <protection locked="true" hidden="false"/>
    </xf>
    <xf numFmtId="164" fontId="53" fillId="4" borderId="0" xfId="0" applyFont="true" applyBorder="true" applyAlignment="true" applyProtection="false">
      <alignment horizontal="left" vertical="center" textRotation="0" wrapText="true" indent="0" shrinkToFit="false"/>
      <protection locked="true" hidden="false"/>
    </xf>
    <xf numFmtId="164" fontId="35" fillId="19" borderId="1" xfId="31" applyFont="true" applyBorder="true" applyAlignment="true" applyProtection="false">
      <alignment horizontal="left" vertical="center" textRotation="0" wrapText="true" indent="0" shrinkToFit="false"/>
      <protection locked="true" hidden="false"/>
    </xf>
    <xf numFmtId="164" fontId="35" fillId="26" borderId="1" xfId="32" applyFont="true" applyBorder="true" applyAlignment="true" applyProtection="false">
      <alignment horizontal="left" vertical="center" textRotation="0" wrapText="true" indent="0" shrinkToFit="false"/>
      <protection locked="true" hidden="false"/>
    </xf>
    <xf numFmtId="164" fontId="35" fillId="12" borderId="1" xfId="33" applyFont="true" applyBorder="true" applyAlignment="true" applyProtection="false">
      <alignment horizontal="left" vertical="center" textRotation="0" wrapText="true" indent="0" shrinkToFit="false"/>
      <protection locked="true" hidden="false"/>
    </xf>
    <xf numFmtId="164" fontId="35" fillId="19" borderId="1" xfId="34" applyFont="true" applyBorder="true" applyAlignment="true" applyProtection="false">
      <alignment horizontal="left" vertical="center" textRotation="0" wrapText="true" indent="0" shrinkToFit="false"/>
      <protection locked="true" hidden="false"/>
    </xf>
    <xf numFmtId="164" fontId="35" fillId="11" borderId="1" xfId="31" applyFont="true" applyBorder="true" applyAlignment="true" applyProtection="false">
      <alignment horizontal="left" vertical="center" textRotation="0" wrapText="true" indent="0" shrinkToFit="false"/>
      <protection locked="true" hidden="false"/>
    </xf>
    <xf numFmtId="164" fontId="35" fillId="29" borderId="1" xfId="33" applyFont="true" applyBorder="true" applyAlignment="true" applyProtection="false">
      <alignment horizontal="left" vertical="center" textRotation="0" wrapText="true" indent="0" shrinkToFit="false"/>
      <protection locked="true" hidden="false"/>
    </xf>
    <xf numFmtId="164" fontId="35" fillId="11" borderId="1" xfId="34" applyFont="true" applyBorder="true" applyAlignment="true" applyProtection="false">
      <alignment horizontal="left" vertical="center" textRotation="0" wrapText="true" indent="0" shrinkToFit="false"/>
      <protection locked="true" hidden="false"/>
    </xf>
    <xf numFmtId="164" fontId="53" fillId="15" borderId="0" xfId="0" applyFont="true" applyBorder="true" applyAlignment="true" applyProtection="false">
      <alignment horizontal="left" vertical="center" textRotation="0" wrapText="true" indent="0" shrinkToFit="false"/>
      <protection locked="true" hidden="false"/>
    </xf>
    <xf numFmtId="164" fontId="35" fillId="19" borderId="1" xfId="35" applyFont="true" applyBorder="true" applyAlignment="true" applyProtection="false">
      <alignment horizontal="left" vertical="center" textRotation="0" wrapText="true" indent="0" shrinkToFit="false"/>
      <protection locked="true" hidden="false"/>
    </xf>
    <xf numFmtId="164" fontId="35" fillId="26" borderId="1" xfId="36" applyFont="true" applyBorder="true" applyAlignment="true" applyProtection="false">
      <alignment horizontal="left" vertical="center" textRotation="0" wrapText="true" indent="0" shrinkToFit="false"/>
      <protection locked="true" hidden="false"/>
    </xf>
    <xf numFmtId="164" fontId="35" fillId="12" borderId="1" xfId="37" applyFont="true" applyBorder="true" applyAlignment="true" applyProtection="false">
      <alignment horizontal="left" vertical="center" textRotation="0" wrapText="true" indent="0" shrinkToFit="false"/>
      <protection locked="true" hidden="false"/>
    </xf>
    <xf numFmtId="164" fontId="35" fillId="19" borderId="1" xfId="38" applyFont="true" applyBorder="true" applyAlignment="true" applyProtection="false">
      <alignment horizontal="left" vertical="center" textRotation="0" wrapText="true" indent="0" shrinkToFit="false"/>
      <protection locked="true" hidden="false"/>
    </xf>
    <xf numFmtId="164" fontId="35" fillId="11" borderId="1" xfId="35" applyFont="true" applyBorder="true" applyAlignment="true" applyProtection="false">
      <alignment horizontal="left" vertical="center" textRotation="0" wrapText="true" indent="0" shrinkToFit="false"/>
      <protection locked="true" hidden="false"/>
    </xf>
    <xf numFmtId="164" fontId="35" fillId="29" borderId="1" xfId="37" applyFont="true" applyBorder="true" applyAlignment="true" applyProtection="false">
      <alignment horizontal="left" vertical="center" textRotation="0" wrapText="true" indent="0" shrinkToFit="false"/>
      <protection locked="true" hidden="false"/>
    </xf>
    <xf numFmtId="164" fontId="35" fillId="11" borderId="1" xfId="38" applyFont="true" applyBorder="true" applyAlignment="true" applyProtection="false">
      <alignment horizontal="left" vertical="center" textRotation="0" wrapText="true" indent="0" shrinkToFit="false"/>
      <protection locked="true" hidden="false"/>
    </xf>
    <xf numFmtId="164" fontId="53" fillId="16" borderId="0" xfId="0" applyFont="true" applyBorder="true" applyAlignment="true" applyProtection="false">
      <alignment horizontal="left" vertical="center" textRotation="0" wrapText="true" indent="0" shrinkToFit="false"/>
      <protection locked="true" hidden="false"/>
    </xf>
    <xf numFmtId="164" fontId="35" fillId="19" borderId="1" xfId="39" applyFont="true" applyBorder="true" applyAlignment="true" applyProtection="false">
      <alignment horizontal="left" vertical="center" textRotation="0" wrapText="true" indent="0" shrinkToFit="false"/>
      <protection locked="true" hidden="false"/>
    </xf>
    <xf numFmtId="164" fontId="35" fillId="26" borderId="1" xfId="40" applyFont="true" applyBorder="true" applyAlignment="true" applyProtection="false">
      <alignment horizontal="left" vertical="center" textRotation="0" wrapText="true" indent="0" shrinkToFit="false"/>
      <protection locked="true" hidden="false"/>
    </xf>
    <xf numFmtId="164" fontId="35" fillId="12" borderId="1" xfId="42" applyFont="true" applyBorder="true" applyAlignment="true" applyProtection="false">
      <alignment horizontal="left" vertical="center" textRotation="0" wrapText="true" indent="0" shrinkToFit="false"/>
      <protection locked="true" hidden="false"/>
    </xf>
    <xf numFmtId="164" fontId="35" fillId="19" borderId="1" xfId="43" applyFont="true" applyBorder="true" applyAlignment="true" applyProtection="false">
      <alignment horizontal="left" vertical="center" textRotation="0" wrapText="true" indent="0" shrinkToFit="false"/>
      <protection locked="true" hidden="false"/>
    </xf>
    <xf numFmtId="164" fontId="35" fillId="11" borderId="1" xfId="39" applyFont="true" applyBorder="true" applyAlignment="true" applyProtection="false">
      <alignment horizontal="left" vertical="center" textRotation="0" wrapText="true" indent="0" shrinkToFit="false"/>
      <protection locked="true" hidden="false"/>
    </xf>
    <xf numFmtId="164" fontId="35" fillId="29" borderId="1" xfId="42" applyFont="true" applyBorder="true" applyAlignment="true" applyProtection="false">
      <alignment horizontal="left" vertical="center" textRotation="0" wrapText="true" indent="0" shrinkToFit="false"/>
      <protection locked="true" hidden="false"/>
    </xf>
    <xf numFmtId="164" fontId="35" fillId="11" borderId="1" xfId="43" applyFont="true" applyBorder="true" applyAlignment="true" applyProtection="false">
      <alignment horizontal="left" vertical="center" textRotation="0" wrapText="true" indent="0" shrinkToFit="false"/>
      <protection locked="true" hidden="false"/>
    </xf>
    <xf numFmtId="164" fontId="53" fillId="17" borderId="0" xfId="0" applyFont="true" applyBorder="true" applyAlignment="true" applyProtection="false">
      <alignment horizontal="left" vertical="center" textRotation="0" wrapText="true" indent="0" shrinkToFit="false"/>
      <protection locked="true" hidden="false"/>
    </xf>
    <xf numFmtId="164" fontId="35" fillId="19" borderId="1" xfId="44" applyFont="true" applyBorder="true" applyAlignment="true" applyProtection="false">
      <alignment horizontal="left" vertical="center" textRotation="0" wrapText="true" indent="0" shrinkToFit="false"/>
      <protection locked="true" hidden="false"/>
    </xf>
    <xf numFmtId="164" fontId="35" fillId="26" borderId="1" xfId="45" applyFont="true" applyBorder="true" applyAlignment="true" applyProtection="false">
      <alignment horizontal="left" vertical="center" textRotation="0" wrapText="true" indent="0" shrinkToFit="false"/>
      <protection locked="true" hidden="false"/>
    </xf>
    <xf numFmtId="164" fontId="35" fillId="12" borderId="1" xfId="46" applyFont="true" applyBorder="true" applyAlignment="true" applyProtection="false">
      <alignment horizontal="left" vertical="center" textRotation="0" wrapText="true" indent="0" shrinkToFit="false"/>
      <protection locked="true" hidden="false"/>
    </xf>
    <xf numFmtId="164" fontId="35" fillId="19" borderId="1" xfId="47" applyFont="true" applyBorder="true" applyAlignment="true" applyProtection="false">
      <alignment horizontal="left" vertical="center" textRotation="0" wrapText="true" indent="0" shrinkToFit="false"/>
      <protection locked="true" hidden="false"/>
    </xf>
    <xf numFmtId="164" fontId="35" fillId="11" borderId="1" xfId="44" applyFont="true" applyBorder="true" applyAlignment="true" applyProtection="false">
      <alignment horizontal="left" vertical="center" textRotation="0" wrapText="true" indent="0" shrinkToFit="false"/>
      <protection locked="true" hidden="false"/>
    </xf>
    <xf numFmtId="164" fontId="35" fillId="29" borderId="1" xfId="46" applyFont="true" applyBorder="true" applyAlignment="true" applyProtection="false">
      <alignment horizontal="left" vertical="center" textRotation="0" wrapText="true" indent="0" shrinkToFit="false"/>
      <protection locked="true" hidden="false"/>
    </xf>
    <xf numFmtId="164" fontId="35" fillId="11" borderId="1" xfId="47" applyFont="true" applyBorder="true" applyAlignment="true" applyProtection="false">
      <alignment horizontal="left" vertical="center" textRotation="0" wrapText="true" indent="0" shrinkToFit="false"/>
      <protection locked="true" hidden="false"/>
    </xf>
    <xf numFmtId="164" fontId="53" fillId="18" borderId="0" xfId="0" applyFont="true" applyBorder="true" applyAlignment="true" applyProtection="false">
      <alignment horizontal="left" vertical="center" textRotation="0" wrapText="true" indent="0" shrinkToFit="false"/>
      <protection locked="true" hidden="false"/>
    </xf>
    <xf numFmtId="164" fontId="35" fillId="19" borderId="1" xfId="48" applyFont="true" applyBorder="true" applyAlignment="true" applyProtection="false">
      <alignment horizontal="left" vertical="center" textRotation="0" wrapText="true" indent="0" shrinkToFit="false"/>
      <protection locked="true" hidden="false"/>
    </xf>
    <xf numFmtId="164" fontId="35" fillId="26" borderId="1" xfId="49" applyFont="true" applyBorder="true" applyAlignment="true" applyProtection="false">
      <alignment horizontal="left" vertical="center" textRotation="0" wrapText="true" indent="0" shrinkToFit="false"/>
      <protection locked="true" hidden="false"/>
    </xf>
    <xf numFmtId="164" fontId="35" fillId="12" borderId="1" xfId="50" applyFont="true" applyBorder="true" applyAlignment="true" applyProtection="false">
      <alignment horizontal="left" vertical="center" textRotation="0" wrapText="true" indent="0" shrinkToFit="false"/>
      <protection locked="true" hidden="false"/>
    </xf>
    <xf numFmtId="164" fontId="35" fillId="19" borderId="1" xfId="51" applyFont="true" applyBorder="true" applyAlignment="true" applyProtection="false">
      <alignment horizontal="left" vertical="center" textRotation="0" wrapText="true" indent="0" shrinkToFit="false"/>
      <protection locked="true" hidden="false"/>
    </xf>
    <xf numFmtId="164" fontId="35" fillId="11" borderId="1" xfId="48" applyFont="true" applyBorder="true" applyAlignment="true" applyProtection="false">
      <alignment horizontal="left" vertical="center" textRotation="0" wrapText="true" indent="0" shrinkToFit="false"/>
      <protection locked="true" hidden="false"/>
    </xf>
    <xf numFmtId="164" fontId="35" fillId="29" borderId="1" xfId="50" applyFont="true" applyBorder="true" applyAlignment="true" applyProtection="false">
      <alignment horizontal="left" vertical="center" textRotation="0" wrapText="true" indent="0" shrinkToFit="false"/>
      <protection locked="true" hidden="false"/>
    </xf>
    <xf numFmtId="164" fontId="35" fillId="11" borderId="1" xfId="51" applyFont="true" applyBorder="true" applyAlignment="true" applyProtection="false">
      <alignment horizontal="left" vertical="center" textRotation="0" wrapText="true" indent="0" shrinkToFit="false"/>
      <protection locked="true" hidden="false"/>
    </xf>
    <xf numFmtId="164" fontId="13" fillId="32" borderId="0" xfId="0" applyFont="true" applyBorder="true" applyAlignment="true" applyProtection="false">
      <alignment horizontal="left" vertical="center" textRotation="0" wrapText="true" indent="0" shrinkToFit="false"/>
      <protection locked="true" hidden="false"/>
    </xf>
    <xf numFmtId="164" fontId="22" fillId="5" borderId="1" xfId="0" applyFont="true" applyBorder="true" applyAlignment="true" applyProtection="false">
      <alignment horizontal="center" vertical="center" textRotation="0" wrapText="false" indent="0" shrinkToFit="false"/>
      <protection locked="true" hidden="false"/>
    </xf>
    <xf numFmtId="164" fontId="65" fillId="5" borderId="1" xfId="0" applyFont="true" applyBorder="true" applyAlignment="true" applyProtection="false">
      <alignment horizontal="center" vertical="center" textRotation="0" wrapText="false" indent="0" shrinkToFit="false"/>
      <protection locked="true" hidden="false"/>
    </xf>
    <xf numFmtId="164" fontId="66" fillId="5" borderId="1" xfId="0" applyFont="true" applyBorder="true" applyAlignment="true" applyProtection="false">
      <alignment horizontal="center" vertical="center" textRotation="0" wrapText="false" indent="0" shrinkToFit="false"/>
      <protection locked="true" hidden="false"/>
    </xf>
    <xf numFmtId="164" fontId="22" fillId="5" borderId="1" xfId="0" applyFont="true" applyBorder="true" applyAlignment="true" applyProtection="false">
      <alignment horizontal="left" vertical="center" textRotation="0" wrapText="false" indent="0" shrinkToFit="false"/>
      <protection locked="true" hidden="false"/>
    </xf>
    <xf numFmtId="164" fontId="67" fillId="5" borderId="1" xfId="0" applyFont="true" applyBorder="true" applyAlignment="true" applyProtection="false">
      <alignment horizontal="left" vertical="top" textRotation="0" wrapText="true" indent="0" shrinkToFit="false"/>
      <protection locked="true" hidden="false"/>
    </xf>
    <xf numFmtId="164" fontId="66" fillId="5" borderId="1" xfId="0" applyFont="true" applyBorder="true" applyAlignment="true" applyProtection="false">
      <alignment horizontal="left" vertical="center" textRotation="0" wrapText="true" indent="0" shrinkToFit="false"/>
      <protection locked="true" hidden="false"/>
    </xf>
    <xf numFmtId="164" fontId="68" fillId="5" borderId="1" xfId="0" applyFont="true" applyBorder="true" applyAlignment="true" applyProtection="false">
      <alignment horizontal="center" vertical="center" textRotation="0" wrapText="true" indent="0" shrinkToFit="false"/>
      <protection locked="true" hidden="false"/>
    </xf>
    <xf numFmtId="170" fontId="66" fillId="5" borderId="1" xfId="0" applyFont="true" applyBorder="true" applyAlignment="true" applyProtection="false">
      <alignment horizontal="left" vertical="center" textRotation="0" wrapText="true" indent="0" shrinkToFit="false"/>
      <protection locked="true" hidden="false"/>
    </xf>
    <xf numFmtId="164" fontId="22" fillId="6" borderId="1" xfId="0" applyFont="true" applyBorder="true" applyAlignment="true" applyProtection="false">
      <alignment horizontal="center" vertical="center" textRotation="0" wrapText="false" indent="0" shrinkToFit="false"/>
      <protection locked="true" hidden="false"/>
    </xf>
    <xf numFmtId="164" fontId="65" fillId="6" borderId="1" xfId="0" applyFont="true" applyBorder="true" applyAlignment="true" applyProtection="false">
      <alignment horizontal="center" vertical="center" textRotation="0" wrapText="false" indent="0" shrinkToFit="false"/>
      <protection locked="true" hidden="false"/>
    </xf>
    <xf numFmtId="164" fontId="66" fillId="6" borderId="1" xfId="0" applyFont="true" applyBorder="true" applyAlignment="true" applyProtection="false">
      <alignment horizontal="center" vertical="center" textRotation="0" wrapText="false" indent="0" shrinkToFit="false"/>
      <protection locked="true" hidden="false"/>
    </xf>
    <xf numFmtId="164" fontId="22" fillId="6" borderId="1" xfId="0" applyFont="true" applyBorder="true" applyAlignment="true" applyProtection="false">
      <alignment horizontal="left" vertical="center" textRotation="0" wrapText="false" indent="0" shrinkToFit="false"/>
      <protection locked="true" hidden="false"/>
    </xf>
    <xf numFmtId="164" fontId="67" fillId="6" borderId="1" xfId="0" applyFont="true" applyBorder="true" applyAlignment="true" applyProtection="false">
      <alignment horizontal="left" vertical="top" textRotation="0" wrapText="true" indent="0" shrinkToFit="false"/>
      <protection locked="true" hidden="false"/>
    </xf>
    <xf numFmtId="164" fontId="66" fillId="6" borderId="1" xfId="0" applyFont="true" applyBorder="true" applyAlignment="true" applyProtection="false">
      <alignment horizontal="left" vertical="center" textRotation="0" wrapText="true" indent="0" shrinkToFit="false"/>
      <protection locked="true" hidden="false"/>
    </xf>
    <xf numFmtId="164" fontId="68" fillId="6" borderId="1" xfId="0" applyFont="true" applyBorder="true" applyAlignment="true" applyProtection="false">
      <alignment horizontal="center" vertical="center" textRotation="0" wrapText="true" indent="0" shrinkToFit="false"/>
      <protection locked="true" hidden="false"/>
    </xf>
    <xf numFmtId="170" fontId="66" fillId="6" borderId="1" xfId="0" applyFont="true" applyBorder="true" applyAlignment="true" applyProtection="false">
      <alignment horizontal="left" vertical="center" textRotation="0" wrapText="true" indent="0" shrinkToFit="false"/>
      <protection locked="true" hidden="false"/>
    </xf>
    <xf numFmtId="164" fontId="65" fillId="5" borderId="1" xfId="0" applyFont="true" applyBorder="true" applyAlignment="true" applyProtection="false">
      <alignment horizontal="center" vertical="center" textRotation="0" wrapText="true" indent="0" shrinkToFit="false"/>
      <protection locked="true" hidden="false"/>
    </xf>
    <xf numFmtId="164" fontId="66" fillId="5"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69" fillId="5" borderId="1" xfId="0" applyFont="true" applyBorder="true" applyAlignment="true" applyProtection="false">
      <alignment horizontal="left" vertical="center" textRotation="0" wrapText="true" indent="0" shrinkToFit="false"/>
      <protection locked="true" hidden="false"/>
    </xf>
    <xf numFmtId="164" fontId="20" fillId="4" borderId="1" xfId="0" applyFont="true" applyBorder="true" applyAlignment="true" applyProtection="false">
      <alignment horizontal="center" vertical="center" textRotation="0" wrapText="false" indent="0" shrinkToFit="false"/>
      <protection locked="true" hidden="false"/>
    </xf>
    <xf numFmtId="164" fontId="37" fillId="33" borderId="1" xfId="0" applyFont="true" applyBorder="true" applyAlignment="true" applyProtection="false">
      <alignment horizontal="center" vertical="center" textRotation="0" wrapText="false" indent="0" shrinkToFit="false"/>
      <protection locked="true" hidden="false"/>
    </xf>
    <xf numFmtId="164" fontId="11" fillId="33" borderId="1" xfId="0" applyFont="true" applyBorder="true" applyAlignment="true" applyProtection="false">
      <alignment horizontal="left" vertical="center" textRotation="0" wrapText="true" indent="0" shrinkToFit="false"/>
      <protection locked="true" hidden="false"/>
    </xf>
    <xf numFmtId="164" fontId="70" fillId="14" borderId="1" xfId="0" applyFont="true" applyBorder="true" applyAlignment="true" applyProtection="false">
      <alignment horizontal="center" vertical="center" textRotation="0" wrapText="true" indent="0" shrinkToFit="false"/>
      <protection locked="true" hidden="false"/>
    </xf>
    <xf numFmtId="164" fontId="38" fillId="34" borderId="1" xfId="0" applyFont="true" applyBorder="true" applyAlignment="true" applyProtection="false">
      <alignment horizontal="left" vertical="top" textRotation="0" wrapText="true" indent="0" shrinkToFit="false"/>
      <protection locked="true" hidden="false"/>
    </xf>
    <xf numFmtId="164" fontId="71" fillId="34" borderId="1" xfId="0" applyFont="true" applyBorder="true" applyAlignment="true" applyProtection="false">
      <alignment horizontal="left" vertical="top" textRotation="0" wrapText="true" indent="0" shrinkToFit="false"/>
      <protection locked="true" hidden="false"/>
    </xf>
    <xf numFmtId="164" fontId="72" fillId="12" borderId="1" xfId="0" applyFont="true" applyBorder="true" applyAlignment="true" applyProtection="false">
      <alignment horizontal="left" vertical="top" textRotation="0" wrapText="true" indent="0" shrinkToFit="false"/>
      <protection locked="true" hidden="false"/>
    </xf>
    <xf numFmtId="164" fontId="37" fillId="10" borderId="1" xfId="0" applyFont="true" applyBorder="true" applyAlignment="true" applyProtection="false">
      <alignment horizontal="center" vertical="center" textRotation="0" wrapText="false" indent="0" shrinkToFit="false"/>
      <protection locked="true" hidden="false"/>
    </xf>
    <xf numFmtId="164" fontId="11" fillId="10" borderId="1" xfId="0" applyFont="true" applyBorder="true" applyAlignment="true" applyProtection="false">
      <alignment horizontal="left" vertical="center" textRotation="0" wrapText="true" indent="0" shrinkToFit="false"/>
      <protection locked="true" hidden="false"/>
    </xf>
    <xf numFmtId="164" fontId="73" fillId="22" borderId="1" xfId="0" applyFont="true" applyBorder="true" applyAlignment="true" applyProtection="false">
      <alignment horizontal="center" vertical="center" textRotation="0" wrapText="true" indent="0" shrinkToFit="false"/>
      <protection locked="true" hidden="false"/>
    </xf>
    <xf numFmtId="164" fontId="38" fillId="6" borderId="1" xfId="0" applyFont="true" applyBorder="true" applyAlignment="true" applyProtection="false">
      <alignment horizontal="left" vertical="top" textRotation="0" wrapText="true" indent="0" shrinkToFit="false"/>
      <protection locked="true" hidden="false"/>
    </xf>
    <xf numFmtId="164" fontId="71" fillId="12" borderId="1" xfId="0" applyFont="true" applyBorder="true" applyAlignment="true" applyProtection="false">
      <alignment horizontal="left" vertical="top" textRotation="0" wrapText="true" indent="0" shrinkToFit="false"/>
      <protection locked="true" hidden="false"/>
    </xf>
    <xf numFmtId="164" fontId="72" fillId="14" borderId="1" xfId="0" applyFont="true" applyBorder="true" applyAlignment="true" applyProtection="false">
      <alignment horizontal="left" vertical="top" textRotation="0" wrapText="true" indent="0" shrinkToFit="false"/>
      <protection locked="true" hidden="false"/>
    </xf>
    <xf numFmtId="164" fontId="37" fillId="17" borderId="1" xfId="0" applyFont="true" applyBorder="true" applyAlignment="true" applyProtection="false">
      <alignment horizontal="center" vertical="center" textRotation="0" wrapText="false" indent="0" shrinkToFit="false"/>
      <protection locked="true" hidden="false"/>
    </xf>
    <xf numFmtId="164" fontId="11" fillId="17" borderId="1" xfId="0" applyFont="true" applyBorder="true" applyAlignment="true" applyProtection="false">
      <alignment horizontal="left" vertical="center" textRotation="0" wrapText="true" indent="0" shrinkToFit="false"/>
      <protection locked="true" hidden="false"/>
    </xf>
    <xf numFmtId="164" fontId="74" fillId="8" borderId="1" xfId="0" applyFont="true" applyBorder="true" applyAlignment="true" applyProtection="false">
      <alignment horizontal="center" vertical="center" textRotation="0" wrapText="true" indent="0" shrinkToFit="false"/>
      <protection locked="true" hidden="false"/>
    </xf>
    <xf numFmtId="164" fontId="37" fillId="3"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75" fillId="9" borderId="1" xfId="0" applyFont="true" applyBorder="true" applyAlignment="true" applyProtection="false">
      <alignment horizontal="center" vertical="center" textRotation="0" wrapText="true" indent="0" shrinkToFit="false"/>
      <protection locked="true" hidden="false"/>
    </xf>
    <xf numFmtId="164" fontId="65" fillId="6" borderId="1" xfId="0" applyFont="true" applyBorder="true" applyAlignment="true" applyProtection="false">
      <alignment horizontal="center" vertical="center" textRotation="0" wrapText="true" indent="0" shrinkToFit="false"/>
      <protection locked="true" hidden="false"/>
    </xf>
    <xf numFmtId="164" fontId="66" fillId="6"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xf numFmtId="164" fontId="37" fillId="4" borderId="1" xfId="0" applyFont="true" applyBorder="true" applyAlignment="true" applyProtection="false">
      <alignment horizontal="center" vertical="center" textRotation="0" wrapText="false" indent="0" shrinkToFit="false"/>
      <protection locked="true" hidden="false"/>
    </xf>
    <xf numFmtId="164" fontId="11" fillId="10" borderId="1" xfId="0" applyFont="true" applyBorder="true" applyAlignment="true" applyProtection="false">
      <alignment horizontal="center" vertical="center" textRotation="0" wrapText="false" indent="0" shrinkToFit="false"/>
      <protection locked="true" hidden="false"/>
    </xf>
    <xf numFmtId="164" fontId="76" fillId="5" borderId="1" xfId="0" applyFont="true" applyBorder="true" applyAlignment="true" applyProtection="false">
      <alignment horizontal="left" vertical="center" textRotation="0" wrapText="true" indent="0" shrinkToFit="false"/>
      <protection locked="true" hidden="false"/>
    </xf>
    <xf numFmtId="164" fontId="76" fillId="6" borderId="1" xfId="0" applyFont="true" applyBorder="true" applyAlignment="true" applyProtection="false">
      <alignment horizontal="left" vertical="center" textRotation="0" wrapText="true" indent="0" shrinkToFit="false"/>
      <protection locked="true" hidden="false"/>
    </xf>
    <xf numFmtId="164" fontId="52" fillId="12" borderId="3" xfId="0" applyFont="true" applyBorder="true" applyAlignment="true" applyProtection="false">
      <alignment horizontal="general" vertical="center" textRotation="0" wrapText="false" indent="0" shrinkToFit="false"/>
      <protection locked="true" hidden="false"/>
    </xf>
    <xf numFmtId="164" fontId="52" fillId="12" borderId="4" xfId="0" applyFont="true" applyBorder="true" applyAlignment="true" applyProtection="false">
      <alignment horizontal="general" vertical="center" textRotation="0" wrapText="false" indent="0" shrinkToFit="false"/>
      <protection locked="true" hidden="false"/>
    </xf>
    <xf numFmtId="164" fontId="52" fillId="12" borderId="5" xfId="0" applyFont="true" applyBorder="true" applyAlignment="true" applyProtection="false">
      <alignment horizontal="general" vertical="center" textRotation="0" wrapText="false" indent="0" shrinkToFit="false"/>
      <protection locked="true" hidden="false"/>
    </xf>
    <xf numFmtId="164" fontId="44" fillId="2" borderId="0" xfId="0" applyFont="true" applyBorder="true" applyAlignment="true" applyProtection="false">
      <alignment horizontal="left" vertical="center" textRotation="0" wrapText="false" indent="0" shrinkToFit="false"/>
      <protection locked="true" hidden="false"/>
    </xf>
    <xf numFmtId="164" fontId="38" fillId="35" borderId="0" xfId="0" applyFont="true" applyBorder="true" applyAlignment="true" applyProtection="false">
      <alignment horizontal="left"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left" vertical="center" textRotation="0" wrapText="true" indent="0" shrinkToFit="false"/>
      <protection locked="true" hidden="false"/>
    </xf>
    <xf numFmtId="164" fontId="37" fillId="2" borderId="0" xfId="0" applyFont="true" applyBorder="true" applyAlignment="true" applyProtection="false">
      <alignment horizontal="left" vertical="center" textRotation="0" wrapText="false" indent="0" shrinkToFit="false"/>
      <protection locked="true" hidden="false"/>
    </xf>
    <xf numFmtId="164" fontId="22" fillId="36" borderId="1" xfId="0" applyFont="true" applyBorder="true" applyAlignment="true" applyProtection="false">
      <alignment horizontal="left" vertical="center" textRotation="0" wrapText="true" indent="0" shrinkToFit="false"/>
      <protection locked="true" hidden="false"/>
    </xf>
    <xf numFmtId="164" fontId="11" fillId="37" borderId="1" xfId="0" applyFont="true" applyBorder="true" applyAlignment="true" applyProtection="false">
      <alignment horizontal="left" vertical="center" textRotation="0" wrapText="false" indent="0" shrinkToFit="false"/>
      <protection locked="true" hidden="false"/>
    </xf>
    <xf numFmtId="164" fontId="38" fillId="6" borderId="1" xfId="0" applyFont="true" applyBorder="true" applyAlignment="true" applyProtection="false">
      <alignment horizontal="left" vertical="center" textRotation="0" wrapText="true" indent="0" shrinkToFit="false"/>
      <protection locked="true" hidden="false"/>
    </xf>
    <xf numFmtId="164" fontId="28" fillId="36" borderId="1" xfId="0" applyFont="true" applyBorder="true" applyAlignment="true" applyProtection="false">
      <alignment horizontal="left" vertical="center" textRotation="0" wrapText="true" indent="0" shrinkToFit="false"/>
      <protection locked="true" hidden="false"/>
    </xf>
    <xf numFmtId="164" fontId="11" fillId="38" borderId="1" xfId="0" applyFont="true" applyBorder="true" applyAlignment="true" applyProtection="false">
      <alignment horizontal="left" vertical="center" textRotation="0" wrapText="false" indent="0" shrinkToFit="false"/>
      <protection locked="true" hidden="false"/>
    </xf>
    <xf numFmtId="164" fontId="38" fillId="5" borderId="1" xfId="0" applyFont="true" applyBorder="true" applyAlignment="true" applyProtection="false">
      <alignment horizontal="left" vertical="center" textRotation="0" wrapText="true" indent="0" shrinkToFit="false"/>
      <protection locked="true" hidden="false"/>
    </xf>
    <xf numFmtId="164" fontId="11" fillId="39" borderId="1" xfId="0" applyFont="true" applyBorder="true" applyAlignment="true" applyProtection="false">
      <alignment horizontal="left" vertical="center" textRotation="0" wrapText="false" indent="0" shrinkToFit="false"/>
      <protection locked="true" hidden="false"/>
    </xf>
    <xf numFmtId="164" fontId="11" fillId="40" borderId="1" xfId="0" applyFont="true" applyBorder="true" applyAlignment="true" applyProtection="false">
      <alignment horizontal="left" vertical="center" textRotation="0" wrapText="false" indent="0" shrinkToFit="false"/>
      <protection locked="true" hidden="false"/>
    </xf>
    <xf numFmtId="164" fontId="11" fillId="33" borderId="1" xfId="0" applyFont="true" applyBorder="true" applyAlignment="true" applyProtection="false">
      <alignment horizontal="left" vertical="center" textRotation="0" wrapText="false" indent="0" shrinkToFit="false"/>
      <protection locked="true" hidden="false"/>
    </xf>
    <xf numFmtId="164" fontId="22" fillId="41" borderId="1" xfId="0" applyFont="true" applyBorder="true" applyAlignment="true" applyProtection="false">
      <alignment horizontal="left" vertical="center" textRotation="0" wrapText="true" indent="0" shrinkToFit="false"/>
      <protection locked="true" hidden="false"/>
    </xf>
    <xf numFmtId="164" fontId="28" fillId="41" borderId="1" xfId="0" applyFont="true" applyBorder="true" applyAlignment="true" applyProtection="false">
      <alignment horizontal="left" vertical="center" textRotation="0" wrapText="true" indent="0" shrinkToFit="false"/>
      <protection locked="true" hidden="false"/>
    </xf>
    <xf numFmtId="164" fontId="7" fillId="7" borderId="0" xfId="0" applyFont="true" applyBorder="true" applyAlignment="true" applyProtection="false">
      <alignment horizontal="left" vertical="top" textRotation="0" wrapText="true" indent="0" shrinkToFit="false"/>
      <protection locked="true" hidden="false"/>
    </xf>
    <xf numFmtId="167" fontId="7" fillId="7" borderId="0" xfId="0" applyFont="true" applyBorder="true" applyAlignment="true" applyProtection="false">
      <alignment horizontal="center" vertical="top" textRotation="0" wrapText="true" indent="0" shrinkToFit="false"/>
      <protection locked="true" hidden="false"/>
    </xf>
    <xf numFmtId="167" fontId="77" fillId="5" borderId="0" xfId="0" applyFont="true" applyBorder="true" applyAlignment="true" applyProtection="false">
      <alignment horizontal="center" vertical="top" textRotation="0" wrapText="true" indent="0" shrinkToFit="false"/>
      <protection locked="true" hidden="false"/>
    </xf>
    <xf numFmtId="167" fontId="77" fillId="6" borderId="0" xfId="0" applyFont="true" applyBorder="true" applyAlignment="true" applyProtection="false">
      <alignment horizontal="center" vertical="top" textRotation="0" wrapText="true" indent="0" shrinkToFit="false"/>
      <protection locked="true" hidden="false"/>
    </xf>
    <xf numFmtId="164" fontId="9" fillId="2" borderId="0"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8" fillId="4" borderId="0" xfId="0" applyFont="true" applyBorder="true" applyAlignment="false" applyProtection="false">
      <alignment horizontal="general" vertical="bottom" textRotation="0" wrapText="false" indent="0" shrinkToFit="false"/>
      <protection locked="true" hidden="false"/>
    </xf>
    <xf numFmtId="164" fontId="79" fillId="4" borderId="0" xfId="0" applyFont="true" applyBorder="true" applyAlignment="true" applyProtection="false">
      <alignment horizontal="center" vertical="center" textRotation="0" wrapText="true" indent="0" shrinkToFit="false"/>
      <protection locked="true" hidden="false"/>
    </xf>
    <xf numFmtId="164" fontId="80" fillId="5" borderId="0" xfId="0" applyFont="true" applyBorder="true" applyAlignment="false" applyProtection="false">
      <alignment horizontal="general" vertical="bottom" textRotation="0" wrapText="false" indent="0" shrinkToFit="false"/>
      <protection locked="true" hidden="false"/>
    </xf>
    <xf numFmtId="164" fontId="81" fillId="5" borderId="0" xfId="0" applyFont="true" applyBorder="true" applyAlignment="true" applyProtection="false">
      <alignment horizontal="center" vertical="center" textRotation="0" wrapText="false" indent="0" shrinkToFit="false"/>
      <protection locked="true" hidden="false"/>
    </xf>
    <xf numFmtId="164" fontId="80" fillId="6" borderId="0" xfId="0" applyFont="true" applyBorder="true" applyAlignment="false" applyProtection="false">
      <alignment horizontal="general" vertical="bottom" textRotation="0" wrapText="false" indent="0" shrinkToFit="false"/>
      <protection locked="true" hidden="false"/>
    </xf>
    <xf numFmtId="164" fontId="81" fillId="6" borderId="0" xfId="0" applyFont="true" applyBorder="true" applyAlignment="true" applyProtection="false">
      <alignment horizontal="center" vertical="center" textRotation="0" wrapText="false" indent="0" shrinkToFit="false"/>
      <protection locked="true" hidden="false"/>
    </xf>
    <xf numFmtId="164" fontId="78" fillId="17" borderId="0" xfId="0" applyFont="true" applyBorder="true" applyAlignment="true" applyProtection="false">
      <alignment horizontal="center" vertical="center" textRotation="0" wrapText="false" indent="0" shrinkToFit="false"/>
      <protection locked="true" hidden="false"/>
    </xf>
    <xf numFmtId="164" fontId="82" fillId="5" borderId="0" xfId="0" applyFont="true" applyBorder="true" applyAlignment="false" applyProtection="false">
      <alignment horizontal="general" vertical="bottom" textRotation="0" wrapText="false" indent="0" shrinkToFit="false"/>
      <protection locked="true" hidden="false"/>
    </xf>
    <xf numFmtId="164" fontId="83" fillId="5" borderId="0" xfId="0" applyFont="true" applyBorder="true" applyAlignment="true" applyProtection="false">
      <alignment horizontal="center" vertical="center" textRotation="0" wrapText="false" indent="0" shrinkToFit="false"/>
      <protection locked="true" hidden="false"/>
    </xf>
    <xf numFmtId="164" fontId="82" fillId="6" borderId="0" xfId="0" applyFont="true" applyBorder="true" applyAlignment="false" applyProtection="false">
      <alignment horizontal="general" vertical="bottom" textRotation="0" wrapText="false" indent="0" shrinkToFit="false"/>
      <protection locked="true" hidden="false"/>
    </xf>
    <xf numFmtId="164" fontId="83" fillId="6" borderId="0" xfId="0" applyFont="true" applyBorder="true" applyAlignment="true" applyProtection="false">
      <alignment horizontal="center" vertical="center" textRotation="0" wrapText="false" indent="0" shrinkToFit="false"/>
      <protection locked="true" hidden="false"/>
    </xf>
    <xf numFmtId="164" fontId="11" fillId="17" borderId="0" xfId="0" applyFont="true" applyBorder="true" applyAlignment="true" applyProtection="false">
      <alignment horizontal="center" vertical="center" textRotation="0" wrapText="false" indent="0" shrinkToFit="false"/>
      <protection locked="true" hidden="false"/>
    </xf>
  </cellXfs>
  <cellStyles count="45">
    <cellStyle name="Normal" xfId="0" builtinId="0"/>
    <cellStyle name="Comma" xfId="15" builtinId="3"/>
    <cellStyle name="Comma [0]" xfId="16" builtinId="6"/>
    <cellStyle name="Currency" xfId="17" builtinId="4"/>
    <cellStyle name="Currency [0]" xfId="18" builtinId="7"/>
    <cellStyle name="Percent" xfId="19" builtinId="5"/>
    <cellStyle name="Normal 10" xfId="20"/>
    <cellStyle name="Normal 11" xfId="21"/>
    <cellStyle name="Normal 12" xfId="22"/>
    <cellStyle name="Normal 13" xfId="23"/>
    <cellStyle name="Normal 14" xfId="24"/>
    <cellStyle name="Normal 15" xfId="25"/>
    <cellStyle name="Normal 16" xfId="26"/>
    <cellStyle name="Normal 17" xfId="27"/>
    <cellStyle name="Normal 18" xfId="28"/>
    <cellStyle name="Normal 19" xfId="29"/>
    <cellStyle name="Normal 2" xfId="30"/>
    <cellStyle name="Normal 20" xfId="31"/>
    <cellStyle name="Normal 21" xfId="32"/>
    <cellStyle name="Normal 22" xfId="33"/>
    <cellStyle name="Normal 23" xfId="34"/>
    <cellStyle name="Normal 24" xfId="35"/>
    <cellStyle name="Normal 25" xfId="36"/>
    <cellStyle name="Normal 26" xfId="37"/>
    <cellStyle name="Normal 27" xfId="38"/>
    <cellStyle name="Normal 28" xfId="39"/>
    <cellStyle name="Normal 29" xfId="40"/>
    <cellStyle name="Normal 3" xfId="41"/>
    <cellStyle name="Normal 30" xfId="42"/>
    <cellStyle name="Normal 31" xfId="43"/>
    <cellStyle name="Normal 32" xfId="44"/>
    <cellStyle name="Normal 33" xfId="45"/>
    <cellStyle name="Normal 34" xfId="46"/>
    <cellStyle name="Normal 35" xfId="47"/>
    <cellStyle name="Normal 36" xfId="48"/>
    <cellStyle name="Normal 37" xfId="49"/>
    <cellStyle name="Normal 38" xfId="50"/>
    <cellStyle name="Normal 39" xfId="51"/>
    <cellStyle name="Normal 4" xfId="52"/>
    <cellStyle name="Normal 40" xfId="53"/>
    <cellStyle name="Normal 5" xfId="54"/>
    <cellStyle name="Normal 6" xfId="55"/>
    <cellStyle name="Normal 7" xfId="56"/>
    <cellStyle name="Normal 8" xfId="57"/>
    <cellStyle name="Normal 9" xfId="58"/>
  </cellStyles>
  <dxfs count="40">
    <dxf>
      <font>
        <name val="Calibri"/>
        <charset val="1"/>
        <family val="0"/>
        <color rgb="FF1B5E20"/>
      </font>
      <fill>
        <patternFill>
          <bgColor rgb="FFE8F5E9"/>
        </patternFill>
      </fill>
    </dxf>
    <dxf>
      <font>
        <name val="Calibri"/>
        <charset val="1"/>
        <family val="0"/>
        <b val="1"/>
        <color rgb="FFB71C1C"/>
      </font>
      <fill>
        <patternFill>
          <bgColor rgb="FFFFEBEE"/>
        </patternFill>
      </fill>
    </dxf>
    <dxf>
      <font>
        <name val="Calibri"/>
        <charset val="1"/>
        <family val="0"/>
        <i val="1"/>
        <color rgb="FF999999"/>
      </font>
      <fill>
        <patternFill>
          <bgColor rgb="FFF5F5F5"/>
        </patternFill>
      </fill>
    </dxf>
    <dxf>
      <fill>
        <patternFill patternType="solid">
          <fgColor rgb="FF002060"/>
          <bgColor rgb="FF000000"/>
        </patternFill>
      </fill>
    </dxf>
    <dxf>
      <fill>
        <patternFill patternType="solid">
          <fgColor rgb="FFDEDEDE"/>
          <bgColor rgb="FF000000"/>
        </patternFill>
      </fill>
    </dxf>
    <dxf>
      <fill>
        <patternFill patternType="solid">
          <fgColor rgb="FFAAAAAA"/>
          <bgColor rgb="FF000000"/>
        </patternFill>
      </fill>
    </dxf>
    <dxf>
      <fill>
        <patternFill patternType="solid">
          <fgColor rgb="FFED7D31"/>
          <bgColor rgb="FF000000"/>
        </patternFill>
      </fill>
    </dxf>
    <dxf>
      <fill>
        <patternFill patternType="solid">
          <fgColor rgb="FFFFFFFF"/>
          <bgColor rgb="FF000000"/>
        </patternFill>
      </fill>
    </dxf>
    <dxf>
      <fill>
        <patternFill patternType="solid">
          <fgColor rgb="FFFBE5D6"/>
          <bgColor rgb="FF000000"/>
        </patternFill>
      </fill>
    </dxf>
    <dxf>
      <fill>
        <patternFill patternType="solid">
          <fgColor rgb="FFFFF2E0"/>
          <bgColor rgb="FF000000"/>
        </patternFill>
      </fill>
    </dxf>
    <dxf>
      <fill>
        <patternFill patternType="solid">
          <bgColor rgb="FF000000"/>
        </patternFill>
      </fill>
    </dxf>
    <dxf>
      <fill>
        <patternFill patternType="solid">
          <fgColor rgb="FFF2F4F7"/>
          <bgColor rgb="FF000000"/>
        </patternFill>
      </fill>
    </dxf>
    <dxf>
      <fill>
        <patternFill patternType="solid">
          <fgColor rgb="FFE3EDF8"/>
          <bgColor rgb="FF000000"/>
        </patternFill>
      </fill>
    </dxf>
    <dxf>
      <fill>
        <patternFill patternType="solid">
          <fgColor rgb="FFECF4FB"/>
          <bgColor rgb="FF000000"/>
        </patternFill>
      </fill>
    </dxf>
    <dxf>
      <fill>
        <patternFill patternType="solid">
          <fgColor rgb="FFECEFF3"/>
          <bgColor rgb="FF000000"/>
        </patternFill>
      </fill>
    </dxf>
    <dxf>
      <fill>
        <patternFill patternType="solid">
          <fgColor rgb="FFFFCDD2"/>
          <bgColor rgb="FF000000"/>
        </patternFill>
      </fill>
    </dxf>
    <dxf>
      <fill>
        <patternFill patternType="solid">
          <fgColor rgb="FFFFE0B2"/>
          <bgColor rgb="FF000000"/>
        </patternFill>
      </fill>
    </dxf>
    <dxf>
      <fill>
        <patternFill patternType="solid">
          <fgColor rgb="FFB71C1C"/>
          <bgColor rgb="FF000000"/>
        </patternFill>
      </fill>
    </dxf>
    <dxf>
      <fill>
        <patternFill patternType="solid">
          <fgColor rgb="FFBF360C"/>
          <bgColor rgb="FF000000"/>
        </patternFill>
      </fill>
    </dxf>
    <dxf>
      <fill>
        <patternFill patternType="solid">
          <fgColor rgb="FFE05A1E"/>
          <bgColor rgb="FF000000"/>
        </patternFill>
      </fill>
    </dxf>
    <dxf>
      <fill>
        <patternFill patternType="solid">
          <fgColor rgb="FFFFF8E1"/>
          <bgColor rgb="FF000000"/>
        </patternFill>
      </fill>
    </dxf>
    <dxf>
      <fill>
        <patternFill patternType="solid">
          <fgColor rgb="FF827717"/>
          <bgColor rgb="FF000000"/>
        </patternFill>
      </fill>
    </dxf>
    <dxf>
      <fill>
        <patternFill patternType="solid">
          <fgColor rgb="FFE8F5E8"/>
          <bgColor rgb="FF000000"/>
        </patternFill>
      </fill>
    </dxf>
    <dxf>
      <fill>
        <patternFill patternType="solid">
          <fgColor rgb="FFF0F8F0"/>
          <bgColor rgb="FF000000"/>
        </patternFill>
      </fill>
    </dxf>
    <dxf>
      <fill>
        <patternFill patternType="solid">
          <fgColor rgb="FF1A5E3A"/>
          <bgColor rgb="FF000000"/>
        </patternFill>
      </fill>
    </dxf>
    <dxf>
      <fill>
        <patternFill patternType="solid">
          <fgColor rgb="FF555555"/>
          <bgColor rgb="FF000000"/>
        </patternFill>
      </fill>
    </dxf>
    <dxf>
      <font>
        <name val="Calibri"/>
        <charset val="1"/>
        <family val="0"/>
        <i val="1"/>
        <color rgb="FFAAAAAA"/>
        <sz val="9"/>
      </font>
      <fill>
        <patternFill>
          <bgColor rgb="FFDEDEDE"/>
        </patternFill>
      </fill>
    </dxf>
    <dxf>
      <font>
        <name val="Calibri"/>
        <charset val="1"/>
        <family val="0"/>
        <b val="1"/>
        <color rgb="FFB71C1C"/>
        <sz val="12"/>
      </font>
      <fill>
        <patternFill>
          <bgColor rgb="FFFFCDD2"/>
        </patternFill>
      </fill>
    </dxf>
    <dxf>
      <font>
        <name val="Calibri"/>
        <charset val="1"/>
        <family val="0"/>
        <b val="1"/>
        <color rgb="FFBF360C"/>
        <sz val="12"/>
      </font>
      <fill>
        <patternFill>
          <bgColor rgb="FFFFE0B2"/>
        </patternFill>
      </fill>
    </dxf>
    <dxf>
      <font>
        <name val="Calibri"/>
        <charset val="1"/>
        <family val="0"/>
        <b val="1"/>
        <color rgb="FF827717"/>
        <sz val="12"/>
      </font>
      <fill>
        <patternFill>
          <bgColor rgb="FFFFFDE7"/>
        </patternFill>
      </fill>
    </dxf>
    <dxf>
      <font>
        <name val="Calibri"/>
        <charset val="1"/>
        <family val="0"/>
        <b val="1"/>
        <color rgb="FF1B5E20"/>
        <sz val="12"/>
      </font>
      <fill>
        <patternFill>
          <bgColor rgb="FFE8F5E9"/>
        </patternFill>
      </fill>
    </dxf>
    <dxf>
      <font>
        <name val="Calibri"/>
        <charset val="1"/>
        <family val="0"/>
        <b val="1"/>
        <color rgb="FF0D47A1"/>
        <sz val="12"/>
      </font>
      <fill>
        <patternFill>
          <bgColor rgb="FFDDEEFF"/>
        </patternFill>
      </fill>
    </dxf>
    <dxf>
      <font>
        <name val="Calibri"/>
        <charset val="1"/>
        <family val="0"/>
        <b val="1"/>
        <color rgb="FFB71C1C"/>
      </font>
      <fill>
        <patternFill>
          <bgColor rgb="FFFFCDD2"/>
        </patternFill>
      </fill>
    </dxf>
    <dxf>
      <font>
        <name val="Calibri"/>
        <charset val="1"/>
        <family val="0"/>
        <b val="1"/>
        <color rgb="FF827717"/>
      </font>
      <fill>
        <patternFill>
          <bgColor rgb="FFFFF8E1"/>
        </patternFill>
      </fill>
    </dxf>
    <dxf>
      <font>
        <name val="Calibri"/>
        <charset val="1"/>
        <family val="0"/>
        <b val="1"/>
        <color rgb="FF1B5E20"/>
      </font>
      <fill>
        <patternFill>
          <bgColor rgb="FFE8F5E9"/>
        </patternFill>
      </fill>
    </dxf>
    <dxf>
      <font>
        <name val="Calibri"/>
        <charset val="1"/>
        <family val="0"/>
        <i val="1"/>
        <color rgb="FF827717"/>
      </font>
      <fill>
        <patternFill>
          <bgColor rgb="FFFFFDE7"/>
        </patternFill>
      </fill>
    </dxf>
    <dxf>
      <font>
        <name val="Calibri"/>
        <charset val="1"/>
        <family val="0"/>
        <i val="1"/>
        <color rgb="FFAAAAAA"/>
      </font>
      <fill>
        <patternFill>
          <bgColor rgb="FFEEEEEE"/>
        </patternFill>
      </fill>
    </dxf>
    <dxf>
      <font>
        <name val="Calibri"/>
        <charset val="1"/>
        <family val="0"/>
        <i val="1"/>
        <color rgb="FFAAAAAA"/>
        <sz val="9"/>
      </font>
      <fill>
        <patternFill>
          <bgColor rgb="FFE0E0E0"/>
        </patternFill>
      </fill>
    </dxf>
    <dxf>
      <fill>
        <patternFill patternType="solid">
          <fgColor rgb="FFFFFDE7"/>
          <bgColor rgb="FF000000"/>
        </patternFill>
      </fill>
    </dxf>
    <dxf>
      <fill>
        <patternFill patternType="solid">
          <fgColor rgb="FF1B3A6B"/>
          <bgColor rgb="FF000000"/>
        </patternFill>
      </fill>
    </dxf>
  </dxfs>
  <colors>
    <indexedColors>
      <rgbColor rgb="FF000000"/>
      <rgbColor rgb="FFFFFFFF"/>
      <rgbColor rgb="FFDC3545"/>
      <rgbColor rgb="FFF0FAF0"/>
      <rgbColor rgb="FFF8F9FA"/>
      <rgbColor rgb="FFFBE5D6"/>
      <rgbColor rgb="FFFFEBEE"/>
      <rgbColor rgb="FFEAF3FB"/>
      <rgbColor rgb="FFE05A1E"/>
      <rgbColor rgb="FF1B5E20"/>
      <rgbColor rgb="FFFFF8E7"/>
      <rgbColor rgb="FF827717"/>
      <rgbColor rgb="FFF2F4F7"/>
      <rgbColor rgb="FF11603C"/>
      <rgbColor rgb="FFCCCCCC"/>
      <rgbColor rgb="FF808080"/>
      <rgbColor rgb="FFAAAAAA"/>
      <rgbColor rgb="FFB71C1C"/>
      <rgbColor rgb="FFFFF8E1"/>
      <rgbColor rgb="FFDDEEFF"/>
      <rgbColor rgb="FF4A1580"/>
      <rgbColor rgb="FFED7D31"/>
      <rgbColor rgb="FF0D47A1"/>
      <rgbColor rgb="FFDEDEDE"/>
      <rgbColor rgb="FFFFFDF0"/>
      <rgbColor rgb="FFF0F2F5"/>
      <rgbColor rgb="FFFFFDE7"/>
      <rgbColor rgb="FFEBF4FB"/>
      <rgbColor rgb="FFFFF3EC"/>
      <rgbColor rgb="FFF5F5F5"/>
      <rgbColor rgb="FFECF4FB"/>
      <rgbColor rgb="FFFFF8F2"/>
      <rgbColor rgb="FFECEFF3"/>
      <rgbColor rgb="FFE3F5E7"/>
      <rgbColor rgb="FFE8F5E9"/>
      <rgbColor rgb="FFFFF2E0"/>
      <rgbColor rgb="FFD6E9F8"/>
      <rgbColor rgb="FFFFCDD2"/>
      <rgbColor rgb="FFE0E0E0"/>
      <rgbColor rgb="FFFFE0B2"/>
      <rgbColor rgb="FFEEEEEE"/>
      <rgbColor rgb="FFE3EDF8"/>
      <rgbColor rgb="FFE8ECF0"/>
      <rgbColor rgb="FFFFC107"/>
      <rgbColor rgb="FFFD7E14"/>
      <rgbColor rgb="FFFF7D0E"/>
      <rgbColor rgb="FF555555"/>
      <rgbColor rgb="FF999999"/>
      <rgbColor rgb="FF002060"/>
      <rgbColor rgb="FF24B55A"/>
      <rgbColor rgb="FFF0F8F0"/>
      <rgbColor rgb="FF856000"/>
      <rgbColor rgb="FFA32020"/>
      <rgbColor rgb="FFBF360C"/>
      <rgbColor rgb="FF1B3A6A"/>
      <rgbColor rgb="FF2D2D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_rels/sheet12.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6B"/>
    <pageSetUpPr fitToPage="false"/>
  </sheetPr>
  <dimension ref="A1:D28"/>
  <sheetViews>
    <sheetView showFormulas="false" showGridLines="false" showRowColHeaders="true" showZeros="true" rightToLeft="false" tabSelected="false" showOutlineSymbols="true" defaultGridColor="true" view="normal" topLeftCell="A1" colorId="64" zoomScale="95" zoomScaleNormal="95" zoomScalePageLayoutView="100" workbookViewId="0">
      <selection pane="topLeft" activeCell="B7" activeCellId="0" sqref="B7"/>
    </sheetView>
  </sheetViews>
  <sheetFormatPr defaultColWidth="8.66796875" defaultRowHeight="14.25"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3" min="3" style="1" width="88"/>
    <col collapsed="false" customWidth="true" hidden="false" outlineLevel="0" max="4" min="4" style="1" width="3"/>
  </cols>
  <sheetData>
    <row r="1" customFormat="false" ht="72" hidden="false" customHeight="true" outlineLevel="0" collapsed="false">
      <c r="A1" s="2" t="s">
        <v>0</v>
      </c>
      <c r="B1" s="2"/>
      <c r="C1" s="2"/>
      <c r="D1" s="2"/>
    </row>
    <row r="2" customFormat="false" ht="25.5" hidden="false" customHeight="true" outlineLevel="0" collapsed="false">
      <c r="A2" s="3" t="s">
        <v>1</v>
      </c>
      <c r="B2" s="3"/>
      <c r="C2" s="3"/>
      <c r="D2" s="3"/>
    </row>
    <row r="3" customFormat="false" ht="13.5" hidden="false" customHeight="true" outlineLevel="0" collapsed="false"/>
    <row r="4" customFormat="false" ht="192.75" hidden="false" customHeight="true" outlineLevel="0" collapsed="false">
      <c r="B4" s="4" t="s">
        <v>2</v>
      </c>
      <c r="C4" s="5" t="s">
        <v>3</v>
      </c>
    </row>
    <row r="6" customFormat="false" ht="13.5" hidden="false" customHeight="true" outlineLevel="0" collapsed="false"/>
    <row r="7" customFormat="false" ht="219.75" hidden="false" customHeight="true" outlineLevel="0" collapsed="false">
      <c r="B7" s="4" t="s">
        <v>4</v>
      </c>
      <c r="C7" s="5" t="s">
        <v>5</v>
      </c>
    </row>
    <row r="9" customFormat="false" ht="13.5" hidden="false" customHeight="true" outlineLevel="0" collapsed="false"/>
    <row r="10" customFormat="false" ht="157.5" hidden="false" customHeight="true" outlineLevel="0" collapsed="false">
      <c r="B10" s="4" t="s">
        <v>6</v>
      </c>
      <c r="C10" s="5" t="s">
        <v>7</v>
      </c>
    </row>
    <row r="12" customFormat="false" ht="13.5" hidden="false" customHeight="true" outlineLevel="0" collapsed="false"/>
    <row r="13" customFormat="false" ht="141" hidden="false" customHeight="true" outlineLevel="0" collapsed="false">
      <c r="B13" s="4" t="s">
        <v>8</v>
      </c>
      <c r="C13" s="5" t="s">
        <v>9</v>
      </c>
    </row>
    <row r="15" customFormat="false" ht="13.5" hidden="false" customHeight="true" outlineLevel="0" collapsed="false"/>
    <row r="16" customFormat="false" ht="84.75" hidden="false" customHeight="true" outlineLevel="0" collapsed="false">
      <c r="B16" s="4" t="s">
        <v>10</v>
      </c>
      <c r="C16" s="5" t="s">
        <v>11</v>
      </c>
    </row>
    <row r="18" customFormat="false" ht="13.5" hidden="false" customHeight="true" outlineLevel="0" collapsed="false"/>
    <row r="19" customFormat="false" ht="127.5" hidden="false" customHeight="true" outlineLevel="0" collapsed="false">
      <c r="B19" s="4" t="s">
        <v>12</v>
      </c>
      <c r="C19" s="5" t="s">
        <v>13</v>
      </c>
    </row>
    <row r="21" customFormat="false" ht="13.5" hidden="false" customHeight="true" outlineLevel="0" collapsed="false"/>
    <row r="22" customFormat="false" ht="219.75" hidden="false" customHeight="true" outlineLevel="0" collapsed="false">
      <c r="B22" s="4" t="s">
        <v>14</v>
      </c>
      <c r="C22" s="5" t="s">
        <v>15</v>
      </c>
    </row>
    <row r="24" customFormat="false" ht="13.5" hidden="false" customHeight="true" outlineLevel="0" collapsed="false"/>
    <row r="25" customFormat="false" ht="178.5" hidden="false" customHeight="true" outlineLevel="0" collapsed="false">
      <c r="B25" s="4" t="s">
        <v>16</v>
      </c>
      <c r="C25" s="5" t="s">
        <v>17</v>
      </c>
    </row>
    <row r="27" customFormat="false" ht="13.5" hidden="false" customHeight="true" outlineLevel="0" collapsed="false"/>
    <row r="28" customFormat="false" ht="60" hidden="false" customHeight="true" outlineLevel="0" collapsed="false">
      <c r="B28" s="4" t="s">
        <v>18</v>
      </c>
      <c r="C28" s="5" t="s">
        <v>19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G37"/>
  <sheetViews>
    <sheetView showFormulas="false" showGridLines="false" showRowColHeaders="true" showZeros="true" rightToLeft="false" tabSelected="false" showOutlineSymbols="true" defaultGridColor="true" view="normal" topLeftCell="A26" colorId="64" zoomScale="90" zoomScaleNormal="90" zoomScalePageLayoutView="100" workbookViewId="0">
      <selection pane="topLeft" activeCell="A5" activeCellId="0" sqref="A5"/>
    </sheetView>
  </sheetViews>
  <sheetFormatPr defaultColWidth="8.66796875" defaultRowHeight="14.25" zeroHeight="false" outlineLevelRow="0" outlineLevelCol="0"/>
  <cols>
    <col collapsed="false" customWidth="true" hidden="false" outlineLevel="0" max="1" min="1" style="1" width="3"/>
    <col collapsed="false" customWidth="true" hidden="false" outlineLevel="0" max="2" min="2" style="1" width="7"/>
    <col collapsed="false" customWidth="true" hidden="false" outlineLevel="0" max="3" min="3" style="1" width="26"/>
    <col collapsed="false" customWidth="true" hidden="false" outlineLevel="0" max="4" min="4" style="1" width="68"/>
    <col collapsed="false" customWidth="true" hidden="false" outlineLevel="0" max="5" min="5" style="1" width="14"/>
    <col collapsed="false" customWidth="true" hidden="false" outlineLevel="0" max="6" min="6" style="1" width="52"/>
    <col collapsed="false" customWidth="true" hidden="false" outlineLevel="0" max="7" min="7" style="1" width="14"/>
  </cols>
  <sheetData>
    <row r="1" customFormat="false" ht="55.5" hidden="false" customHeight="true" outlineLevel="0" collapsed="false">
      <c r="A1" s="6" t="s">
        <v>20</v>
      </c>
      <c r="B1" s="6"/>
      <c r="C1" s="6"/>
      <c r="D1" s="6"/>
      <c r="E1" s="6"/>
      <c r="F1" s="6"/>
      <c r="G1" s="6"/>
    </row>
    <row r="2" customFormat="false" ht="21.75" hidden="false" customHeight="true" outlineLevel="0" collapsed="false">
      <c r="A2" s="3" t="s">
        <v>21</v>
      </c>
      <c r="B2" s="3"/>
      <c r="C2" s="3"/>
      <c r="D2" s="3"/>
      <c r="E2" s="3"/>
      <c r="F2" s="3"/>
      <c r="G2" s="3"/>
    </row>
    <row r="3" customFormat="false" ht="13.5" hidden="false" customHeight="true" outlineLevel="0" collapsed="false"/>
    <row r="4" customFormat="false" ht="30" hidden="false" customHeight="true" outlineLevel="0" collapsed="false">
      <c r="B4" s="7" t="s">
        <v>22</v>
      </c>
      <c r="C4" s="7" t="s">
        <v>23</v>
      </c>
      <c r="D4" s="7" t="s">
        <v>24</v>
      </c>
      <c r="E4" s="7" t="s">
        <v>25</v>
      </c>
      <c r="F4" s="7" t="s">
        <v>26</v>
      </c>
      <c r="G4" s="8" t="s">
        <v>27</v>
      </c>
    </row>
    <row r="5" customFormat="false" ht="18" hidden="false" customHeight="true" outlineLevel="0" collapsed="false">
      <c r="A5" s="9" t="s">
        <v>28</v>
      </c>
      <c r="B5" s="9"/>
      <c r="C5" s="9"/>
      <c r="D5" s="9"/>
      <c r="E5" s="9"/>
      <c r="F5" s="9"/>
      <c r="G5" s="9"/>
    </row>
    <row r="6" customFormat="false" ht="45.75" hidden="false" customHeight="true" outlineLevel="0" collapsed="false">
      <c r="B6" s="10" t="s">
        <v>29</v>
      </c>
      <c r="C6" s="11" t="s">
        <v>30</v>
      </c>
      <c r="D6" s="12" t="s">
        <v>31</v>
      </c>
      <c r="E6" s="13" t="s">
        <v>32</v>
      </c>
      <c r="F6" s="14" t="s">
        <v>33</v>
      </c>
      <c r="G6" s="15" t="s">
        <v>34</v>
      </c>
    </row>
    <row r="7" customFormat="false" ht="45.75" hidden="false" customHeight="true" outlineLevel="0" collapsed="false">
      <c r="B7" s="10" t="s">
        <v>35</v>
      </c>
      <c r="C7" s="16" t="s">
        <v>30</v>
      </c>
      <c r="D7" s="12" t="s">
        <v>36</v>
      </c>
      <c r="E7" s="13" t="s">
        <v>37</v>
      </c>
      <c r="F7" s="17" t="s">
        <v>38</v>
      </c>
      <c r="G7" s="15" t="s">
        <v>39</v>
      </c>
    </row>
    <row r="8" customFormat="false" ht="45.75" hidden="false" customHeight="true" outlineLevel="0" collapsed="false">
      <c r="B8" s="10" t="s">
        <v>40</v>
      </c>
      <c r="C8" s="11" t="s">
        <v>30</v>
      </c>
      <c r="D8" s="12" t="s">
        <v>41</v>
      </c>
      <c r="E8" s="13" t="s">
        <v>37</v>
      </c>
      <c r="F8" s="14" t="s">
        <v>42</v>
      </c>
      <c r="G8" s="15" t="s">
        <v>43</v>
      </c>
    </row>
    <row r="9" customFormat="false" ht="45.75" hidden="false" customHeight="true" outlineLevel="0" collapsed="false">
      <c r="B9" s="10" t="s">
        <v>44</v>
      </c>
      <c r="C9" s="16" t="s">
        <v>30</v>
      </c>
      <c r="D9" s="12" t="s">
        <v>45</v>
      </c>
      <c r="E9" s="13" t="s">
        <v>32</v>
      </c>
      <c r="F9" s="17" t="s">
        <v>46</v>
      </c>
      <c r="G9" s="15" t="s">
        <v>47</v>
      </c>
    </row>
    <row r="10" customFormat="false" ht="45.75" hidden="false" customHeight="true" outlineLevel="0" collapsed="false">
      <c r="B10" s="10" t="s">
        <v>48</v>
      </c>
      <c r="C10" s="11" t="s">
        <v>30</v>
      </c>
      <c r="D10" s="12" t="s">
        <v>49</v>
      </c>
      <c r="E10" s="13" t="s">
        <v>37</v>
      </c>
      <c r="F10" s="14" t="s">
        <v>50</v>
      </c>
      <c r="G10" s="15" t="s">
        <v>51</v>
      </c>
    </row>
    <row r="11" customFormat="false" ht="45.75" hidden="false" customHeight="true" outlineLevel="0" collapsed="false">
      <c r="B11" s="10" t="s">
        <v>52</v>
      </c>
      <c r="C11" s="16" t="s">
        <v>30</v>
      </c>
      <c r="D11" s="12" t="s">
        <v>53</v>
      </c>
      <c r="E11" s="13" t="s">
        <v>37</v>
      </c>
      <c r="F11" s="17" t="s">
        <v>54</v>
      </c>
      <c r="G11" s="15" t="s">
        <v>51</v>
      </c>
    </row>
    <row r="12" customFormat="false" ht="45.75" hidden="false" customHeight="true" outlineLevel="0" collapsed="false">
      <c r="B12" s="10" t="s">
        <v>55</v>
      </c>
      <c r="C12" s="11" t="s">
        <v>30</v>
      </c>
      <c r="D12" s="12" t="s">
        <v>56</v>
      </c>
      <c r="E12" s="13" t="s">
        <v>37</v>
      </c>
      <c r="F12" s="14" t="s">
        <v>57</v>
      </c>
      <c r="G12" s="18" t="s">
        <v>58</v>
      </c>
    </row>
    <row r="13" customFormat="false" ht="45.75" hidden="false" customHeight="true" outlineLevel="0" collapsed="false">
      <c r="B13" s="10" t="s">
        <v>59</v>
      </c>
      <c r="C13" s="16" t="s">
        <v>30</v>
      </c>
      <c r="D13" s="12" t="s">
        <v>60</v>
      </c>
      <c r="E13" s="13" t="s">
        <v>37</v>
      </c>
      <c r="F13" s="17" t="s">
        <v>61</v>
      </c>
      <c r="G13" s="15" t="s">
        <v>39</v>
      </c>
    </row>
    <row r="14" customFormat="false" ht="45.75" hidden="false" customHeight="true" outlineLevel="0" collapsed="false">
      <c r="B14" s="10" t="s">
        <v>62</v>
      </c>
      <c r="C14" s="11" t="s">
        <v>30</v>
      </c>
      <c r="D14" s="12" t="s">
        <v>63</v>
      </c>
      <c r="E14" s="13" t="s">
        <v>37</v>
      </c>
      <c r="F14" s="14" t="s">
        <v>64</v>
      </c>
      <c r="G14" s="15" t="s">
        <v>65</v>
      </c>
    </row>
    <row r="15" customFormat="false" ht="18" hidden="false" customHeight="true" outlineLevel="0" collapsed="false">
      <c r="A15" s="9" t="s">
        <v>66</v>
      </c>
      <c r="B15" s="9"/>
      <c r="C15" s="9"/>
      <c r="D15" s="9"/>
      <c r="E15" s="9"/>
      <c r="F15" s="9"/>
      <c r="G15" s="9"/>
    </row>
    <row r="16" customFormat="false" ht="45.75" hidden="false" customHeight="true" outlineLevel="0" collapsed="false">
      <c r="B16" s="10" t="s">
        <v>67</v>
      </c>
      <c r="C16" s="16" t="s">
        <v>68</v>
      </c>
      <c r="D16" s="12" t="s">
        <v>69</v>
      </c>
      <c r="E16" s="13" t="s">
        <v>32</v>
      </c>
      <c r="F16" s="17" t="s">
        <v>70</v>
      </c>
      <c r="G16" s="18" t="s">
        <v>58</v>
      </c>
    </row>
    <row r="17" customFormat="false" ht="45.75" hidden="false" customHeight="true" outlineLevel="0" collapsed="false">
      <c r="B17" s="10" t="s">
        <v>71</v>
      </c>
      <c r="C17" s="11" t="s">
        <v>68</v>
      </c>
      <c r="D17" s="12" t="s">
        <v>72</v>
      </c>
      <c r="E17" s="13" t="s">
        <v>37</v>
      </c>
      <c r="F17" s="14" t="s">
        <v>73</v>
      </c>
      <c r="G17" s="15" t="s">
        <v>51</v>
      </c>
    </row>
    <row r="18" customFormat="false" ht="45.75" hidden="false" customHeight="true" outlineLevel="0" collapsed="false">
      <c r="B18" s="10" t="s">
        <v>74</v>
      </c>
      <c r="C18" s="16" t="s">
        <v>68</v>
      </c>
      <c r="D18" s="12" t="s">
        <v>75</v>
      </c>
      <c r="E18" s="13" t="s">
        <v>37</v>
      </c>
      <c r="F18" s="17" t="s">
        <v>76</v>
      </c>
      <c r="G18" s="18" t="s">
        <v>58</v>
      </c>
    </row>
    <row r="19" customFormat="false" ht="18" hidden="false" customHeight="true" outlineLevel="0" collapsed="false">
      <c r="A19" s="9" t="s">
        <v>77</v>
      </c>
      <c r="B19" s="9"/>
      <c r="C19" s="9"/>
      <c r="D19" s="9"/>
      <c r="E19" s="9"/>
      <c r="F19" s="9"/>
      <c r="G19" s="9"/>
    </row>
    <row r="20" customFormat="false" ht="45.75" hidden="false" customHeight="true" outlineLevel="0" collapsed="false">
      <c r="B20" s="10" t="s">
        <v>78</v>
      </c>
      <c r="C20" s="11" t="s">
        <v>79</v>
      </c>
      <c r="D20" s="12" t="s">
        <v>80</v>
      </c>
      <c r="E20" s="13" t="s">
        <v>32</v>
      </c>
      <c r="F20" s="14" t="s">
        <v>81</v>
      </c>
      <c r="G20" s="15" t="s">
        <v>82</v>
      </c>
    </row>
    <row r="21" customFormat="false" ht="45.75" hidden="false" customHeight="true" outlineLevel="0" collapsed="false">
      <c r="B21" s="10" t="s">
        <v>83</v>
      </c>
      <c r="C21" s="16" t="s">
        <v>79</v>
      </c>
      <c r="D21" s="12" t="s">
        <v>84</v>
      </c>
      <c r="E21" s="13" t="s">
        <v>37</v>
      </c>
      <c r="F21" s="17" t="s">
        <v>85</v>
      </c>
      <c r="G21" s="15" t="s">
        <v>47</v>
      </c>
    </row>
    <row r="22" customFormat="false" ht="45.75" hidden="false" customHeight="true" outlineLevel="0" collapsed="false">
      <c r="B22" s="10" t="s">
        <v>86</v>
      </c>
      <c r="C22" s="11" t="s">
        <v>79</v>
      </c>
      <c r="D22" s="12" t="s">
        <v>87</v>
      </c>
      <c r="E22" s="13" t="s">
        <v>32</v>
      </c>
      <c r="F22" s="14" t="s">
        <v>88</v>
      </c>
      <c r="G22" s="18" t="s">
        <v>58</v>
      </c>
    </row>
    <row r="23" customFormat="false" ht="18" hidden="false" customHeight="true" outlineLevel="0" collapsed="false">
      <c r="A23" s="9" t="s">
        <v>89</v>
      </c>
      <c r="B23" s="9"/>
      <c r="C23" s="9"/>
      <c r="D23" s="9"/>
      <c r="E23" s="9"/>
      <c r="F23" s="9"/>
      <c r="G23" s="9"/>
    </row>
    <row r="24" customFormat="false" ht="45.75" hidden="false" customHeight="true" outlineLevel="0" collapsed="false">
      <c r="B24" s="10" t="s">
        <v>90</v>
      </c>
      <c r="C24" s="16" t="s">
        <v>91</v>
      </c>
      <c r="D24" s="12" t="s">
        <v>92</v>
      </c>
      <c r="E24" s="13" t="s">
        <v>32</v>
      </c>
      <c r="F24" s="17" t="s">
        <v>93</v>
      </c>
      <c r="G24" s="15" t="s">
        <v>94</v>
      </c>
    </row>
    <row r="25" customFormat="false" ht="18" hidden="false" customHeight="true" outlineLevel="0" collapsed="false">
      <c r="A25" s="9" t="s">
        <v>95</v>
      </c>
      <c r="B25" s="9"/>
      <c r="C25" s="9"/>
      <c r="D25" s="9"/>
      <c r="E25" s="9"/>
      <c r="F25" s="9"/>
      <c r="G25" s="9"/>
    </row>
    <row r="26" customFormat="false" ht="45.75" hidden="false" customHeight="true" outlineLevel="0" collapsed="false">
      <c r="B26" s="10" t="s">
        <v>96</v>
      </c>
      <c r="C26" s="11" t="s">
        <v>97</v>
      </c>
      <c r="D26" s="12" t="s">
        <v>98</v>
      </c>
      <c r="E26" s="13" t="s">
        <v>37</v>
      </c>
      <c r="F26" s="14" t="s">
        <v>99</v>
      </c>
      <c r="G26" s="15" t="s">
        <v>100</v>
      </c>
    </row>
    <row r="27" customFormat="false" ht="45.75" hidden="false" customHeight="true" outlineLevel="0" collapsed="false">
      <c r="B27" s="10" t="s">
        <v>101</v>
      </c>
      <c r="C27" s="16" t="s">
        <v>97</v>
      </c>
      <c r="D27" s="12" t="s">
        <v>102</v>
      </c>
      <c r="E27" s="13" t="s">
        <v>37</v>
      </c>
      <c r="F27" s="17" t="s">
        <v>103</v>
      </c>
      <c r="G27" s="15" t="s">
        <v>43</v>
      </c>
    </row>
    <row r="28" customFormat="false" ht="45.75" hidden="false" customHeight="true" outlineLevel="0" collapsed="false">
      <c r="B28" s="10" t="s">
        <v>104</v>
      </c>
      <c r="C28" s="11" t="s">
        <v>97</v>
      </c>
      <c r="D28" s="12" t="s">
        <v>105</v>
      </c>
      <c r="E28" s="13" t="s">
        <v>32</v>
      </c>
      <c r="F28" s="14" t="s">
        <v>106</v>
      </c>
      <c r="G28" s="15" t="s">
        <v>39</v>
      </c>
    </row>
    <row r="29" customFormat="false" ht="18" hidden="false" customHeight="true" outlineLevel="0" collapsed="false">
      <c r="A29" s="9" t="s">
        <v>107</v>
      </c>
      <c r="B29" s="9"/>
      <c r="C29" s="9"/>
      <c r="D29" s="9"/>
      <c r="E29" s="9"/>
      <c r="F29" s="9"/>
      <c r="G29" s="9"/>
    </row>
    <row r="30" customFormat="false" ht="45.75" hidden="false" customHeight="true" outlineLevel="0" collapsed="false">
      <c r="B30" s="10" t="s">
        <v>108</v>
      </c>
      <c r="C30" s="16" t="s">
        <v>109</v>
      </c>
      <c r="D30" s="12" t="s">
        <v>110</v>
      </c>
      <c r="E30" s="13" t="s">
        <v>32</v>
      </c>
      <c r="F30" s="17" t="s">
        <v>111</v>
      </c>
      <c r="G30" s="15" t="s">
        <v>112</v>
      </c>
    </row>
    <row r="31" customFormat="false" ht="45.75" hidden="false" customHeight="true" outlineLevel="0" collapsed="false">
      <c r="B31" s="10" t="s">
        <v>113</v>
      </c>
      <c r="C31" s="11" t="s">
        <v>109</v>
      </c>
      <c r="D31" s="12" t="s">
        <v>114</v>
      </c>
      <c r="E31" s="13" t="s">
        <v>37</v>
      </c>
      <c r="F31" s="14" t="s">
        <v>115</v>
      </c>
      <c r="G31" s="18" t="s">
        <v>58</v>
      </c>
    </row>
    <row r="32" customFormat="false" ht="45.75" hidden="false" customHeight="true" outlineLevel="0" collapsed="false">
      <c r="B32" s="10" t="s">
        <v>116</v>
      </c>
      <c r="C32" s="16" t="s">
        <v>109</v>
      </c>
      <c r="D32" s="12" t="s">
        <v>117</v>
      </c>
      <c r="E32" s="13" t="s">
        <v>37</v>
      </c>
      <c r="F32" s="17" t="s">
        <v>118</v>
      </c>
      <c r="G32" s="15" t="s">
        <v>65</v>
      </c>
    </row>
    <row r="33" customFormat="false" ht="18" hidden="false" customHeight="true" outlineLevel="0" collapsed="false">
      <c r="A33" s="9" t="s">
        <v>119</v>
      </c>
      <c r="B33" s="9"/>
      <c r="C33" s="9"/>
      <c r="D33" s="9"/>
      <c r="E33" s="9"/>
      <c r="F33" s="9"/>
      <c r="G33" s="9"/>
    </row>
    <row r="34" customFormat="false" ht="45.75" hidden="false" customHeight="true" outlineLevel="0" collapsed="false">
      <c r="B34" s="10" t="s">
        <v>120</v>
      </c>
      <c r="C34" s="11" t="s">
        <v>121</v>
      </c>
      <c r="D34" s="12" t="s">
        <v>122</v>
      </c>
      <c r="E34" s="13" t="s">
        <v>32</v>
      </c>
      <c r="F34" s="14" t="s">
        <v>123</v>
      </c>
      <c r="G34" s="18" t="s">
        <v>58</v>
      </c>
    </row>
    <row r="37" customFormat="false" ht="45" hidden="false" customHeight="true" outlineLevel="0" collapsed="false">
      <c r="B37" s="19" t="s">
        <v>124</v>
      </c>
      <c r="C37" s="19"/>
      <c r="D37" s="19"/>
      <c r="E37" s="19"/>
      <c r="F37" s="19"/>
    </row>
  </sheetData>
  <mergeCells count="10">
    <mergeCell ref="A1:G1"/>
    <mergeCell ref="A2:G2"/>
    <mergeCell ref="A5:G5"/>
    <mergeCell ref="A15:G15"/>
    <mergeCell ref="A19:G19"/>
    <mergeCell ref="A23:G23"/>
    <mergeCell ref="A25:G25"/>
    <mergeCell ref="A29:G29"/>
    <mergeCell ref="A33:G33"/>
    <mergeCell ref="B37:F37"/>
  </mergeCells>
  <conditionalFormatting sqref="B6:F14">
    <cfRule type="expression" priority="2" aboveAverage="0" equalAverage="0" bottom="0" percent="0" rank="0" text="" dxfId="0">
      <formula>$E6="Yes"</formula>
    </cfRule>
    <cfRule type="expression" priority="3" aboveAverage="0" equalAverage="0" bottom="0" percent="0" rank="0" text="" dxfId="1">
      <formula>$E6="No"</formula>
    </cfRule>
    <cfRule type="expression" priority="4" aboveAverage="0" equalAverage="0" bottom="0" percent="0" rank="0" text="" dxfId="2">
      <formula>$E6="N/A"</formula>
    </cfRule>
  </conditionalFormatting>
  <conditionalFormatting sqref="B16:F18">
    <cfRule type="expression" priority="5" aboveAverage="0" equalAverage="0" bottom="0" percent="0" rank="0" text="" dxfId="0">
      <formula>$E16="Yes"</formula>
    </cfRule>
    <cfRule type="expression" priority="6" aboveAverage="0" equalAverage="0" bottom="0" percent="0" rank="0" text="" dxfId="1">
      <formula>$E16="No"</formula>
    </cfRule>
    <cfRule type="expression" priority="7" aboveAverage="0" equalAverage="0" bottom="0" percent="0" rank="0" text="" dxfId="2">
      <formula>$E16="N/A"</formula>
    </cfRule>
  </conditionalFormatting>
  <conditionalFormatting sqref="B20:F22">
    <cfRule type="expression" priority="8" aboveAverage="0" equalAverage="0" bottom="0" percent="0" rank="0" text="" dxfId="0">
      <formula>$E20="Yes"</formula>
    </cfRule>
    <cfRule type="expression" priority="9" aboveAverage="0" equalAverage="0" bottom="0" percent="0" rank="0" text="" dxfId="1">
      <formula>$E20="No"</formula>
    </cfRule>
    <cfRule type="expression" priority="10" aboveAverage="0" equalAverage="0" bottom="0" percent="0" rank="0" text="" dxfId="2">
      <formula>$E20="N/A"</formula>
    </cfRule>
  </conditionalFormatting>
  <conditionalFormatting sqref="B24:F24">
    <cfRule type="expression" priority="11" aboveAverage="0" equalAverage="0" bottom="0" percent="0" rank="0" text="" dxfId="0">
      <formula>$E24="Yes"</formula>
    </cfRule>
    <cfRule type="expression" priority="12" aboveAverage="0" equalAverage="0" bottom="0" percent="0" rank="0" text="" dxfId="1">
      <formula>$E24="No"</formula>
    </cfRule>
    <cfRule type="expression" priority="13" aboveAverage="0" equalAverage="0" bottom="0" percent="0" rank="0" text="" dxfId="2">
      <formula>$E24="N/A"</formula>
    </cfRule>
  </conditionalFormatting>
  <conditionalFormatting sqref="B26:F28">
    <cfRule type="expression" priority="14" aboveAverage="0" equalAverage="0" bottom="0" percent="0" rank="0" text="" dxfId="0">
      <formula>$E26="Yes"</formula>
    </cfRule>
    <cfRule type="expression" priority="15" aboveAverage="0" equalAverage="0" bottom="0" percent="0" rank="0" text="" dxfId="1">
      <formula>$E26="No"</formula>
    </cfRule>
    <cfRule type="expression" priority="16" aboveAverage="0" equalAverage="0" bottom="0" percent="0" rank="0" text="" dxfId="2">
      <formula>$E26="N/A"</formula>
    </cfRule>
  </conditionalFormatting>
  <conditionalFormatting sqref="B30:F32">
    <cfRule type="expression" priority="17" aboveAverage="0" equalAverage="0" bottom="0" percent="0" rank="0" text="" dxfId="0">
      <formula>$E30="Yes"</formula>
    </cfRule>
    <cfRule type="expression" priority="18" aboveAverage="0" equalAverage="0" bottom="0" percent="0" rank="0" text="" dxfId="1">
      <formula>$E30="No"</formula>
    </cfRule>
    <cfRule type="expression" priority="19" aboveAverage="0" equalAverage="0" bottom="0" percent="0" rank="0" text="" dxfId="2">
      <formula>$E30="N/A"</formula>
    </cfRule>
  </conditionalFormatting>
  <conditionalFormatting sqref="B34:F34">
    <cfRule type="expression" priority="20" aboveAverage="0" equalAverage="0" bottom="0" percent="0" rank="0" text="" dxfId="0">
      <formula>$E34="Yes"</formula>
    </cfRule>
    <cfRule type="expression" priority="21" aboveAverage="0" equalAverage="0" bottom="0" percent="0" rank="0" text="" dxfId="1">
      <formula>$E34="No"</formula>
    </cfRule>
    <cfRule type="expression" priority="22" aboveAverage="0" equalAverage="0" bottom="0" percent="0" rank="0" text="" dxfId="2">
      <formula>$E34="N/A"</formula>
    </cfRule>
  </conditionalFormatting>
  <dataValidations count="1">
    <dataValidation allowBlank="true" errorStyle="stop" operator="between" showDropDown="false" showErrorMessage="false" showInputMessage="false" sqref="E6:E14 E16:E18 E20:E22 E24 E26:E28 E30:E32 E3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5A1E"/>
    <pageSetUpPr fitToPage="false"/>
  </sheetPr>
  <dimension ref="A1:N34"/>
  <sheetViews>
    <sheetView showFormulas="false" showGridLines="false" showRowColHeaders="true" showZeros="true" rightToLeft="false" tabSelected="false" showOutlineSymbols="true" defaultGridColor="true" view="normal" topLeftCell="A18" colorId="64" zoomScale="90" zoomScaleNormal="90" zoomScalePageLayoutView="100" workbookViewId="0">
      <selection pane="topLeft" activeCell="K32" activeCellId="0" sqref="K32"/>
    </sheetView>
  </sheetViews>
  <sheetFormatPr defaultColWidth="8.66796875" defaultRowHeight="14.25" zeroHeight="false" outlineLevelRow="0" outlineLevelCol="0"/>
  <cols>
    <col collapsed="false" customWidth="true" hidden="false" outlineLevel="0" max="1" min="1" style="1" width="3"/>
    <col collapsed="false" customWidth="true" hidden="false" outlineLevel="0" max="2" min="2" style="1" width="6"/>
    <col collapsed="false" customWidth="true" hidden="false" outlineLevel="0" max="3" min="3" style="1" width="36"/>
    <col collapsed="false" customWidth="true" hidden="false" outlineLevel="0" max="4" min="4" style="1" width="9"/>
    <col collapsed="false" customWidth="true" hidden="false" outlineLevel="0" max="5" min="5" style="1" width="13"/>
    <col collapsed="false" customWidth="true" hidden="false" outlineLevel="0" max="6" min="6" style="1" width="10"/>
    <col collapsed="false" customWidth="true" hidden="false" outlineLevel="0" max="7" min="7" style="1" width="26"/>
    <col collapsed="false" customWidth="true" hidden="false" outlineLevel="0" max="8" min="8" style="1" width="13"/>
    <col collapsed="false" customWidth="true" hidden="false" outlineLevel="0" max="9" min="9" style="1" width="10"/>
    <col collapsed="false" customWidth="true" hidden="false" outlineLevel="0" max="10" min="10" style="1" width="26"/>
    <col collapsed="false" customWidth="true" hidden="false" outlineLevel="0" max="11" min="11" style="1" width="9"/>
    <col collapsed="false" customWidth="true" hidden="false" outlineLevel="0" max="12" min="12" style="1" width="36"/>
    <col collapsed="false" customWidth="true" hidden="false" outlineLevel="0" max="14" min="13" style="1" width="12"/>
  </cols>
  <sheetData>
    <row r="1" customFormat="false" ht="55.5" hidden="false" customHeight="true" outlineLevel="0" collapsed="false">
      <c r="A1" s="6" t="s">
        <v>125</v>
      </c>
      <c r="B1" s="6"/>
      <c r="C1" s="6"/>
      <c r="D1" s="6"/>
      <c r="E1" s="6"/>
      <c r="F1" s="6"/>
      <c r="G1" s="6"/>
      <c r="H1" s="6"/>
      <c r="I1" s="6"/>
      <c r="J1" s="6"/>
      <c r="K1" s="6"/>
      <c r="L1" s="6"/>
      <c r="M1" s="6"/>
    </row>
    <row r="2" customFormat="false" ht="21.75" hidden="false" customHeight="true" outlineLevel="0" collapsed="false">
      <c r="A2" s="20" t="s">
        <v>126</v>
      </c>
      <c r="B2" s="20"/>
      <c r="C2" s="20"/>
      <c r="D2" s="20"/>
      <c r="E2" s="20"/>
      <c r="F2" s="20"/>
      <c r="G2" s="20"/>
      <c r="H2" s="20"/>
      <c r="I2" s="20"/>
      <c r="J2" s="20"/>
      <c r="K2" s="20"/>
      <c r="L2" s="20"/>
      <c r="M2" s="20"/>
    </row>
    <row r="3" customFormat="false" ht="30" hidden="false" customHeight="true" outlineLevel="0" collapsed="false">
      <c r="B3" s="21" t="s">
        <v>127</v>
      </c>
      <c r="C3" s="22" t="s">
        <v>128</v>
      </c>
      <c r="F3" s="21" t="s">
        <v>129</v>
      </c>
      <c r="G3" s="23" t="s">
        <v>130</v>
      </c>
      <c r="I3" s="21" t="s">
        <v>131</v>
      </c>
      <c r="J3" s="22" t="s">
        <v>132</v>
      </c>
    </row>
    <row r="4" customFormat="false" ht="27.75" hidden="false" customHeight="true" outlineLevel="0" collapsed="false">
      <c r="B4" s="24" t="s">
        <v>133</v>
      </c>
      <c r="C4" s="24"/>
      <c r="D4" s="24"/>
      <c r="E4" s="24"/>
      <c r="F4" s="24"/>
      <c r="G4" s="24"/>
      <c r="H4" s="24"/>
      <c r="I4" s="24"/>
      <c r="J4" s="24"/>
      <c r="K4" s="24"/>
      <c r="L4" s="24"/>
      <c r="M4" s="24"/>
    </row>
    <row r="5" customFormat="false" ht="37.5" hidden="false" customHeight="true" outlineLevel="0" collapsed="false">
      <c r="B5" s="25"/>
      <c r="C5" s="25" t="s">
        <v>134</v>
      </c>
      <c r="D5" s="25" t="s">
        <v>135</v>
      </c>
      <c r="E5" s="25" t="s">
        <v>136</v>
      </c>
      <c r="F5" s="25" t="s">
        <v>137</v>
      </c>
      <c r="G5" s="25" t="s">
        <v>138</v>
      </c>
      <c r="H5" s="26" t="s">
        <v>139</v>
      </c>
      <c r="I5" s="26" t="s">
        <v>140</v>
      </c>
      <c r="J5" s="26" t="s">
        <v>141</v>
      </c>
      <c r="K5" s="25" t="s">
        <v>142</v>
      </c>
      <c r="L5" s="25" t="s">
        <v>143</v>
      </c>
      <c r="M5" s="8" t="s">
        <v>144</v>
      </c>
      <c r="N5" s="8" t="s">
        <v>145</v>
      </c>
    </row>
    <row r="6" customFormat="false" ht="30" hidden="false" customHeight="true" outlineLevel="0" collapsed="false">
      <c r="B6" s="27" t="s">
        <v>146</v>
      </c>
      <c r="C6" s="28" t="s">
        <v>147</v>
      </c>
      <c r="D6" s="29" t="n">
        <v>0.16</v>
      </c>
      <c r="E6" s="30" t="n">
        <f aca="false">IFERROR('GV Govern'!J2,"")</f>
        <v>1.14814814814815</v>
      </c>
      <c r="F6" s="31" t="n">
        <f aca="false">IFERROR(IF(E6="","",E6/5),"")</f>
        <v>0.22962962962963</v>
      </c>
      <c r="G6" s="32" t="str">
        <f aca="false">IFERROR(IF(E6=0,"⬜ Not Assessed",IF(E6&lt;1.5,"🔴 L1 — Initial",IF(E6&lt;2.5,"🟠 L2 — Developing",IF(E6&lt;3.5,"🟡 L3 — Defined",IF(E6&lt;4.5,"🟢 L4 — Managed","💎 L5 — Optimised"))))),"")</f>
        <v>🔴 L1 — Initial</v>
      </c>
      <c r="H6" s="33" t="n">
        <f aca="false">IFERROR('GV Govern'!L2,"")</f>
        <v>3.37037037037037</v>
      </c>
      <c r="I6" s="34" t="n">
        <f aca="false">IFERROR(IF(H6="","",H6/5),"")</f>
        <v>0.674074074074074</v>
      </c>
      <c r="J6" s="35" t="str">
        <f aca="false">IFERROR(IF(H6=0,"Not Set",IF(H6&lt;1.5,"L1 — Initial",IF(H6&lt;2.5,"L2 — Developing",IF(H6&lt;3.5,"L3 — Defined",IF(H6&lt;4.5,"L4 — Managed","L5 — Optimised"))))),"")</f>
        <v>L3 — Defined</v>
      </c>
      <c r="K6" s="36" t="n">
        <f aca="false">IFERROR(IF(OR(E6="",H6=""),"—",H6-E6),"—")</f>
        <v>2.22222222222222</v>
      </c>
      <c r="L6" s="37" t="str">
        <f aca="false">IFERROR(IF(OR(E6="",H6=""),"—",IF(H6-E6&gt;=3,"🔴 Critical — Immediate Action",IF(H6-E6&gt;=2,"🟠 High — Action This Quarter",IF(H6-E6&gt;=1,"🟡 Medium — Plan Within 6 Months",IF(H6-E6&gt;0,"🔵 Low — Schedule &amp; Monitor",IF(H6-E6=0,"✅ Target Met","⬆️ Exceeds Target")))))),"")</f>
        <v>🟠 High — Action This Quarter</v>
      </c>
      <c r="M6" s="38" t="str">
        <f aca="false">IFERROR('GV Govern'!N2,"—")</f>
        <v>27 / 27 applicable</v>
      </c>
      <c r="N6" s="39" t="n">
        <f aca="false">COUNTIFS('🗺️ Roadmap'!A5:A32,"&gt;0",'🗺️ Roadmap'!A5:A32,"&lt;="&amp;16%*1.5)</f>
        <v>9</v>
      </c>
    </row>
    <row r="7" customFormat="false" ht="30" hidden="false" customHeight="true" outlineLevel="0" collapsed="false">
      <c r="B7" s="40" t="s">
        <v>148</v>
      </c>
      <c r="C7" s="41" t="s">
        <v>149</v>
      </c>
      <c r="D7" s="42" t="n">
        <v>0.1</v>
      </c>
      <c r="E7" s="43" t="n">
        <f aca="false">IFERROR('ID Identify'!J2,"")</f>
        <v>1.31578947368421</v>
      </c>
      <c r="F7" s="44" t="n">
        <f aca="false">IFERROR(IF(E7="","",E7/5),"")</f>
        <v>0.263157894736842</v>
      </c>
      <c r="G7" s="45" t="str">
        <f aca="false">IFERROR(IF(E7=0,"⬜ Not Assessed",IF(E7&lt;1.5,"🔴 L1 — Initial",IF(E7&lt;2.5,"🟠 L2 — Developing",IF(E7&lt;3.5,"🟡 L3 — Defined",IF(E7&lt;4.5,"🟢 L4 — Managed","💎 L5 — Optimised"))))),"")</f>
        <v>🔴 L1 — Initial</v>
      </c>
      <c r="H7" s="33" t="n">
        <f aca="false">IFERROR('ID Identify'!L2,"")</f>
        <v>3.47368421052632</v>
      </c>
      <c r="I7" s="34" t="n">
        <f aca="false">IFERROR(IF(H7="","",H7/5),"")</f>
        <v>0.694736842105263</v>
      </c>
      <c r="J7" s="35" t="str">
        <f aca="false">IFERROR(IF(H7=0,"Not Set",IF(H7&lt;1.5,"L1 — Initial",IF(H7&lt;2.5,"L2 — Developing",IF(H7&lt;3.5,"L3 — Defined",IF(H7&lt;4.5,"L4 — Managed","L5 — Optimised"))))),"")</f>
        <v>L3 — Defined</v>
      </c>
      <c r="K7" s="46" t="n">
        <f aca="false">IFERROR(IF(OR(E7="",H7=""),"—",H7-E7),"—")</f>
        <v>2.15789473684211</v>
      </c>
      <c r="L7" s="47" t="str">
        <f aca="false">IFERROR(IF(OR(E7="",H7=""),"—",IF(H7-E7&gt;=3,"🔴 Critical — Immediate Action",IF(H7-E7&gt;=2,"🟠 High — Action This Quarter",IF(H7-E7&gt;=1,"🟡 Medium — Plan Within 6 Months",IF(H7-E7&gt;0,"🔵 Low — Schedule &amp; Monitor",IF(H7-E7=0,"✅ Target Met","⬆️ Exceeds Target")))))),"")</f>
        <v>🟠 High — Action This Quarter</v>
      </c>
      <c r="M7" s="38" t="str">
        <f aca="false">IFERROR('ID Identify'!N2,"—")</f>
        <v>19 / 19 applicable</v>
      </c>
      <c r="N7" s="48" t="n">
        <f aca="false">COUNTIFS('🗺️ Roadmap'!A33:A54,"&gt;0",'🗺️ Roadmap'!A33:A54,"&lt;="&amp;10%*1.5)</f>
        <v>7</v>
      </c>
    </row>
    <row r="8" customFormat="false" ht="30" hidden="false" customHeight="true" outlineLevel="0" collapsed="false">
      <c r="B8" s="27" t="s">
        <v>150</v>
      </c>
      <c r="C8" s="28" t="s">
        <v>151</v>
      </c>
      <c r="D8" s="29" t="n">
        <v>0.26</v>
      </c>
      <c r="E8" s="30" t="n">
        <f aca="false">IFERROR('PR Protect'!J2,"")</f>
        <v>1.36</v>
      </c>
      <c r="F8" s="31" t="n">
        <f aca="false">IFERROR(IF(E8="","",E8/5),"")</f>
        <v>0.272</v>
      </c>
      <c r="G8" s="32" t="str">
        <f aca="false">IFERROR(IF(E8=0,"⬜ Not Assessed",IF(E8&lt;1.5,"🔴 L1 — Initial",IF(E8&lt;2.5,"🟠 L2 — Developing",IF(E8&lt;3.5,"🟡 L3 — Defined",IF(E8&lt;4.5,"🟢 L4 — Managed","💎 L5 — Optimised"))))),"")</f>
        <v>🔴 L1 — Initial</v>
      </c>
      <c r="H8" s="33" t="n">
        <f aca="false">IFERROR('PR Protect'!L2,"")</f>
        <v>3.46666666666667</v>
      </c>
      <c r="I8" s="34" t="n">
        <f aca="false">IFERROR(IF(H8="","",H8/5),"")</f>
        <v>0.693333333333333</v>
      </c>
      <c r="J8" s="35" t="str">
        <f aca="false">IFERROR(IF(H8=0,"Not Set",IF(H8&lt;1.5,"L1 — Initial",IF(H8&lt;2.5,"L2 — Developing",IF(H8&lt;3.5,"L3 — Defined",IF(H8&lt;4.5,"L4 — Managed","L5 — Optimised"))))),"")</f>
        <v>L3 — Defined</v>
      </c>
      <c r="K8" s="36" t="n">
        <f aca="false">IFERROR(IF(OR(E8="",H8=""),"—",H8-E8),"—")</f>
        <v>2.10666666666667</v>
      </c>
      <c r="L8" s="37" t="str">
        <f aca="false">IFERROR(IF(OR(E8="",H8=""),"—",IF(H8-E8&gt;=3,"🔴 Critical — Immediate Action",IF(H8-E8&gt;=2,"🟠 High — Action This Quarter",IF(H8-E8&gt;=1,"🟡 Medium — Plan Within 6 Months",IF(H8-E8&gt;0,"🔵 Low — Schedule &amp; Monitor",IF(H8-E8=0,"✅ Target Met","⬆️ Exceeds Target")))))),"")</f>
        <v>🟠 High — Action This Quarter</v>
      </c>
      <c r="M8" s="38" t="str">
        <f aca="false">IFERROR('PR Protect'!N2,"—")</f>
        <v>78 / 78 applicable</v>
      </c>
      <c r="N8" s="39" t="n">
        <f aca="false">COUNTIFS('🗺️ Roadmap'!A55:A137,"&gt;0",'🗺️ Roadmap'!A55:A137,"&lt;="&amp;26%*1.5)</f>
        <v>21</v>
      </c>
    </row>
    <row r="9" customFormat="false" ht="30" hidden="false" customHeight="true" outlineLevel="0" collapsed="false">
      <c r="B9" s="40" t="s">
        <v>152</v>
      </c>
      <c r="C9" s="41" t="s">
        <v>153</v>
      </c>
      <c r="D9" s="42" t="n">
        <v>0.14</v>
      </c>
      <c r="E9" s="43" t="n">
        <f aca="false">IFERROR('DE Detect'!J2,"")</f>
        <v>1.11111111111111</v>
      </c>
      <c r="F9" s="44" t="n">
        <f aca="false">IFERROR(IF(E9="","",E9/5),"")</f>
        <v>0.222222222222222</v>
      </c>
      <c r="G9" s="45" t="str">
        <f aca="false">IFERROR(IF(E9=0,"⬜ Not Assessed",IF(E9&lt;1.5,"🔴 L1 — Initial",IF(E9&lt;2.5,"🟠 L2 — Developing",IF(E9&lt;3.5,"🟡 L3 — Defined",IF(E9&lt;4.5,"🟢 L4 — Managed","💎 L5 — Optimised"))))),"")</f>
        <v>🔴 L1 — Initial</v>
      </c>
      <c r="H9" s="33" t="n">
        <f aca="false">IFERROR('DE Detect'!L2,"")</f>
        <v>3.38888888888889</v>
      </c>
      <c r="I9" s="34" t="n">
        <f aca="false">IFERROR(IF(H9="","",H9/5),"")</f>
        <v>0.677777777777778</v>
      </c>
      <c r="J9" s="35" t="str">
        <f aca="false">IFERROR(IF(H9=0,"Not Set",IF(H9&lt;1.5,"L1 — Initial",IF(H9&lt;2.5,"L2 — Developing",IF(H9&lt;3.5,"L3 — Defined",IF(H9&lt;4.5,"L4 — Managed","L5 — Optimised"))))),"")</f>
        <v>L3 — Defined</v>
      </c>
      <c r="K9" s="46" t="n">
        <f aca="false">IFERROR(IF(OR(E9="",H9=""),"—",H9-E9),"—")</f>
        <v>2.27777777777778</v>
      </c>
      <c r="L9" s="47" t="str">
        <f aca="false">IFERROR(IF(OR(E9="",H9=""),"—",IF(H9-E9&gt;=3,"🔴 Critical — Immediate Action",IF(H9-E9&gt;=2,"🟠 High — Action This Quarter",IF(H9-E9&gt;=1,"🟡 Medium — Plan Within 6 Months",IF(H9-E9&gt;0,"🔵 Low — Schedule &amp; Monitor",IF(H9-E9=0,"✅ Target Met","⬆️ Exceeds Target")))))),"")</f>
        <v>🟠 High — Action This Quarter</v>
      </c>
      <c r="M9" s="38" t="str">
        <f aca="false">IFERROR('DE Detect'!N2,"—")</f>
        <v>18 / 18 applicable</v>
      </c>
      <c r="N9" s="48" t="n">
        <f aca="false">COUNTIFS('🗺️ Roadmap'!A138:A159,"&gt;0",'🗺️ Roadmap'!A138:A159,"&lt;="&amp;14%*1.5)</f>
        <v>3</v>
      </c>
    </row>
    <row r="10" customFormat="false" ht="30" hidden="false" customHeight="true" outlineLevel="0" collapsed="false">
      <c r="B10" s="27" t="s">
        <v>154</v>
      </c>
      <c r="C10" s="28" t="s">
        <v>155</v>
      </c>
      <c r="D10" s="29" t="n">
        <v>0.11</v>
      </c>
      <c r="E10" s="30" t="n">
        <f aca="false">IFERROR('RS Respond'!J2,"")</f>
        <v>1.28571428571429</v>
      </c>
      <c r="F10" s="31" t="n">
        <f aca="false">IFERROR(IF(E10="","",E10/5),"")</f>
        <v>0.257142857142857</v>
      </c>
      <c r="G10" s="32" t="str">
        <f aca="false">IFERROR(IF(E10=0,"⬜ Not Assessed",IF(E10&lt;1.5,"🔴 L1 — Initial",IF(E10&lt;2.5,"🟠 L2 — Developing",IF(E10&lt;3.5,"🟡 L3 — Defined",IF(E10&lt;4.5,"🟢 L4 — Managed","💎 L5 — Optimised"))))),"")</f>
        <v>🔴 L1 — Initial</v>
      </c>
      <c r="H10" s="33" t="n">
        <f aca="false">IFERROR('RS Respond'!L2,"")</f>
        <v>3.42857142857143</v>
      </c>
      <c r="I10" s="34" t="n">
        <f aca="false">IFERROR(IF(H10="","",H10/5),"")</f>
        <v>0.685714285714286</v>
      </c>
      <c r="J10" s="35" t="str">
        <f aca="false">IFERROR(IF(H10=0,"Not Set",IF(H10&lt;1.5,"L1 — Initial",IF(H10&lt;2.5,"L2 — Developing",IF(H10&lt;3.5,"L3 — Defined",IF(H10&lt;4.5,"L4 — Managed","L5 — Optimised"))))),"")</f>
        <v>L3 — Defined</v>
      </c>
      <c r="K10" s="36" t="n">
        <f aca="false">IFERROR(IF(OR(E10="",H10=""),"—",H10-E10),"—")</f>
        <v>2.14285714285714</v>
      </c>
      <c r="L10" s="37" t="str">
        <f aca="false">IFERROR(IF(OR(E10="",H10=""),"—",IF(H10-E10&gt;=3,"🔴 Critical — Immediate Action",IF(H10-E10&gt;=2,"🟠 High — Action This Quarter",IF(H10-E10&gt;=1,"🟡 Medium — Plan Within 6 Months",IF(H10-E10&gt;0,"🔵 Low — Schedule &amp; Monitor",IF(H10-E10=0,"✅ Target Met","⬆️ Exceeds Target")))))),"")</f>
        <v>🟠 High — Action This Quarter</v>
      </c>
      <c r="M10" s="38" t="str">
        <f aca="false">IFERROR('RS Respond'!N2,"—")</f>
        <v>14 / 14 applicable</v>
      </c>
      <c r="N10" s="39" t="n">
        <f aca="false">COUNTIFS('🗺️ Roadmap'!A160:A175,"&gt;0",'🗺️ Roadmap'!A160:A175,"&lt;="&amp;11%*1.5)</f>
        <v>6</v>
      </c>
    </row>
    <row r="11" customFormat="false" ht="30" hidden="false" customHeight="true" outlineLevel="0" collapsed="false">
      <c r="B11" s="40" t="s">
        <v>156</v>
      </c>
      <c r="C11" s="41" t="s">
        <v>157</v>
      </c>
      <c r="D11" s="42" t="n">
        <v>0.1</v>
      </c>
      <c r="E11" s="43" t="n">
        <f aca="false">IFERROR('RC Recover'!J2,"")</f>
        <v>1.07142857142857</v>
      </c>
      <c r="F11" s="44" t="n">
        <f aca="false">IFERROR(IF(E11="","",E11/5),"")</f>
        <v>0.214285714285714</v>
      </c>
      <c r="G11" s="45" t="str">
        <f aca="false">IFERROR(IF(E11=0,"⬜ Not Assessed",IF(E11&lt;1.5,"🔴 L1 — Initial",IF(E11&lt;2.5,"🟠 L2 — Developing",IF(E11&lt;3.5,"🟡 L3 — Defined",IF(E11&lt;4.5,"🟢 L4 — Managed","💎 L5 — Optimised"))))),"")</f>
        <v>🔴 L1 — Initial</v>
      </c>
      <c r="H11" s="33" t="n">
        <f aca="false">IFERROR('RC Recover'!L2,"")</f>
        <v>3.21428571428571</v>
      </c>
      <c r="I11" s="34" t="n">
        <f aca="false">IFERROR(IF(H11="","",H11/5),"")</f>
        <v>0.642857142857143</v>
      </c>
      <c r="J11" s="35" t="str">
        <f aca="false">IFERROR(IF(H11=0,"Not Set",IF(H11&lt;1.5,"L1 — Initial",IF(H11&lt;2.5,"L2 — Developing",IF(H11&lt;3.5,"L3 — Defined",IF(H11&lt;4.5,"L4 — Managed","L5 — Optimised"))))),"")</f>
        <v>L3 — Defined</v>
      </c>
      <c r="K11" s="46" t="n">
        <f aca="false">IFERROR(IF(OR(E11="",H11=""),"—",H11-E11),"—")</f>
        <v>2.14285714285714</v>
      </c>
      <c r="L11" s="47" t="str">
        <f aca="false">IFERROR(IF(OR(E11="",H11=""),"—",IF(H11-E11&gt;=3,"🔴 Critical — Immediate Action",IF(H11-E11&gt;=2,"🟠 High — Action This Quarter",IF(H11-E11&gt;=1,"🟡 Medium — Plan Within 6 Months",IF(H11-E11&gt;0,"🔵 Low — Schedule &amp; Monitor",IF(H11-E11=0,"✅ Target Met","⬆️ Exceeds Target")))))),"")</f>
        <v>🟠 High — Action This Quarter</v>
      </c>
      <c r="M11" s="38" t="str">
        <f aca="false">IFERROR('RC Recover'!N2,"—")</f>
        <v>14 / 14 applicable</v>
      </c>
      <c r="N11" s="48" t="n">
        <f aca="false">COUNTIFS('🗺️ Roadmap'!A176:A192,"&gt;0",'🗺️ Roadmap'!A176:A192,"&lt;="&amp;10%*1.5)</f>
        <v>3</v>
      </c>
    </row>
    <row r="12" customFormat="false" ht="36" hidden="false" customHeight="true" outlineLevel="0" collapsed="false">
      <c r="B12" s="49" t="s">
        <v>158</v>
      </c>
      <c r="C12" s="49"/>
      <c r="D12" s="49"/>
      <c r="E12" s="50" t="n">
        <f aca="false">IFERROR((E6*D6+E7*D7+E8*D8+E9*D9+E10*D10+E11*D11)/(D6+D7+D8+D9+D10+D11),"")</f>
        <v>1.23334440827484</v>
      </c>
      <c r="F12" s="51" t="n">
        <f aca="false">IFERROR(IF(E12=0,"",E12/5),"")</f>
        <v>0.246668881654968</v>
      </c>
      <c r="G12" s="52" t="str">
        <f aca="false">IFERROR(IF(E12=0,"⬜ Not Assessed",IF(E12&lt;1.5,"🔴 L1",IF(E12&lt;2.5,"🟠 L2",IF(E12&lt;3.5,"🟡 L3",IF(E12&lt;4.5,"🟢 L4","💎 L5"))))),"")</f>
        <v>🔴 L1</v>
      </c>
      <c r="H12" s="53" t="n">
        <f aca="false">IFERROR((H6*D6+H7*D7+H8*D8+H9*D9+H10*D10+H11*D11)/(D6+D7+D8+D9+D10+D11),"")</f>
        <v>3.40342170880586</v>
      </c>
      <c r="I12" s="54" t="n">
        <f aca="false">IFERROR(IF(H12=0,"",H12/5),"")</f>
        <v>0.680684341761172</v>
      </c>
      <c r="J12" s="55" t="str">
        <f aca="false">IFERROR(IF(H12=0,"Not Set",IF(H12&lt;1.5,"L1",IF(H12&lt;2.5,"L2",IF(H12&lt;3.5,"L3",IF(H12&lt;4.5,"L4","L5"))))),"")</f>
        <v>L3</v>
      </c>
      <c r="K12" s="56" t="n">
        <f aca="false">IFERROR(IF(OR(E12="",H12=""),"—",H12-E12),"—")</f>
        <v>2.17007730053102</v>
      </c>
      <c r="L12" s="57" t="s">
        <v>159</v>
      </c>
      <c r="M12" s="58"/>
      <c r="N12" s="59"/>
    </row>
    <row r="14" customFormat="false" ht="25.5" hidden="false" customHeight="true" outlineLevel="0" collapsed="false">
      <c r="B14" s="60" t="s">
        <v>160</v>
      </c>
      <c r="C14" s="60"/>
      <c r="D14" s="60"/>
      <c r="E14" s="60"/>
      <c r="F14" s="60"/>
      <c r="G14" s="60"/>
      <c r="H14" s="60"/>
      <c r="I14" s="60"/>
      <c r="J14" s="60"/>
      <c r="K14" s="60"/>
      <c r="L14" s="60"/>
      <c r="M14" s="60"/>
    </row>
    <row r="15" customFormat="false" ht="19.5" hidden="false" customHeight="true" outlineLevel="0" collapsed="false">
      <c r="B15" s="61" t="s">
        <v>161</v>
      </c>
      <c r="C15" s="61"/>
      <c r="D15" s="61"/>
      <c r="E15" s="61"/>
      <c r="F15" s="61"/>
      <c r="G15" s="61"/>
      <c r="H15" s="61"/>
      <c r="I15" s="61"/>
      <c r="J15" s="61"/>
      <c r="K15" s="61"/>
      <c r="L15" s="61"/>
      <c r="M15" s="61"/>
    </row>
    <row r="16" customFormat="false" ht="19.5" hidden="false" customHeight="true" outlineLevel="0" collapsed="false">
      <c r="B16" s="61" t="s">
        <v>162</v>
      </c>
      <c r="C16" s="61"/>
      <c r="D16" s="61"/>
      <c r="E16" s="61"/>
      <c r="F16" s="61"/>
      <c r="G16" s="61"/>
      <c r="H16" s="61"/>
      <c r="I16" s="61"/>
      <c r="J16" s="61"/>
      <c r="K16" s="61"/>
      <c r="L16" s="61"/>
      <c r="M16" s="61"/>
    </row>
    <row r="17" customFormat="false" ht="19.5" hidden="false" customHeight="true" outlineLevel="0" collapsed="false">
      <c r="B17" s="61" t="s">
        <v>163</v>
      </c>
      <c r="C17" s="61"/>
      <c r="D17" s="61"/>
      <c r="E17" s="61"/>
      <c r="F17" s="61"/>
      <c r="G17" s="61"/>
      <c r="H17" s="61"/>
      <c r="I17" s="61"/>
      <c r="J17" s="61"/>
      <c r="K17" s="61"/>
      <c r="L17" s="61"/>
      <c r="M17" s="61"/>
    </row>
    <row r="18" customFormat="false" ht="19.5" hidden="false" customHeight="true" outlineLevel="0" collapsed="false">
      <c r="B18" s="61" t="s">
        <v>164</v>
      </c>
      <c r="C18" s="61"/>
      <c r="D18" s="61"/>
      <c r="E18" s="61"/>
      <c r="F18" s="61"/>
      <c r="G18" s="61"/>
      <c r="H18" s="61"/>
      <c r="I18" s="61"/>
      <c r="J18" s="61"/>
      <c r="K18" s="61"/>
      <c r="L18" s="61"/>
      <c r="M18" s="61"/>
    </row>
    <row r="19" customFormat="false" ht="19.5" hidden="false" customHeight="true" outlineLevel="0" collapsed="false">
      <c r="B19" s="61" t="s">
        <v>165</v>
      </c>
      <c r="C19" s="61"/>
      <c r="D19" s="61"/>
      <c r="E19" s="61"/>
      <c r="F19" s="61"/>
      <c r="G19" s="61"/>
      <c r="H19" s="61"/>
      <c r="I19" s="61"/>
      <c r="J19" s="61"/>
      <c r="K19" s="61"/>
      <c r="L19" s="61"/>
      <c r="M19" s="61"/>
    </row>
    <row r="20" customFormat="false" ht="19.5" hidden="false" customHeight="true" outlineLevel="0" collapsed="false">
      <c r="B20" s="61" t="s">
        <v>166</v>
      </c>
      <c r="C20" s="61"/>
      <c r="D20" s="61"/>
      <c r="E20" s="61"/>
      <c r="F20" s="61"/>
      <c r="G20" s="61"/>
      <c r="H20" s="61"/>
      <c r="I20" s="61"/>
      <c r="J20" s="61"/>
      <c r="K20" s="61"/>
      <c r="L20" s="61"/>
      <c r="M20" s="61"/>
    </row>
    <row r="21" customFormat="false" ht="19.5" hidden="false" customHeight="true" outlineLevel="0" collapsed="false">
      <c r="B21" s="61" t="s">
        <v>167</v>
      </c>
      <c r="C21" s="61"/>
      <c r="D21" s="61"/>
      <c r="E21" s="61"/>
      <c r="F21" s="61"/>
      <c r="G21" s="61"/>
      <c r="H21" s="61"/>
      <c r="I21" s="61"/>
      <c r="J21" s="61"/>
      <c r="K21" s="61"/>
      <c r="L21" s="61"/>
      <c r="M21" s="61"/>
    </row>
    <row r="22" customFormat="false" ht="19.5" hidden="false" customHeight="true" outlineLevel="0" collapsed="false">
      <c r="B22" s="61" t="s">
        <v>168</v>
      </c>
      <c r="C22" s="61"/>
      <c r="D22" s="61"/>
      <c r="E22" s="61"/>
      <c r="F22" s="61"/>
      <c r="G22" s="61"/>
      <c r="H22" s="61"/>
      <c r="I22" s="61"/>
      <c r="J22" s="61"/>
      <c r="K22" s="61"/>
      <c r="L22" s="61"/>
      <c r="M22" s="61"/>
    </row>
    <row r="23" customFormat="false" ht="7.5" hidden="false" customHeight="true" outlineLevel="0" collapsed="false"/>
    <row r="24" customFormat="false" ht="21.75" hidden="false" customHeight="true" outlineLevel="0" collapsed="false">
      <c r="B24" s="62" t="s">
        <v>169</v>
      </c>
      <c r="C24" s="62"/>
      <c r="D24" s="62"/>
      <c r="E24" s="62"/>
      <c r="F24" s="62"/>
      <c r="G24" s="62"/>
      <c r="H24" s="62"/>
      <c r="I24" s="62"/>
      <c r="J24" s="62"/>
      <c r="K24" s="62"/>
      <c r="L24" s="62"/>
    </row>
    <row r="25" customFormat="false" ht="37.5" hidden="false" customHeight="true" outlineLevel="0" collapsed="false">
      <c r="B25" s="63" t="s">
        <v>134</v>
      </c>
      <c r="C25" s="63" t="s">
        <v>170</v>
      </c>
      <c r="D25" s="63" t="s">
        <v>135</v>
      </c>
      <c r="E25" s="63" t="s">
        <v>171</v>
      </c>
      <c r="F25" s="63" t="s">
        <v>172</v>
      </c>
      <c r="G25" s="63" t="s">
        <v>173</v>
      </c>
      <c r="H25" s="63" t="s">
        <v>174</v>
      </c>
      <c r="I25" s="63" t="s">
        <v>175</v>
      </c>
      <c r="J25" s="63" t="s">
        <v>176</v>
      </c>
      <c r="K25" s="63" t="s">
        <v>177</v>
      </c>
      <c r="L25" s="63" t="s">
        <v>178</v>
      </c>
    </row>
    <row r="26" customFormat="false" ht="21.75" hidden="false" customHeight="true" outlineLevel="0" collapsed="false">
      <c r="B26" s="64" t="s">
        <v>179</v>
      </c>
      <c r="C26" s="65" t="n">
        <v>28</v>
      </c>
      <c r="D26" s="66" t="s">
        <v>180</v>
      </c>
      <c r="E26" s="67" t="n">
        <f aca="false">SUMIF('🗺️ Roadmap'!$B$5:$B$192,"*GV Govern*",'🗺️ Roadmap'!$J$5:$J$192)</f>
        <v>80250</v>
      </c>
      <c r="F26" s="67" t="n">
        <f aca="false">SUMIF('🗺️ Roadmap'!$B$5:$B$192,"*GV Govern*",'🗺️ Roadmap'!$K$5:$K$192)</f>
        <v>45000</v>
      </c>
      <c r="G26" s="67" t="n">
        <f aca="false">SUMIF('🗺️ Roadmap'!$B$5:$B$192,"*GV Govern*",'🗺️ Roadmap'!$L$5:$L$192)</f>
        <v>0</v>
      </c>
      <c r="H26" s="67" t="n">
        <f aca="false">SUMIF('🗺️ Roadmap'!$B$5:$B$192,"*GV Govern*",'🗺️ Roadmap'!$M$5:$M$192)</f>
        <v>0</v>
      </c>
      <c r="I26" s="68" t="n">
        <f aca="false">SUMIF('🗺️ Roadmap'!$B$5:$B$192,"*GV Govern*",'🗺️ Roadmap'!$N$5:$N$192)</f>
        <v>125250</v>
      </c>
      <c r="J26" s="69" t="n">
        <f aca="false">SUMIF('🗺️ Roadmap'!$B$5:$B$192,"*GV Govern*",'🗺️ Roadmap'!$O$5:$O$192)</f>
        <v>0</v>
      </c>
      <c r="K26" s="70" t="str">
        <f aca="false">IF(I26=0,"⬜ Not Estimated",IF(I26&lt;50000,"🟢 Low (&lt; 50K)",IF(I26&lt;200000,"🟡 Medium (50K–200K)",IF(I26&lt;500000,"🟠 High (200K–500K)","🔴 Major (500K+)"))))</f>
        <v>🟡 Medium (50K–200K)</v>
      </c>
      <c r="L26" s="71"/>
    </row>
    <row r="27" customFormat="false" ht="21.75" hidden="false" customHeight="true" outlineLevel="0" collapsed="false">
      <c r="B27" s="72" t="s">
        <v>181</v>
      </c>
      <c r="C27" s="73" t="n">
        <v>22</v>
      </c>
      <c r="D27" s="74" t="s">
        <v>182</v>
      </c>
      <c r="E27" s="75" t="n">
        <f aca="false">SUMIF('🗺️ Roadmap'!$B$5:$B$192,"*ID Identify*",'🗺️ Roadmap'!$J$5:$J$192)</f>
        <v>59250</v>
      </c>
      <c r="F27" s="75" t="n">
        <f aca="false">SUMIF('🗺️ Roadmap'!$B$5:$B$192,"*ID Identify*",'🗺️ Roadmap'!$K$5:$K$192)</f>
        <v>95000</v>
      </c>
      <c r="G27" s="75" t="n">
        <f aca="false">SUMIF('🗺️ Roadmap'!$B$5:$B$192,"*ID Identify*",'🗺️ Roadmap'!$L$5:$L$192)</f>
        <v>0</v>
      </c>
      <c r="H27" s="75" t="n">
        <f aca="false">SUMIF('🗺️ Roadmap'!$B$5:$B$192,"*ID Identify*",'🗺️ Roadmap'!$M$5:$M$192)</f>
        <v>18000</v>
      </c>
      <c r="I27" s="68" t="n">
        <f aca="false">SUMIF('🗺️ Roadmap'!$B$5:$B$192,"*ID Identify*",'🗺️ Roadmap'!$N$5:$N$192)</f>
        <v>172250</v>
      </c>
      <c r="J27" s="69" t="n">
        <f aca="false">SUMIF('🗺️ Roadmap'!$B$5:$B$192,"*ID Identify*",'🗺️ Roadmap'!$O$5:$O$192)</f>
        <v>0</v>
      </c>
      <c r="K27" s="76" t="str">
        <f aca="false">IF(I27=0,"⬜ Not Estimated",IF(I27&lt;50000,"🟢 Low (&lt; 50K)",IF(I27&lt;200000,"🟡 Medium (50K–200K)",IF(I27&lt;500000,"🟠 High (200K–500K)","🔴 Major (500K+)"))))</f>
        <v>🟡 Medium (50K–200K)</v>
      </c>
      <c r="L27" s="77"/>
    </row>
    <row r="28" customFormat="false" ht="21.75" hidden="false" customHeight="true" outlineLevel="0" collapsed="false">
      <c r="B28" s="78" t="s">
        <v>183</v>
      </c>
      <c r="C28" s="65" t="n">
        <v>83</v>
      </c>
      <c r="D28" s="66" t="s">
        <v>184</v>
      </c>
      <c r="E28" s="67" t="n">
        <f aca="false">SUMIF('🗺️ Roadmap'!$B$5:$B$192,"*PR Protect*",'🗺️ Roadmap'!$J$5:$J$192)</f>
        <v>226750</v>
      </c>
      <c r="F28" s="67" t="n">
        <f aca="false">SUMIF('🗺️ Roadmap'!$B$5:$B$192,"*PR Protect*",'🗺️ Roadmap'!$K$5:$K$192)</f>
        <v>55000</v>
      </c>
      <c r="G28" s="67" t="n">
        <f aca="false">SUMIF('🗺️ Roadmap'!$B$5:$B$192,"*PR Protect*",'🗺️ Roadmap'!$L$5:$L$192)</f>
        <v>0</v>
      </c>
      <c r="H28" s="67" t="n">
        <f aca="false">SUMIF('🗺️ Roadmap'!$B$5:$B$192,"*PR Protect*",'🗺️ Roadmap'!$M$5:$M$192)</f>
        <v>112000</v>
      </c>
      <c r="I28" s="68" t="n">
        <f aca="false">SUMIF('🗺️ Roadmap'!$B$5:$B$192,"*PR Protect*",'🗺️ Roadmap'!$N$5:$N$192)</f>
        <v>393750</v>
      </c>
      <c r="J28" s="69" t="n">
        <f aca="false">SUMIF('🗺️ Roadmap'!$B$5:$B$192,"*PR Protect*",'🗺️ Roadmap'!$O$5:$O$192)</f>
        <v>0</v>
      </c>
      <c r="K28" s="70" t="str">
        <f aca="false">IF(I28=0,"⬜ Not Estimated",IF(I28&lt;50000,"🟢 Low (&lt; 50K)",IF(I28&lt;200000,"🟡 Medium (50K–200K)",IF(I28&lt;500000,"🟠 High (200K–500K)","🔴 Major (500K+)"))))</f>
        <v>🟠 High (200K–500K)</v>
      </c>
      <c r="L28" s="71"/>
    </row>
    <row r="29" customFormat="false" ht="21.75" hidden="false" customHeight="true" outlineLevel="0" collapsed="false">
      <c r="B29" s="79" t="s">
        <v>185</v>
      </c>
      <c r="C29" s="73" t="n">
        <v>22</v>
      </c>
      <c r="D29" s="74" t="s">
        <v>186</v>
      </c>
      <c r="E29" s="75" t="n">
        <f aca="false">SUMIF('🗺️ Roadmap'!$B$5:$B$192,"*DE Detect*",'🗺️ Roadmap'!$J$5:$J$192)</f>
        <v>64250</v>
      </c>
      <c r="F29" s="75" t="n">
        <f aca="false">SUMIF('🗺️ Roadmap'!$B$5:$B$192,"*DE Detect*",'🗺️ Roadmap'!$K$5:$K$192)</f>
        <v>0</v>
      </c>
      <c r="G29" s="75" t="n">
        <f aca="false">SUMIF('🗺️ Roadmap'!$B$5:$B$192,"*DE Detect*",'🗺️ Roadmap'!$L$5:$L$192)</f>
        <v>36000</v>
      </c>
      <c r="H29" s="75" t="n">
        <f aca="false">SUMIF('🗺️ Roadmap'!$B$5:$B$192,"*DE Detect*",'🗺️ Roadmap'!$M$5:$M$192)</f>
        <v>138000</v>
      </c>
      <c r="I29" s="68" t="n">
        <f aca="false">SUMIF('🗺️ Roadmap'!$B$5:$B$192,"*DE Detect*",'🗺️ Roadmap'!$N$5:$N$192)</f>
        <v>202250</v>
      </c>
      <c r="J29" s="69" t="n">
        <f aca="false">SUMIF('🗺️ Roadmap'!$B$5:$B$192,"*DE Detect*",'🗺️ Roadmap'!$O$5:$O$192)</f>
        <v>36000</v>
      </c>
      <c r="K29" s="76" t="str">
        <f aca="false">IF(I29=0,"⬜ Not Estimated",IF(I29&lt;50000,"🟢 Low (&lt; 50K)",IF(I29&lt;200000,"🟡 Medium (50K–200K)",IF(I29&lt;500000,"🟠 High (200K–500K)","🔴 Major (500K+)"))))</f>
        <v>🟠 High (200K–500K)</v>
      </c>
      <c r="L29" s="77"/>
    </row>
    <row r="30" customFormat="false" ht="21.75" hidden="false" customHeight="true" outlineLevel="0" collapsed="false">
      <c r="B30" s="80" t="s">
        <v>187</v>
      </c>
      <c r="C30" s="65" t="n">
        <v>16</v>
      </c>
      <c r="D30" s="66" t="s">
        <v>188</v>
      </c>
      <c r="E30" s="67" t="n">
        <f aca="false">SUMIF('🗺️ Roadmap'!$B$5:$B$192,"*RS Respond*",'🗺️ Roadmap'!$J$5:$J$192)</f>
        <v>35000</v>
      </c>
      <c r="F30" s="67" t="n">
        <f aca="false">SUMIF('🗺️ Roadmap'!$B$5:$B$192,"*RS Respond*",'🗺️ Roadmap'!$K$5:$K$192)</f>
        <v>0</v>
      </c>
      <c r="G30" s="67" t="n">
        <f aca="false">SUMIF('🗺️ Roadmap'!$B$5:$B$192,"*RS Respond*",'🗺️ Roadmap'!$L$5:$L$192)</f>
        <v>0</v>
      </c>
      <c r="H30" s="67" t="n">
        <f aca="false">SUMIF('🗺️ Roadmap'!$B$5:$B$192,"*RS Respond*",'🗺️ Roadmap'!$M$5:$M$192)</f>
        <v>0</v>
      </c>
      <c r="I30" s="68" t="n">
        <f aca="false">SUMIF('🗺️ Roadmap'!$B$5:$B$192,"*RS Respond*",'🗺️ Roadmap'!$N$5:$N$192)</f>
        <v>35000</v>
      </c>
      <c r="J30" s="69" t="n">
        <f aca="false">SUMIF('🗺️ Roadmap'!$B$5:$B$192,"*RS Respond*",'🗺️ Roadmap'!$O$5:$O$192)</f>
        <v>0</v>
      </c>
      <c r="K30" s="70" t="str">
        <f aca="false">IF(I30=0,"⬜ Not Estimated",IF(I30&lt;50000,"🟢 Low (&lt; 50K)",IF(I30&lt;200000,"🟡 Medium (50K–200K)",IF(I30&lt;500000,"🟠 High (200K–500K)","🔴 Major (500K+)"))))</f>
        <v>🟢 Low (&lt; 50K)</v>
      </c>
      <c r="L30" s="71"/>
    </row>
    <row r="31" customFormat="false" ht="21.75" hidden="false" customHeight="true" outlineLevel="0" collapsed="false">
      <c r="B31" s="81" t="s">
        <v>189</v>
      </c>
      <c r="C31" s="73" t="n">
        <v>17</v>
      </c>
      <c r="D31" s="74" t="s">
        <v>182</v>
      </c>
      <c r="E31" s="75" t="n">
        <f aca="false">SUMIF('🗺️ Roadmap'!$B$5:$B$192,"*RC Recover*",'🗺️ Roadmap'!$J$5:$J$192)</f>
        <v>49250</v>
      </c>
      <c r="F31" s="75" t="n">
        <f aca="false">SUMIF('🗺️ Roadmap'!$B$5:$B$192,"*RC Recover*",'🗺️ Roadmap'!$K$5:$K$192)</f>
        <v>28000</v>
      </c>
      <c r="G31" s="75" t="n">
        <f aca="false">SUMIF('🗺️ Roadmap'!$B$5:$B$192,"*RC Recover*",'🗺️ Roadmap'!$L$5:$L$192)</f>
        <v>0</v>
      </c>
      <c r="H31" s="75" t="n">
        <f aca="false">SUMIF('🗺️ Roadmap'!$B$5:$B$192,"*RC Recover*",'🗺️ Roadmap'!$M$5:$M$192)</f>
        <v>0</v>
      </c>
      <c r="I31" s="68" t="n">
        <f aca="false">SUMIF('🗺️ Roadmap'!$B$5:$B$192,"*RC Recover*",'🗺️ Roadmap'!$N$5:$N$192)</f>
        <v>77250</v>
      </c>
      <c r="J31" s="69" t="n">
        <f aca="false">SUMIF('🗺️ Roadmap'!$B$5:$B$192,"*RC Recover*",'🗺️ Roadmap'!$O$5:$O$192)</f>
        <v>0</v>
      </c>
      <c r="K31" s="76" t="str">
        <f aca="false">IF(I31=0,"⬜ Not Estimated",IF(I31&lt;50000,"🟢 Low (&lt; 50K)",IF(I31&lt;200000,"🟡 Medium (50K–200K)",IF(I31&lt;500000,"🟠 High (200K–500K)","🔴 Major (500K+)"))))</f>
        <v>🟡 Medium (50K–200K)</v>
      </c>
      <c r="L31" s="77"/>
    </row>
    <row r="32" customFormat="false" ht="24" hidden="false" customHeight="true" outlineLevel="0" collapsed="false">
      <c r="B32" s="82" t="s">
        <v>190</v>
      </c>
      <c r="C32" s="83" t="n">
        <v>188</v>
      </c>
      <c r="D32" s="83" t="s">
        <v>191</v>
      </c>
      <c r="E32" s="84" t="n">
        <f aca="false">SUM(E26:E31)</f>
        <v>514750</v>
      </c>
      <c r="F32" s="84" t="n">
        <f aca="false">SUM(F26:F31)</f>
        <v>223000</v>
      </c>
      <c r="G32" s="84" t="n">
        <f aca="false">SUM(G26:G31)</f>
        <v>36000</v>
      </c>
      <c r="H32" s="84" t="n">
        <f aca="false">SUM(H26:H31)</f>
        <v>268000</v>
      </c>
      <c r="I32" s="85" t="n">
        <f aca="false">SUM(I26:I31)</f>
        <v>1005750</v>
      </c>
      <c r="J32" s="86" t="n">
        <f aca="false">SUM(J26:J31)</f>
        <v>36000</v>
      </c>
      <c r="K32" s="87" t="str">
        <f aca="false">IF(I32=0,"⬜ Not Estimated",IF(I32&lt;50000,"🟢 Low (&lt; 50K)",IF(I32&lt;200000,"🟡 Medium (50K–200K)",IF(I32&lt;500000,"🟠 High (200K–500K)","🔴 Major (500K+)"))))</f>
        <v>🔴 Major (500K+)</v>
      </c>
      <c r="L32" s="88"/>
    </row>
    <row r="34" customFormat="false" ht="36" hidden="false" customHeight="true" outlineLevel="0" collapsed="false">
      <c r="B34" s="89" t="s">
        <v>192</v>
      </c>
      <c r="C34" s="89"/>
      <c r="D34" s="89"/>
      <c r="E34" s="89"/>
      <c r="F34" s="89"/>
      <c r="G34" s="89"/>
      <c r="H34" s="89"/>
      <c r="I34" s="89"/>
      <c r="J34" s="89"/>
      <c r="K34" s="89"/>
      <c r="L34" s="89"/>
    </row>
  </sheetData>
  <mergeCells count="15">
    <mergeCell ref="A1:M1"/>
    <mergeCell ref="A2:M2"/>
    <mergeCell ref="B4:M4"/>
    <mergeCell ref="B12:D12"/>
    <mergeCell ref="B14:M14"/>
    <mergeCell ref="B15:M15"/>
    <mergeCell ref="B16:M16"/>
    <mergeCell ref="B17:M17"/>
    <mergeCell ref="B18:M18"/>
    <mergeCell ref="B19:M19"/>
    <mergeCell ref="B20:M20"/>
    <mergeCell ref="B21:M21"/>
    <mergeCell ref="B22:M22"/>
    <mergeCell ref="B24:L24"/>
    <mergeCell ref="B34:L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6B"/>
    <pageSetUpPr fitToPage="false"/>
  </sheetPr>
  <dimension ref="B1:H36"/>
  <sheetViews>
    <sheetView showFormulas="false" showGridLines="fals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2" min="1" style="1" width="3"/>
    <col collapsed="false" customWidth="true" hidden="false" outlineLevel="0" max="3" min="3" style="1" width="30"/>
    <col collapsed="false" customWidth="true" hidden="false" outlineLevel="0" max="4" min="4" style="1" width="10"/>
    <col collapsed="false" customWidth="true" hidden="false" outlineLevel="0" max="6" min="5" style="1" width="16"/>
    <col collapsed="false" customWidth="true" hidden="false" outlineLevel="0" max="7" min="7" style="1" width="30"/>
    <col collapsed="false" customWidth="true" hidden="false" outlineLevel="0" max="8" min="8" style="1" width="24"/>
    <col collapsed="false" customWidth="true" hidden="false" outlineLevel="0" max="9" min="9" style="1" width="3"/>
  </cols>
  <sheetData>
    <row r="1" customFormat="false" ht="13.5" hidden="false" customHeight="true" outlineLevel="0" collapsed="false"/>
    <row r="2" customFormat="false" ht="21.75" hidden="false" customHeight="true" outlineLevel="0" collapsed="false">
      <c r="B2" s="90" t="s">
        <v>193</v>
      </c>
      <c r="C2" s="90"/>
      <c r="D2" s="90"/>
      <c r="E2" s="90"/>
      <c r="F2" s="90"/>
      <c r="G2" s="90"/>
      <c r="H2" s="90"/>
    </row>
    <row r="3" customFormat="false" ht="42" hidden="false" customHeight="true" outlineLevel="0" collapsed="false">
      <c r="B3" s="91" t="s">
        <v>194</v>
      </c>
      <c r="C3" s="91"/>
      <c r="D3" s="91"/>
      <c r="E3" s="91"/>
      <c r="F3" s="91"/>
      <c r="G3" s="91"/>
      <c r="H3" s="91"/>
    </row>
    <row r="4" customFormat="false" ht="21.75" hidden="false" customHeight="true" outlineLevel="0" collapsed="false">
      <c r="B4" s="20" t="s">
        <v>195</v>
      </c>
      <c r="C4" s="20"/>
      <c r="D4" s="20"/>
      <c r="E4" s="20"/>
      <c r="F4" s="20"/>
      <c r="G4" s="20"/>
      <c r="H4" s="20"/>
    </row>
    <row r="5" customFormat="false" ht="13.5" hidden="false" customHeight="true" outlineLevel="0" collapsed="false"/>
    <row r="6" customFormat="false" ht="25.5" hidden="false" customHeight="true" outlineLevel="0" collapsed="false">
      <c r="C6" s="21" t="s">
        <v>127</v>
      </c>
      <c r="D6" s="22" t="str">
        <f aca="false">'📊 Dashboard'!C3</f>
        <v>Acacia Financial Services Ltd</v>
      </c>
      <c r="F6" s="21" t="s">
        <v>196</v>
      </c>
      <c r="G6" s="22" t="str">
        <f aca="false">'📊 Dashboard'!G3</f>
        <v>04 September 2026</v>
      </c>
    </row>
    <row r="7" customFormat="false" ht="13.5" hidden="false" customHeight="true" outlineLevel="0" collapsed="false"/>
    <row r="8" customFormat="false" ht="27.75" hidden="false" customHeight="true" outlineLevel="0" collapsed="false">
      <c r="C8" s="92" t="s">
        <v>197</v>
      </c>
      <c r="D8" s="92"/>
      <c r="E8" s="92"/>
      <c r="F8" s="92"/>
      <c r="G8" s="92"/>
      <c r="H8" s="92"/>
    </row>
    <row r="9" customFormat="false" ht="33.75" hidden="false" customHeight="true" outlineLevel="0" collapsed="false">
      <c r="C9" s="7" t="s">
        <v>134</v>
      </c>
      <c r="D9" s="7" t="s">
        <v>135</v>
      </c>
      <c r="E9" s="7" t="s">
        <v>198</v>
      </c>
      <c r="F9" s="7" t="s">
        <v>138</v>
      </c>
      <c r="G9" s="7" t="s">
        <v>199</v>
      </c>
      <c r="H9" s="7" t="s">
        <v>200</v>
      </c>
    </row>
    <row r="10" customFormat="false" ht="27.75" hidden="false" customHeight="true" outlineLevel="0" collapsed="false">
      <c r="C10" s="28" t="s">
        <v>201</v>
      </c>
      <c r="D10" s="29" t="n">
        <f aca="false">'📊 Dashboard'!D6</f>
        <v>0.16</v>
      </c>
      <c r="E10" s="93" t="n">
        <f aca="false">'📊 Dashboard'!E6</f>
        <v>1.14814814814815</v>
      </c>
      <c r="F10" s="94" t="str">
        <f aca="false">'📊 Dashboard'!G6</f>
        <v>🔴 L1 — Initial</v>
      </c>
      <c r="G10" s="95" t="n">
        <f aca="false">'📊 Dashboard'!H6</f>
        <v>3.37037037037037</v>
      </c>
      <c r="H10" s="96" t="str">
        <f aca="false">'📊 Dashboard'!L6</f>
        <v>🟠 High — Action This Quarter</v>
      </c>
    </row>
    <row r="11" customFormat="false" ht="27.75" hidden="false" customHeight="true" outlineLevel="0" collapsed="false">
      <c r="C11" s="41" t="s">
        <v>202</v>
      </c>
      <c r="D11" s="42" t="n">
        <f aca="false">'📊 Dashboard'!D7</f>
        <v>0.1</v>
      </c>
      <c r="E11" s="97" t="n">
        <f aca="false">'📊 Dashboard'!E7</f>
        <v>1.31578947368421</v>
      </c>
      <c r="F11" s="98" t="str">
        <f aca="false">'📊 Dashboard'!G7</f>
        <v>🔴 L1 — Initial</v>
      </c>
      <c r="G11" s="95" t="n">
        <f aca="false">'📊 Dashboard'!H7</f>
        <v>3.47368421052632</v>
      </c>
      <c r="H11" s="99" t="str">
        <f aca="false">'📊 Dashboard'!L7</f>
        <v>🟠 High — Action This Quarter</v>
      </c>
    </row>
    <row r="12" customFormat="false" ht="27.75" hidden="false" customHeight="true" outlineLevel="0" collapsed="false">
      <c r="C12" s="28" t="s">
        <v>203</v>
      </c>
      <c r="D12" s="29" t="n">
        <f aca="false">'📊 Dashboard'!D8</f>
        <v>0.26</v>
      </c>
      <c r="E12" s="93" t="n">
        <f aca="false">'📊 Dashboard'!E8</f>
        <v>1.36</v>
      </c>
      <c r="F12" s="94" t="str">
        <f aca="false">'📊 Dashboard'!G8</f>
        <v>🔴 L1 — Initial</v>
      </c>
      <c r="G12" s="95" t="n">
        <f aca="false">'📊 Dashboard'!H8</f>
        <v>3.46666666666667</v>
      </c>
      <c r="H12" s="96" t="str">
        <f aca="false">'📊 Dashboard'!L8</f>
        <v>🟠 High — Action This Quarter</v>
      </c>
    </row>
    <row r="13" customFormat="false" ht="27.75" hidden="false" customHeight="true" outlineLevel="0" collapsed="false">
      <c r="C13" s="41" t="s">
        <v>204</v>
      </c>
      <c r="D13" s="42" t="n">
        <f aca="false">'📊 Dashboard'!D9</f>
        <v>0.14</v>
      </c>
      <c r="E13" s="97" t="n">
        <f aca="false">'📊 Dashboard'!E9</f>
        <v>1.11111111111111</v>
      </c>
      <c r="F13" s="98" t="str">
        <f aca="false">'📊 Dashboard'!G9</f>
        <v>🔴 L1 — Initial</v>
      </c>
      <c r="G13" s="95" t="n">
        <f aca="false">'📊 Dashboard'!H9</f>
        <v>3.38888888888889</v>
      </c>
      <c r="H13" s="99" t="str">
        <f aca="false">'📊 Dashboard'!L9</f>
        <v>🟠 High — Action This Quarter</v>
      </c>
    </row>
    <row r="14" customFormat="false" ht="27.75" hidden="false" customHeight="true" outlineLevel="0" collapsed="false">
      <c r="C14" s="28" t="s">
        <v>205</v>
      </c>
      <c r="D14" s="29" t="n">
        <f aca="false">'📊 Dashboard'!D10</f>
        <v>0.11</v>
      </c>
      <c r="E14" s="93" t="n">
        <f aca="false">'📊 Dashboard'!E10</f>
        <v>1.28571428571429</v>
      </c>
      <c r="F14" s="94" t="str">
        <f aca="false">'📊 Dashboard'!G10</f>
        <v>🔴 L1 — Initial</v>
      </c>
      <c r="G14" s="95" t="n">
        <f aca="false">'📊 Dashboard'!H10</f>
        <v>3.42857142857143</v>
      </c>
      <c r="H14" s="96" t="str">
        <f aca="false">'📊 Dashboard'!L10</f>
        <v>🟠 High — Action This Quarter</v>
      </c>
    </row>
    <row r="15" customFormat="false" ht="27.75" hidden="false" customHeight="true" outlineLevel="0" collapsed="false">
      <c r="C15" s="41" t="s">
        <v>206</v>
      </c>
      <c r="D15" s="42" t="n">
        <f aca="false">'📊 Dashboard'!D11</f>
        <v>0.1</v>
      </c>
      <c r="E15" s="97" t="n">
        <f aca="false">'📊 Dashboard'!E11</f>
        <v>1.07142857142857</v>
      </c>
      <c r="F15" s="98" t="str">
        <f aca="false">'📊 Dashboard'!G11</f>
        <v>🔴 L1 — Initial</v>
      </c>
      <c r="G15" s="95" t="n">
        <f aca="false">'📊 Dashboard'!H11</f>
        <v>3.21428571428571</v>
      </c>
      <c r="H15" s="99" t="str">
        <f aca="false">'📊 Dashboard'!L11</f>
        <v>🟠 High — Action This Quarter</v>
      </c>
    </row>
    <row r="16" customFormat="false" ht="33.75" hidden="false" customHeight="true" outlineLevel="0" collapsed="false">
      <c r="C16" s="90" t="s">
        <v>207</v>
      </c>
      <c r="D16" s="90"/>
      <c r="E16" s="100" t="n">
        <f aca="false">'📊 Dashboard'!E12</f>
        <v>1.23334440827484</v>
      </c>
      <c r="F16" s="52" t="str">
        <f aca="false">'📊 Dashboard'!G12</f>
        <v>🔴 L1</v>
      </c>
      <c r="G16" s="101" t="n">
        <f aca="false">'📊 Dashboard'!H12</f>
        <v>3.40342170880586</v>
      </c>
      <c r="H16" s="55" t="str">
        <f aca="false">'📊 Dashboard'!J12</f>
        <v>L3</v>
      </c>
    </row>
    <row r="18" customFormat="false" ht="27.75" hidden="false" customHeight="true" outlineLevel="0" collapsed="false">
      <c r="C18" s="102" t="s">
        <v>208</v>
      </c>
      <c r="D18" s="102"/>
      <c r="E18" s="102"/>
      <c r="F18" s="102"/>
      <c r="G18" s="102"/>
      <c r="H18" s="102"/>
    </row>
    <row r="19" customFormat="false" ht="31.5" hidden="false" customHeight="true" outlineLevel="0" collapsed="false">
      <c r="C19" s="5" t="s">
        <v>209</v>
      </c>
      <c r="D19" s="5"/>
      <c r="E19" s="5"/>
      <c r="F19" s="5"/>
      <c r="G19" s="5"/>
      <c r="H19" s="5"/>
    </row>
    <row r="20" customFormat="false" ht="31.5" hidden="false" customHeight="true" outlineLevel="0" collapsed="false">
      <c r="C20" s="5" t="s">
        <v>210</v>
      </c>
      <c r="D20" s="5"/>
      <c r="E20" s="5"/>
      <c r="F20" s="5"/>
      <c r="G20" s="5"/>
      <c r="H20" s="5"/>
    </row>
    <row r="21" customFormat="false" ht="31.5" hidden="false" customHeight="true" outlineLevel="0" collapsed="false">
      <c r="C21" s="5" t="s">
        <v>211</v>
      </c>
      <c r="D21" s="5"/>
      <c r="E21" s="5"/>
      <c r="F21" s="5"/>
      <c r="G21" s="5"/>
      <c r="H21" s="5"/>
    </row>
    <row r="22" customFormat="false" ht="31.5" hidden="false" customHeight="true" outlineLevel="0" collapsed="false">
      <c r="C22" s="5" t="s">
        <v>212</v>
      </c>
      <c r="D22" s="5"/>
      <c r="E22" s="5"/>
      <c r="F22" s="5"/>
      <c r="G22" s="5"/>
      <c r="H22" s="5"/>
    </row>
    <row r="23" customFormat="false" ht="31.5" hidden="false" customHeight="true" outlineLevel="0" collapsed="false">
      <c r="C23" s="5" t="s">
        <v>213</v>
      </c>
      <c r="D23" s="5"/>
      <c r="E23" s="5"/>
      <c r="F23" s="5"/>
      <c r="G23" s="5"/>
      <c r="H23" s="5"/>
    </row>
    <row r="25" customFormat="false" ht="21.75" hidden="false" customHeight="true" outlineLevel="0" collapsed="false">
      <c r="C25" s="62" t="s">
        <v>214</v>
      </c>
      <c r="D25" s="62"/>
      <c r="E25" s="62"/>
      <c r="F25" s="62"/>
      <c r="G25" s="62"/>
      <c r="H25" s="62"/>
    </row>
    <row r="26" customFormat="false" ht="18" hidden="false" customHeight="true" outlineLevel="0" collapsed="false">
      <c r="C26" s="103" t="s">
        <v>215</v>
      </c>
      <c r="D26" s="103"/>
      <c r="E26" s="103"/>
      <c r="F26" s="103"/>
      <c r="G26" s="103"/>
      <c r="H26" s="103"/>
    </row>
    <row r="27" customFormat="false" ht="30" hidden="false" customHeight="true" outlineLevel="0" collapsed="false">
      <c r="C27" s="104" t="s">
        <v>134</v>
      </c>
      <c r="D27" s="104" t="s">
        <v>170</v>
      </c>
      <c r="E27" s="104" t="s">
        <v>216</v>
      </c>
      <c r="F27" s="104" t="s">
        <v>217</v>
      </c>
      <c r="G27" s="104" t="s">
        <v>200</v>
      </c>
      <c r="H27" s="104" t="s">
        <v>218</v>
      </c>
    </row>
    <row r="28" customFormat="false" ht="21.75" hidden="false" customHeight="true" outlineLevel="0" collapsed="false">
      <c r="C28" s="64" t="s">
        <v>179</v>
      </c>
      <c r="D28" s="105" t="n">
        <v>28</v>
      </c>
      <c r="E28" s="106" t="n">
        <f aca="false">'🗺️ Roadmap'!L194</f>
        <v>125250</v>
      </c>
      <c r="F28" s="107" t="n">
        <f aca="false">'🗺️ Roadmap'!M194</f>
        <v>0</v>
      </c>
      <c r="G28" s="108" t="str">
        <f aca="false">'📊 Dashboard'!L6</f>
        <v>🟠 High — Action This Quarter</v>
      </c>
      <c r="H28" s="109" t="s">
        <v>219</v>
      </c>
    </row>
    <row r="29" customFormat="false" ht="21.75" hidden="false" customHeight="true" outlineLevel="0" collapsed="false">
      <c r="C29" s="72" t="s">
        <v>181</v>
      </c>
      <c r="D29" s="110" t="n">
        <v>22</v>
      </c>
      <c r="E29" s="111" t="n">
        <f aca="false">'🗺️ Roadmap'!L195</f>
        <v>172250</v>
      </c>
      <c r="F29" s="112" t="n">
        <f aca="false">'🗺️ Roadmap'!M195</f>
        <v>0</v>
      </c>
      <c r="G29" s="113" t="str">
        <f aca="false">'📊 Dashboard'!L7</f>
        <v>🟠 High — Action This Quarter</v>
      </c>
      <c r="H29" s="114" t="s">
        <v>219</v>
      </c>
    </row>
    <row r="30" customFormat="false" ht="21.75" hidden="false" customHeight="true" outlineLevel="0" collapsed="false">
      <c r="C30" s="78" t="s">
        <v>183</v>
      </c>
      <c r="D30" s="105" t="n">
        <v>83</v>
      </c>
      <c r="E30" s="106" t="n">
        <f aca="false">'🗺️ Roadmap'!L196</f>
        <v>393750</v>
      </c>
      <c r="F30" s="107" t="n">
        <f aca="false">'🗺️ Roadmap'!M196</f>
        <v>0</v>
      </c>
      <c r="G30" s="108" t="str">
        <f aca="false">'📊 Dashboard'!L8</f>
        <v>🟠 High — Action This Quarter</v>
      </c>
      <c r="H30" s="109" t="s">
        <v>219</v>
      </c>
    </row>
    <row r="31" customFormat="false" ht="21.75" hidden="false" customHeight="true" outlineLevel="0" collapsed="false">
      <c r="C31" s="79" t="s">
        <v>185</v>
      </c>
      <c r="D31" s="110" t="n">
        <v>22</v>
      </c>
      <c r="E31" s="111" t="n">
        <f aca="false">'🗺️ Roadmap'!L197</f>
        <v>202250</v>
      </c>
      <c r="F31" s="112" t="n">
        <f aca="false">'🗺️ Roadmap'!M197</f>
        <v>36000</v>
      </c>
      <c r="G31" s="113" t="str">
        <f aca="false">'📊 Dashboard'!L9</f>
        <v>🟠 High — Action This Quarter</v>
      </c>
      <c r="H31" s="114" t="s">
        <v>219</v>
      </c>
    </row>
    <row r="32" customFormat="false" ht="21.75" hidden="false" customHeight="true" outlineLevel="0" collapsed="false">
      <c r="C32" s="80" t="s">
        <v>187</v>
      </c>
      <c r="D32" s="105" t="n">
        <v>16</v>
      </c>
      <c r="E32" s="106" t="n">
        <f aca="false">'🗺️ Roadmap'!L198</f>
        <v>35000</v>
      </c>
      <c r="F32" s="107" t="n">
        <f aca="false">'🗺️ Roadmap'!M198</f>
        <v>0</v>
      </c>
      <c r="G32" s="108" t="str">
        <f aca="false">'📊 Dashboard'!L10</f>
        <v>🟠 High — Action This Quarter</v>
      </c>
      <c r="H32" s="109" t="s">
        <v>219</v>
      </c>
    </row>
    <row r="33" customFormat="false" ht="21.75" hidden="false" customHeight="true" outlineLevel="0" collapsed="false">
      <c r="C33" s="81" t="s">
        <v>189</v>
      </c>
      <c r="D33" s="110" t="n">
        <v>17</v>
      </c>
      <c r="E33" s="111" t="n">
        <f aca="false">'🗺️ Roadmap'!L199</f>
        <v>77250</v>
      </c>
      <c r="F33" s="112" t="n">
        <f aca="false">'🗺️ Roadmap'!M199</f>
        <v>0</v>
      </c>
      <c r="G33" s="113" t="str">
        <f aca="false">'📊 Dashboard'!L11</f>
        <v>🟠 High — Action This Quarter</v>
      </c>
      <c r="H33" s="114" t="s">
        <v>219</v>
      </c>
    </row>
    <row r="34" customFormat="false" ht="25.5" hidden="false" customHeight="true" outlineLevel="0" collapsed="false">
      <c r="C34" s="82" t="s">
        <v>220</v>
      </c>
      <c r="D34" s="82"/>
      <c r="E34" s="84" t="n">
        <f aca="false">'🗺️ Roadmap'!L201</f>
        <v>1005750</v>
      </c>
      <c r="F34" s="86" t="n">
        <f aca="false">'🗺️ Roadmap'!M201</f>
        <v>36000</v>
      </c>
      <c r="G34" s="88"/>
      <c r="H34" s="88"/>
    </row>
    <row r="36" customFormat="false" ht="51.75" hidden="false" customHeight="true" outlineLevel="0" collapsed="false">
      <c r="C36" s="115" t="s">
        <v>221</v>
      </c>
      <c r="D36" s="115"/>
      <c r="E36" s="115"/>
      <c r="F36" s="115"/>
      <c r="G36" s="115"/>
      <c r="H36" s="115"/>
    </row>
  </sheetData>
  <mergeCells count="15">
    <mergeCell ref="B2:H2"/>
    <mergeCell ref="B3:H3"/>
    <mergeCell ref="B4:H4"/>
    <mergeCell ref="C8:H8"/>
    <mergeCell ref="C16:D16"/>
    <mergeCell ref="C18:H18"/>
    <mergeCell ref="C19:H19"/>
    <mergeCell ref="C20:H20"/>
    <mergeCell ref="C21:H21"/>
    <mergeCell ref="C22:H22"/>
    <mergeCell ref="C23:H23"/>
    <mergeCell ref="C25:H25"/>
    <mergeCell ref="C26:H26"/>
    <mergeCell ref="C34:D34"/>
    <mergeCell ref="C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163" activePane="bottomLeft" state="frozen"/>
      <selection pane="topLeft" activeCell="A1" activeCellId="0" sqref="A1"/>
      <selection pane="bottomLeft" activeCell="N202" activeCellId="0" sqref="N202"/>
    </sheetView>
  </sheetViews>
  <sheetFormatPr defaultColWidth="8.6796875" defaultRowHeight="14.2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34"/>
    <col collapsed="false" customWidth="true" hidden="false" outlineLevel="0" max="4" min="4" style="1" width="46"/>
    <col collapsed="false" customWidth="true" hidden="false" outlineLevel="0" max="5" min="5" style="1" width="15"/>
    <col collapsed="false" customWidth="true" hidden="false" outlineLevel="0" max="6" min="6" style="1" width="13"/>
    <col collapsed="false" customWidth="true" hidden="false" outlineLevel="0" max="7" min="7" style="1" width="18"/>
    <col collapsed="false" customWidth="true" hidden="false" outlineLevel="0" max="8" min="8" style="1" width="14"/>
    <col collapsed="false" customWidth="true" hidden="false" outlineLevel="0" max="9" min="9" style="1" width="22"/>
    <col collapsed="false" customWidth="true" hidden="false" outlineLevel="0" max="11" min="10" style="1" width="14"/>
    <col collapsed="false" customWidth="true" hidden="false" outlineLevel="0" max="12" min="12" style="1" width="16"/>
    <col collapsed="false" customWidth="true" hidden="false" outlineLevel="0" max="15" min="13" style="1" width="14"/>
    <col collapsed="false" customWidth="true" hidden="false" outlineLevel="0" max="16" min="16" style="1" width="28"/>
  </cols>
  <sheetData>
    <row r="1" customFormat="false" ht="34.5" hidden="false" customHeight="true" outlineLevel="0" collapsed="false">
      <c r="A1" s="116" t="s">
        <v>222</v>
      </c>
      <c r="B1" s="116"/>
      <c r="C1" s="116"/>
      <c r="D1" s="116"/>
      <c r="E1" s="116"/>
      <c r="F1" s="116"/>
      <c r="G1" s="116"/>
      <c r="H1" s="116"/>
      <c r="I1" s="116"/>
      <c r="J1" s="116"/>
      <c r="K1" s="116"/>
      <c r="L1" s="116"/>
      <c r="M1" s="116"/>
      <c r="N1" s="116"/>
      <c r="O1" s="116"/>
      <c r="P1" s="116"/>
    </row>
    <row r="2" customFormat="false" ht="18" hidden="false" customHeight="true" outlineLevel="0" collapsed="false">
      <c r="A2" s="117" t="s">
        <v>223</v>
      </c>
      <c r="B2" s="117"/>
      <c r="C2" s="117"/>
      <c r="D2" s="117"/>
      <c r="E2" s="117"/>
      <c r="F2" s="117"/>
      <c r="G2" s="117"/>
      <c r="H2" s="117"/>
      <c r="I2" s="117"/>
      <c r="J2" s="117"/>
      <c r="K2" s="117"/>
      <c r="L2" s="117"/>
      <c r="M2" s="117"/>
      <c r="N2" s="117"/>
      <c r="O2" s="117"/>
      <c r="P2" s="117"/>
    </row>
    <row r="3" customFormat="false" ht="19.5" hidden="false" customHeight="true" outlineLevel="0" collapsed="false">
      <c r="A3" s="118" t="s">
        <v>224</v>
      </c>
      <c r="B3" s="118"/>
      <c r="C3" s="118"/>
      <c r="D3" s="118"/>
      <c r="E3" s="118"/>
      <c r="F3" s="118"/>
      <c r="G3" s="118"/>
      <c r="H3" s="118"/>
      <c r="I3" s="118" t="s">
        <v>178</v>
      </c>
      <c r="J3" s="119" t="s">
        <v>225</v>
      </c>
      <c r="K3" s="119"/>
      <c r="L3" s="119"/>
      <c r="M3" s="119"/>
      <c r="N3" s="120" t="s">
        <v>226</v>
      </c>
      <c r="O3" s="120"/>
      <c r="P3" s="121" t="s">
        <v>227</v>
      </c>
    </row>
    <row r="4" customFormat="false" ht="39.75" hidden="false" customHeight="true" outlineLevel="0" collapsed="false">
      <c r="A4" s="122" t="s">
        <v>228</v>
      </c>
      <c r="B4" s="8" t="s">
        <v>134</v>
      </c>
      <c r="C4" s="8" t="s">
        <v>229</v>
      </c>
      <c r="D4" s="123" t="s">
        <v>230</v>
      </c>
      <c r="E4" s="124" t="s">
        <v>231</v>
      </c>
      <c r="F4" s="125" t="s">
        <v>232</v>
      </c>
      <c r="G4" s="124" t="s">
        <v>233</v>
      </c>
      <c r="H4" s="123" t="s">
        <v>234</v>
      </c>
      <c r="I4" s="8" t="s">
        <v>178</v>
      </c>
      <c r="J4" s="123" t="s">
        <v>171</v>
      </c>
      <c r="K4" s="123" t="s">
        <v>172</v>
      </c>
      <c r="L4" s="123" t="s">
        <v>173</v>
      </c>
      <c r="M4" s="123" t="s">
        <v>174</v>
      </c>
      <c r="N4" s="124" t="s">
        <v>175</v>
      </c>
      <c r="O4" s="124" t="s">
        <v>176</v>
      </c>
      <c r="P4" s="126" t="s">
        <v>235</v>
      </c>
    </row>
    <row r="5" customFormat="false" ht="21.75" hidden="false" customHeight="true" outlineLevel="0" collapsed="false">
      <c r="A5" s="127" t="n">
        <v>0.16</v>
      </c>
      <c r="B5" s="128" t="s">
        <v>236</v>
      </c>
      <c r="C5" s="129" t="s">
        <v>237</v>
      </c>
      <c r="D5" s="71" t="str">
        <f aca="false">IFERROR(IF('GV Govern'!P4="⏳ Complete rating and target to generate recommendation.","⏳ Rate this control in the domain sheet to auto-generate.",'GV Govern'!P4),"—")</f>
        <v>Standardise CISO / Security Leadership: formalise all documentation, apply the control consistently across all in-scope assets, close remaining coverage gaps, and ensure evidence is collected routinely. Exceptions must be formally managed with named owners and defined expiry dates.</v>
      </c>
      <c r="E5" s="71" t="s">
        <v>238</v>
      </c>
      <c r="F5" s="130" t="s">
        <v>239</v>
      </c>
      <c r="G5" s="131" t="s">
        <v>240</v>
      </c>
      <c r="H5" s="70" t="s">
        <v>241</v>
      </c>
      <c r="I5" s="71"/>
      <c r="J5" s="132" t="n">
        <v>3000</v>
      </c>
      <c r="K5" s="132" t="n">
        <v>0</v>
      </c>
      <c r="L5" s="132" t="n">
        <v>0</v>
      </c>
      <c r="M5" s="132" t="n">
        <v>0</v>
      </c>
      <c r="N5" s="133" t="n">
        <f aca="false">IFERROR(SUM(J5,K5,M5),0)</f>
        <v>3000</v>
      </c>
      <c r="O5" s="133" t="n">
        <f aca="false">IFERROR(SUM(L5),0)</f>
        <v>0</v>
      </c>
      <c r="P5" s="134" t="s">
        <v>242</v>
      </c>
    </row>
    <row r="6" customFormat="false" ht="21.75" hidden="false" customHeight="true" outlineLevel="0" collapsed="false">
      <c r="A6" s="135" t="n">
        <v>0.32</v>
      </c>
      <c r="B6" s="136" t="s">
        <v>236</v>
      </c>
      <c r="C6" s="137" t="s">
        <v>243</v>
      </c>
      <c r="D6" s="71" t="str">
        <f aca="false">IFERROR(IF('GV Govern'!P5="⏳ Complete rating and target to generate recommendation.","⏳ Rate this control in the domain sheet to auto-generate.",'GV Govern'!P5),"—")</f>
        <v>Standardise Cybersecurity Strategy &amp; Programme: formalise all documentation, apply the control consistently across all in-scope assets, close remaining coverage gaps, and ensure evidence is collected routinely. Exceptions must be formally managed with named owners and defined expiry dates.</v>
      </c>
      <c r="E6" s="77" t="s">
        <v>238</v>
      </c>
      <c r="F6" s="138" t="s">
        <v>239</v>
      </c>
      <c r="G6" s="139" t="s">
        <v>240</v>
      </c>
      <c r="H6" s="76" t="s">
        <v>241</v>
      </c>
      <c r="I6" s="77"/>
      <c r="J6" s="140" t="n">
        <v>3000</v>
      </c>
      <c r="K6" s="140"/>
      <c r="L6" s="140"/>
      <c r="M6" s="140"/>
      <c r="N6" s="141" t="n">
        <f aca="false">IFERROR(SUM(J6,K6,M6),0)</f>
        <v>3000</v>
      </c>
      <c r="O6" s="141" t="n">
        <f aca="false">IFERROR(SUM(L6),0)</f>
        <v>0</v>
      </c>
      <c r="P6" s="142" t="s">
        <v>242</v>
      </c>
    </row>
    <row r="7" customFormat="false" ht="21.75" hidden="false" customHeight="true" outlineLevel="0" collapsed="false">
      <c r="A7" s="127" t="n">
        <v>0.32</v>
      </c>
      <c r="B7" s="128" t="s">
        <v>236</v>
      </c>
      <c r="C7" s="129" t="s">
        <v>244</v>
      </c>
      <c r="D7" s="71" t="str">
        <f aca="false">IFERROR(IF('GV Govern'!P6="⏳ Complete rating and target to generate recommendation.","⏳ Rate this control in the domain sheet to auto-generate.",'GV Govern'!P6),"—")</f>
        <v>Standardise Cyber Budget &amp; Investment Model: formalise all documentation, apply the control consistently across all in-scope assets, close remaining coverage gaps, and ensure evidence is collected routinely. Exceptions must be formally managed with named owners and defined expiry dates.</v>
      </c>
      <c r="E7" s="71" t="s">
        <v>245</v>
      </c>
      <c r="F7" s="130" t="s">
        <v>246</v>
      </c>
      <c r="G7" s="131" t="s">
        <v>247</v>
      </c>
      <c r="H7" s="70" t="s">
        <v>241</v>
      </c>
      <c r="I7" s="71"/>
      <c r="J7" s="132" t="n">
        <v>1250</v>
      </c>
      <c r="K7" s="132"/>
      <c r="L7" s="132"/>
      <c r="M7" s="132"/>
      <c r="N7" s="133" t="n">
        <f aca="false">IFERROR(SUM(J7,K7,M7),0)</f>
        <v>1250</v>
      </c>
      <c r="O7" s="133" t="n">
        <f aca="false">IFERROR(SUM(L7),0)</f>
        <v>0</v>
      </c>
      <c r="P7" s="134" t="s">
        <v>242</v>
      </c>
    </row>
    <row r="8" customFormat="false" ht="21.75" hidden="false" customHeight="true" outlineLevel="0" collapsed="false">
      <c r="A8" s="135" t="n">
        <v>0.16</v>
      </c>
      <c r="B8" s="136" t="s">
        <v>236</v>
      </c>
      <c r="C8" s="137" t="s">
        <v>248</v>
      </c>
      <c r="D8" s="77" t="str">
        <f aca="false">IFERROR(IF('GV Govern'!P7="⏳ Complete rating and target to generate recommendation.","⏳ Rate this control in the domain sheet to auto-generate.",'GV Govern'!P7),"—")</f>
        <v>Standardise Security Organisational Structure: formalise all documentation, apply the control consistently across all in-scope assets, close remaining coverage gaps, and ensure evidence is collected routinely. Exceptions must be formally managed with named owners and defined expiry dates.</v>
      </c>
      <c r="E8" s="77" t="s">
        <v>238</v>
      </c>
      <c r="F8" s="138" t="s">
        <v>239</v>
      </c>
      <c r="G8" s="139" t="s">
        <v>249</v>
      </c>
      <c r="H8" s="76" t="s">
        <v>241</v>
      </c>
      <c r="I8" s="77"/>
      <c r="J8" s="140" t="n">
        <v>3000</v>
      </c>
      <c r="K8" s="140"/>
      <c r="L8" s="140"/>
      <c r="M8" s="140"/>
      <c r="N8" s="141" t="n">
        <f aca="false">IFERROR(SUM(J8,K8,M8),0)</f>
        <v>3000</v>
      </c>
      <c r="O8" s="141" t="n">
        <f aca="false">IFERROR(SUM(L8),0)</f>
        <v>0</v>
      </c>
      <c r="P8" s="142" t="s">
        <v>242</v>
      </c>
    </row>
    <row r="9" customFormat="false" ht="21.75" hidden="false" customHeight="true" outlineLevel="0" collapsed="false">
      <c r="A9" s="127" t="n">
        <v>0.32</v>
      </c>
      <c r="B9" s="128" t="s">
        <v>236</v>
      </c>
      <c r="C9" s="129" t="s">
        <v>250</v>
      </c>
      <c r="D9" s="71" t="str">
        <f aca="false">IFERROR(IF('GV Govern'!P8="⏳ Complete rating and target to generate recommendation.","⏳ Rate this control in the domain sheet to auto-generate.",'GV Govern'!P8),"—")</f>
        <v>Standardise Board-Level Cybersecurity Oversight: formalise all documentation, apply the control consistently across all in-scope assets, close remaining coverage gaps, and ensure evidence is collected routinely. Exceptions must be formally managed with named owners and defined expiry dates.</v>
      </c>
      <c r="E9" s="71" t="s">
        <v>238</v>
      </c>
      <c r="F9" s="130" t="s">
        <v>239</v>
      </c>
      <c r="G9" s="131" t="s">
        <v>240</v>
      </c>
      <c r="H9" s="70" t="s">
        <v>241</v>
      </c>
      <c r="I9" s="71"/>
      <c r="J9" s="132" t="n">
        <v>3000</v>
      </c>
      <c r="K9" s="132"/>
      <c r="L9" s="132"/>
      <c r="M9" s="132"/>
      <c r="N9" s="133" t="n">
        <f aca="false">IFERROR(SUM(J9,K9,M9),0)</f>
        <v>3000</v>
      </c>
      <c r="O9" s="133" t="n">
        <f aca="false">IFERROR(SUM(L9),0)</f>
        <v>0</v>
      </c>
      <c r="P9" s="134" t="s">
        <v>242</v>
      </c>
    </row>
    <row r="10" customFormat="false" ht="21.75" hidden="false" customHeight="true" outlineLevel="0" collapsed="false">
      <c r="A10" s="135" t="n">
        <v>0.16</v>
      </c>
      <c r="B10" s="136" t="s">
        <v>236</v>
      </c>
      <c r="C10" s="137" t="s">
        <v>251</v>
      </c>
      <c r="D10" s="77" t="str">
        <f aca="false">IFERROR(IF('GV Govern'!P9="⏳ Complete rating and target to generate recommendation.","⏳ Rate this control in the domain sheet to auto-generate.",'GV Govern'!P9),"—")</f>
        <v>Standardise Security Policy Framework &amp; Hierarchy: formalise all documentation, apply the control consistently across all in-scope assets, close remaining coverage gaps, and ensure evidence is collected routinely. Exceptions must be formally managed with named owners and defined expiry dates.</v>
      </c>
      <c r="E10" s="77" t="s">
        <v>245</v>
      </c>
      <c r="F10" s="138" t="s">
        <v>246</v>
      </c>
      <c r="G10" s="139" t="s">
        <v>252</v>
      </c>
      <c r="H10" s="76" t="s">
        <v>241</v>
      </c>
      <c r="I10" s="77"/>
      <c r="J10" s="140" t="n">
        <v>1250</v>
      </c>
      <c r="K10" s="140"/>
      <c r="L10" s="140"/>
      <c r="M10" s="140"/>
      <c r="N10" s="141" t="n">
        <f aca="false">IFERROR(SUM(J10,K10,M10),0)</f>
        <v>1250</v>
      </c>
      <c r="O10" s="141" t="n">
        <f aca="false">IFERROR(SUM(L10),0)</f>
        <v>0</v>
      </c>
      <c r="P10" s="142" t="s">
        <v>242</v>
      </c>
    </row>
    <row r="11" customFormat="false" ht="21.75" hidden="false" customHeight="true" outlineLevel="0" collapsed="false">
      <c r="A11" s="127" t="n">
        <v>0.16</v>
      </c>
      <c r="B11" s="128" t="s">
        <v>236</v>
      </c>
      <c r="C11" s="129" t="s">
        <v>253</v>
      </c>
      <c r="D11" s="71" t="str">
        <f aca="false">IFERROR(IF('GV Govern'!P10="⏳ Complete rating and target to generate recommendation.","⏳ Rate this control in the domain sheet to auto-generate.",'GV Govern'!P10),"—")</f>
        <v>Standardise Policy Attestation &amp; Enforcement: formalise all documentation, apply the control consistently across all in-scope assets, close remaining coverage gaps, and ensure evidence is collected routinely. Exceptions must be formally managed with named owners and defined expiry dates.</v>
      </c>
      <c r="E11" s="71" t="s">
        <v>245</v>
      </c>
      <c r="F11" s="130" t="s">
        <v>246</v>
      </c>
      <c r="G11" s="131" t="s">
        <v>254</v>
      </c>
      <c r="H11" s="70" t="s">
        <v>241</v>
      </c>
      <c r="I11" s="71"/>
      <c r="J11" s="143" t="n">
        <v>1250</v>
      </c>
      <c r="K11" s="144"/>
      <c r="L11" s="144"/>
      <c r="M11" s="144"/>
      <c r="N11" s="133" t="n">
        <f aca="false">IFERROR(SUM(J11,K11,M11),0)</f>
        <v>1250</v>
      </c>
      <c r="O11" s="133" t="n">
        <f aca="false">IFERROR(SUM(L11),0)</f>
        <v>0</v>
      </c>
      <c r="P11" s="134" t="s">
        <v>242</v>
      </c>
    </row>
    <row r="12" customFormat="false" ht="21.75" hidden="false" customHeight="true" outlineLevel="0" collapsed="false">
      <c r="A12" s="135" t="n">
        <v>0.32</v>
      </c>
      <c r="B12" s="136" t="s">
        <v>236</v>
      </c>
      <c r="C12" s="137" t="s">
        <v>255</v>
      </c>
      <c r="D12" s="77" t="str">
        <f aca="false">IFERROR(IF('GV Govern'!P11="⏳ Complete rating and target to generate recommendation.","⏳ Rate this control in the domain sheet to auto-generate.",'GV Govern'!P11),"—")</f>
        <v>Standardise Policy Exception Governance: formalise all documentation, apply the control consistently across all in-scope assets, close remaining coverage gaps, and ensure evidence is collected routinely. Exceptions must be formally managed with named owners and defined expiry dates.</v>
      </c>
      <c r="E12" s="77" t="s">
        <v>238</v>
      </c>
      <c r="F12" s="138" t="s">
        <v>239</v>
      </c>
      <c r="G12" s="139" t="s">
        <v>249</v>
      </c>
      <c r="H12" s="76" t="s">
        <v>241</v>
      </c>
      <c r="I12" s="77"/>
      <c r="J12" s="145" t="n">
        <v>3000</v>
      </c>
      <c r="K12" s="146"/>
      <c r="L12" s="146"/>
      <c r="M12" s="146"/>
      <c r="N12" s="141" t="n">
        <f aca="false">IFERROR(SUM(J12,K12,M12),0)</f>
        <v>3000</v>
      </c>
      <c r="O12" s="141" t="n">
        <f aca="false">IFERROR(SUM(L12),0)</f>
        <v>0</v>
      </c>
      <c r="P12" s="142" t="s">
        <v>242</v>
      </c>
    </row>
    <row r="13" customFormat="false" ht="21.75" hidden="false" customHeight="true" outlineLevel="0" collapsed="false">
      <c r="A13" s="127" t="n">
        <v>0.32</v>
      </c>
      <c r="B13" s="128" t="s">
        <v>236</v>
      </c>
      <c r="C13" s="129" t="s">
        <v>256</v>
      </c>
      <c r="D13" s="71" t="str">
        <f aca="false">IFERROR(IF('GV Govern'!P12="⏳ Complete rating and target to generate recommendation.","⏳ Rate this control in the domain sheet to auto-generate.",'GV Govern'!P12),"—")</f>
        <v>Standardise Control Standards Management: formalise all documentation, apply the control consistently across all in-scope assets, close remaining coverage gaps, and ensure evidence is collected routinely. Exceptions must be formally managed with named owners and defined expiry dates.</v>
      </c>
      <c r="E13" s="71" t="s">
        <v>238</v>
      </c>
      <c r="F13" s="130" t="s">
        <v>239</v>
      </c>
      <c r="G13" s="131" t="s">
        <v>249</v>
      </c>
      <c r="H13" s="70" t="s">
        <v>241</v>
      </c>
      <c r="I13" s="71"/>
      <c r="J13" s="143" t="n">
        <v>3000</v>
      </c>
      <c r="K13" s="144"/>
      <c r="L13" s="144"/>
      <c r="M13" s="144"/>
      <c r="N13" s="133" t="n">
        <f aca="false">IFERROR(SUM(J13,K13,M13),0)</f>
        <v>3000</v>
      </c>
      <c r="O13" s="133" t="n">
        <f aca="false">IFERROR(SUM(L13),0)</f>
        <v>0</v>
      </c>
      <c r="P13" s="134" t="s">
        <v>242</v>
      </c>
    </row>
    <row r="14" customFormat="false" ht="21.75" hidden="false" customHeight="true" outlineLevel="0" collapsed="false">
      <c r="A14" s="135" t="n">
        <v>0.32</v>
      </c>
      <c r="B14" s="136" t="s">
        <v>236</v>
      </c>
      <c r="C14" s="137" t="s">
        <v>257</v>
      </c>
      <c r="D14" s="77" t="str">
        <f aca="false">IFERROR(IF('GV Govern'!P13="⏳ Complete rating and target to generate recommendation.","⏳ Rate this control in the domain sheet to auto-generate.",'GV Govern'!P13),"—")</f>
        <v>Instrument Regulatory Obligation Register &amp; Mapping with measurable KPIs: define performance thresholds (coverage %, SLA adherence, exception count), establish automated telemetry where possible, and integrate reporting into quarterly governance cycles. Evidence must be system-generated and reviewed at each governance cycle.</v>
      </c>
      <c r="E14" s="77" t="s">
        <v>238</v>
      </c>
      <c r="F14" s="138" t="s">
        <v>258</v>
      </c>
      <c r="G14" s="139" t="s">
        <v>252</v>
      </c>
      <c r="H14" s="76" t="s">
        <v>241</v>
      </c>
      <c r="I14" s="77"/>
      <c r="J14" s="145" t="n">
        <v>3000</v>
      </c>
      <c r="K14" s="146"/>
      <c r="L14" s="146"/>
      <c r="M14" s="146"/>
      <c r="N14" s="141" t="n">
        <f aca="false">IFERROR(SUM(J14,K14,M14),0)</f>
        <v>3000</v>
      </c>
      <c r="O14" s="141" t="n">
        <f aca="false">IFERROR(SUM(L14),0)</f>
        <v>0</v>
      </c>
      <c r="P14" s="142" t="s">
        <v>242</v>
      </c>
    </row>
    <row r="15" customFormat="false" ht="21.75" hidden="false" customHeight="true" outlineLevel="0" collapsed="false">
      <c r="A15" s="127" t="n">
        <v>0.48</v>
      </c>
      <c r="B15" s="128" t="s">
        <v>236</v>
      </c>
      <c r="C15" s="129" t="s">
        <v>259</v>
      </c>
      <c r="D15" s="71" t="str">
        <f aca="false">IFERROR(IF('GV Govern'!P14="⏳ Complete rating and target to generate recommendation.","⏳ Rate this control in the domain sheet to auto-generate.",'GV Govern'!P14),"—")</f>
        <v>Instrument Regulatory Change Management with measurable KPIs: define performance thresholds (coverage %, SLA adherence, exception count), establish automated telemetry where possible, and integrate reporting into quarterly governance cycles. Evidence must be system-generated and reviewed at each governance cycle.</v>
      </c>
      <c r="E15" s="71" t="s">
        <v>238</v>
      </c>
      <c r="F15" s="130" t="s">
        <v>258</v>
      </c>
      <c r="G15" s="131" t="s">
        <v>252</v>
      </c>
      <c r="H15" s="70" t="s">
        <v>241</v>
      </c>
      <c r="I15" s="71"/>
      <c r="J15" s="143" t="n">
        <v>3000</v>
      </c>
      <c r="K15" s="144"/>
      <c r="L15" s="144"/>
      <c r="M15" s="144"/>
      <c r="N15" s="133" t="n">
        <f aca="false">IFERROR(SUM(J15,K15,M15),0)</f>
        <v>3000</v>
      </c>
      <c r="O15" s="133" t="n">
        <f aca="false">IFERROR(SUM(L15),0)</f>
        <v>0</v>
      </c>
      <c r="P15" s="134" t="s">
        <v>242</v>
      </c>
    </row>
    <row r="16" customFormat="false" ht="21.75" hidden="false" customHeight="true" outlineLevel="0" collapsed="false">
      <c r="A16" s="135" t="n">
        <v>0.48</v>
      </c>
      <c r="B16" s="136" t="s">
        <v>236</v>
      </c>
      <c r="C16" s="137" t="s">
        <v>260</v>
      </c>
      <c r="D16" s="77" t="str">
        <f aca="false">IFERROR(IF('GV Govern'!P15="⏳ Complete rating and target to generate recommendation.","⏳ Rate this control in the domain sheet to auto-generate.",'GV Govern'!P15),"—")</f>
        <v>Instrument Security Standards for Third Parties with measurable KPIs: define performance thresholds (coverage %, SLA adherence, exception count), establish automated telemetry where possible, and integrate reporting into quarterly governance cycles. Evidence must be system-generated and reviewed at each governance cycle.</v>
      </c>
      <c r="E16" s="77" t="s">
        <v>238</v>
      </c>
      <c r="F16" s="138" t="s">
        <v>258</v>
      </c>
      <c r="G16" s="139" t="s">
        <v>261</v>
      </c>
      <c r="H16" s="76" t="s">
        <v>241</v>
      </c>
      <c r="I16" s="77"/>
      <c r="J16" s="145" t="n">
        <v>3000</v>
      </c>
      <c r="K16" s="146"/>
      <c r="L16" s="146"/>
      <c r="M16" s="146"/>
      <c r="N16" s="141" t="n">
        <f aca="false">IFERROR(SUM(J16,K16,M16),0)</f>
        <v>3000</v>
      </c>
      <c r="O16" s="141" t="n">
        <f aca="false">IFERROR(SUM(L16),0)</f>
        <v>0</v>
      </c>
      <c r="P16" s="142" t="s">
        <v>242</v>
      </c>
    </row>
    <row r="17" customFormat="false" ht="21.75" hidden="false" customHeight="true" outlineLevel="0" collapsed="false">
      <c r="A17" s="127" t="n">
        <v>0.16</v>
      </c>
      <c r="B17" s="128" t="s">
        <v>236</v>
      </c>
      <c r="C17" s="129" t="s">
        <v>262</v>
      </c>
      <c r="D17" s="71" t="str">
        <f aca="false">IFERROR(IF('GV Govern'!P16="⏳ Complete rating and target to generate recommendation.","⏳ Rate this control in the domain sheet to auto-generate.",'GV Govern'!P16),"—")</f>
        <v>Standardise Enterprise Risk Framework Integration: formalise all documentation, apply the control consistently across all in-scope assets, close remaining coverage gaps, and ensure evidence is collected routinely. Exceptions must be formally managed with named owners and defined expiry dates.</v>
      </c>
      <c r="E17" s="71" t="s">
        <v>238</v>
      </c>
      <c r="F17" s="130" t="s">
        <v>239</v>
      </c>
      <c r="G17" s="131" t="s">
        <v>249</v>
      </c>
      <c r="H17" s="70" t="s">
        <v>241</v>
      </c>
      <c r="I17" s="71"/>
      <c r="J17" s="143" t="n">
        <v>3000</v>
      </c>
      <c r="K17" s="144"/>
      <c r="L17" s="144"/>
      <c r="M17" s="144"/>
      <c r="N17" s="133" t="n">
        <f aca="false">IFERROR(SUM(J17,K17,M17),0)</f>
        <v>3000</v>
      </c>
      <c r="O17" s="133" t="n">
        <f aca="false">IFERROR(SUM(L17),0)</f>
        <v>0</v>
      </c>
      <c r="P17" s="134" t="s">
        <v>242</v>
      </c>
    </row>
    <row r="18" customFormat="false" ht="21.75" hidden="false" customHeight="true" outlineLevel="0" collapsed="false">
      <c r="A18" s="135" t="n">
        <v>0.32</v>
      </c>
      <c r="B18" s="136" t="s">
        <v>236</v>
      </c>
      <c r="C18" s="137" t="s">
        <v>263</v>
      </c>
      <c r="D18" s="77" t="str">
        <f aca="false">IFERROR(IF('GV Govern'!P17="⏳ Complete rating and target to generate recommendation.","⏳ Rate this control in the domain sheet to auto-generate.",'GV Govern'!P17),"—")</f>
        <v>Standardise Risk Appetite &amp; Tolerance Thresholds: formalise all documentation, apply the control consistently across all in-scope assets, close remaining coverage gaps, and ensure evidence is collected routinely. Exceptions must be formally managed with named owners and defined expiry dates.</v>
      </c>
      <c r="E18" s="77" t="s">
        <v>238</v>
      </c>
      <c r="F18" s="138" t="s">
        <v>239</v>
      </c>
      <c r="G18" s="139" t="s">
        <v>240</v>
      </c>
      <c r="H18" s="76" t="s">
        <v>241</v>
      </c>
      <c r="I18" s="77"/>
      <c r="J18" s="145" t="n">
        <v>3000</v>
      </c>
      <c r="K18" s="146"/>
      <c r="L18" s="146"/>
      <c r="M18" s="146"/>
      <c r="N18" s="141" t="n">
        <f aca="false">IFERROR(SUM(J18,K18,M18),0)</f>
        <v>3000</v>
      </c>
      <c r="O18" s="141" t="n">
        <f aca="false">IFERROR(SUM(L18),0)</f>
        <v>0</v>
      </c>
      <c r="P18" s="142" t="s">
        <v>242</v>
      </c>
    </row>
    <row r="19" customFormat="false" ht="21.75" hidden="false" customHeight="true" outlineLevel="0" collapsed="false">
      <c r="A19" s="127" t="n">
        <v>0.32</v>
      </c>
      <c r="B19" s="128" t="s">
        <v>236</v>
      </c>
      <c r="C19" s="129" t="s">
        <v>264</v>
      </c>
      <c r="D19" s="71" t="str">
        <f aca="false">IFERROR(IF('GV Govern'!P18="⏳ Complete rating and target to generate recommendation.","⏳ Rate this control in the domain sheet to auto-generate.",'GV Govern'!P18),"—")</f>
        <v>Standardise Risk Register Management &amp; Reporting: formalise all documentation, apply the control consistently across all in-scope assets, close remaining coverage gaps, and ensure evidence is collected routinely. Exceptions must be formally managed with named owners and defined expiry dates.</v>
      </c>
      <c r="E19" s="71" t="s">
        <v>238</v>
      </c>
      <c r="F19" s="130" t="s">
        <v>239</v>
      </c>
      <c r="G19" s="131" t="s">
        <v>249</v>
      </c>
      <c r="H19" s="70" t="s">
        <v>241</v>
      </c>
      <c r="I19" s="71"/>
      <c r="J19" s="143" t="n">
        <v>3000</v>
      </c>
      <c r="K19" s="144"/>
      <c r="L19" s="144"/>
      <c r="M19" s="144"/>
      <c r="N19" s="133" t="n">
        <f aca="false">IFERROR(SUM(J19,K19,M19),0)</f>
        <v>3000</v>
      </c>
      <c r="O19" s="133" t="n">
        <f aca="false">IFERROR(SUM(L19),0)</f>
        <v>0</v>
      </c>
      <c r="P19" s="134" t="s">
        <v>242</v>
      </c>
    </row>
    <row r="20" customFormat="false" ht="21.75" hidden="false" customHeight="true" outlineLevel="0" collapsed="false">
      <c r="A20" s="135" t="n">
        <v>0.16</v>
      </c>
      <c r="B20" s="136" t="s">
        <v>236</v>
      </c>
      <c r="C20" s="137" t="s">
        <v>265</v>
      </c>
      <c r="D20" s="77" t="str">
        <f aca="false">IFERROR(IF('GV Govern'!P19="⏳ Complete rating and target to generate recommendation.","⏳ Rate this control in the domain sheet to auto-generate.",'GV Govern'!P19),"—")</f>
        <v>Standardise Cyber Risk Quantification: formalise all documentation, apply the control consistently across all in-scope assets, close remaining coverage gaps, and ensure evidence is collected routinely. Exceptions must be formally managed with named owners and defined expiry dates.</v>
      </c>
      <c r="E20" s="77" t="s">
        <v>238</v>
      </c>
      <c r="F20" s="138" t="s">
        <v>239</v>
      </c>
      <c r="G20" s="139" t="s">
        <v>247</v>
      </c>
      <c r="H20" s="76" t="s">
        <v>241</v>
      </c>
      <c r="I20" s="77"/>
      <c r="J20" s="145" t="n">
        <v>3000</v>
      </c>
      <c r="K20" s="146"/>
      <c r="L20" s="146"/>
      <c r="M20" s="146"/>
      <c r="N20" s="141" t="n">
        <f aca="false">IFERROR(SUM(J20,K20,M20),0)</f>
        <v>3000</v>
      </c>
      <c r="O20" s="141" t="n">
        <f aca="false">IFERROR(SUM(L20),0)</f>
        <v>0</v>
      </c>
      <c r="P20" s="142" t="s">
        <v>242</v>
      </c>
    </row>
    <row r="21" customFormat="false" ht="21.75" hidden="false" customHeight="true" outlineLevel="0" collapsed="false">
      <c r="A21" s="127" t="n">
        <v>0.48</v>
      </c>
      <c r="B21" s="128" t="s">
        <v>236</v>
      </c>
      <c r="C21" s="129" t="s">
        <v>266</v>
      </c>
      <c r="D21" s="71" t="str">
        <f aca="false">IFERROR(IF('GV Govern'!P20="⏳ Complete rating and target to generate recommendation.","⏳ Rate this control in the domain sheet to auto-generate.",'GV Govern'!P20),"—")</f>
        <v>Instrument Third-Party Risk Management (TPRM) Programme with measurable KPIs: define performance thresholds (coverage %, SLA adherence, exception count), establish automated telemetry where possible, and integrate reporting into quarterly governance cycles. Evidence must be system-generated and reviewed at each governance cycle.</v>
      </c>
      <c r="E21" s="71" t="s">
        <v>267</v>
      </c>
      <c r="F21" s="130" t="s">
        <v>258</v>
      </c>
      <c r="G21" s="131" t="s">
        <v>261</v>
      </c>
      <c r="H21" s="70" t="s">
        <v>241</v>
      </c>
      <c r="I21" s="71"/>
      <c r="J21" s="143" t="n">
        <v>7500</v>
      </c>
      <c r="K21" s="144"/>
      <c r="L21" s="144"/>
      <c r="M21" s="144"/>
      <c r="N21" s="133" t="n">
        <f aca="false">IFERROR(SUM(J21,K21,M21),0)</f>
        <v>7500</v>
      </c>
      <c r="O21" s="133" t="n">
        <f aca="false">IFERROR(SUM(L21),0)</f>
        <v>0</v>
      </c>
      <c r="P21" s="134" t="s">
        <v>242</v>
      </c>
    </row>
    <row r="22" customFormat="false" ht="21.75" hidden="false" customHeight="true" outlineLevel="0" collapsed="false">
      <c r="A22" s="135" t="n">
        <v>0.16</v>
      </c>
      <c r="B22" s="136" t="s">
        <v>236</v>
      </c>
      <c r="C22" s="137" t="s">
        <v>268</v>
      </c>
      <c r="D22" s="77" t="str">
        <f aca="false">IFERROR(IF('GV Govern'!P21="⏳ Complete rating and target to generate recommendation.","⏳ Rate this control in the domain sheet to auto-generate.",'GV Govern'!P21),"—")</f>
        <v>Standardise Vendor Security Assessment Process: formalise all documentation, apply the control consistently across all in-scope assets, close remaining coverage gaps, and ensure evidence is collected routinely. Exceptions must be formally managed with named owners and defined expiry dates.</v>
      </c>
      <c r="E22" s="77" t="s">
        <v>238</v>
      </c>
      <c r="F22" s="138" t="s">
        <v>239</v>
      </c>
      <c r="G22" s="139" t="s">
        <v>261</v>
      </c>
      <c r="H22" s="76" t="s">
        <v>241</v>
      </c>
      <c r="I22" s="77"/>
      <c r="J22" s="145" t="n">
        <v>3000</v>
      </c>
      <c r="K22" s="146"/>
      <c r="L22" s="146"/>
      <c r="M22" s="146"/>
      <c r="N22" s="141" t="n">
        <f aca="false">IFERROR(SUM(J22,K22,M22),0)</f>
        <v>3000</v>
      </c>
      <c r="O22" s="141" t="n">
        <f aca="false">IFERROR(SUM(L22),0)</f>
        <v>0</v>
      </c>
      <c r="P22" s="142" t="s">
        <v>242</v>
      </c>
    </row>
    <row r="23" customFormat="false" ht="21.75" hidden="false" customHeight="true" outlineLevel="0" collapsed="false">
      <c r="A23" s="127" t="n">
        <v>0.32</v>
      </c>
      <c r="B23" s="128" t="s">
        <v>236</v>
      </c>
      <c r="C23" s="129" t="s">
        <v>269</v>
      </c>
      <c r="D23" s="71" t="str">
        <f aca="false">IFERROR(IF('GV Govern'!P22="⏳ Complete rating and target to generate recommendation.","⏳ Rate this control in the domain sheet to auto-generate.",'GV Govern'!P22),"—")</f>
        <v>Instrument Vendor Contractual Security Obligations with measurable KPIs: define performance thresholds (coverage %, SLA adherence, exception count), establish automated telemetry where possible, and integrate reporting into quarterly governance cycles. Evidence must be system-generated and reviewed at each governance cycle.</v>
      </c>
      <c r="E23" s="71" t="s">
        <v>238</v>
      </c>
      <c r="F23" s="130" t="s">
        <v>258</v>
      </c>
      <c r="G23" s="131" t="s">
        <v>252</v>
      </c>
      <c r="H23" s="70" t="s">
        <v>241</v>
      </c>
      <c r="I23" s="71"/>
      <c r="J23" s="143" t="n">
        <v>3000</v>
      </c>
      <c r="K23" s="144"/>
      <c r="L23" s="144"/>
      <c r="M23" s="144"/>
      <c r="N23" s="133" t="n">
        <f aca="false">IFERROR(SUM(J23,K23,M23),0)</f>
        <v>3000</v>
      </c>
      <c r="O23" s="133" t="n">
        <f aca="false">IFERROR(SUM(L23),0)</f>
        <v>0</v>
      </c>
      <c r="P23" s="134" t="s">
        <v>242</v>
      </c>
    </row>
    <row r="24" customFormat="false" ht="21.75" hidden="false" customHeight="true" outlineLevel="0" collapsed="false">
      <c r="A24" s="135" t="n">
        <v>0.48</v>
      </c>
      <c r="B24" s="136" t="s">
        <v>236</v>
      </c>
      <c r="C24" s="137" t="s">
        <v>270</v>
      </c>
      <c r="D24" s="77" t="str">
        <f aca="false">IFERROR(IF('GV Govern'!P23="⏳ Complete rating and target to generate recommendation.","⏳ Rate this control in the domain sheet to auto-generate.",'GV Govern'!P23),"—")</f>
        <v>Instrument Fourth-Party &amp; Sub-Processor Mapping with measurable KPIs: define performance thresholds (coverage %, SLA adherence, exception count), establish automated telemetry where possible, and integrate reporting into quarterly governance cycles. Evidence must be system-generated and reviewed at each governance cycle.</v>
      </c>
      <c r="E24" s="77" t="s">
        <v>238</v>
      </c>
      <c r="F24" s="138" t="s">
        <v>258</v>
      </c>
      <c r="G24" s="139" t="s">
        <v>261</v>
      </c>
      <c r="H24" s="76" t="s">
        <v>241</v>
      </c>
      <c r="I24" s="77"/>
      <c r="J24" s="145" t="n">
        <v>3000</v>
      </c>
      <c r="K24" s="146"/>
      <c r="L24" s="146"/>
      <c r="M24" s="146"/>
      <c r="N24" s="141" t="n">
        <f aca="false">IFERROR(SUM(J24,K24,M24),0)</f>
        <v>3000</v>
      </c>
      <c r="O24" s="141" t="n">
        <f aca="false">IFERROR(SUM(L24),0)</f>
        <v>0</v>
      </c>
      <c r="P24" s="142" t="s">
        <v>242</v>
      </c>
    </row>
    <row r="25" customFormat="false" ht="21.75" hidden="false" customHeight="true" outlineLevel="0" collapsed="false">
      <c r="A25" s="127" t="n">
        <v>0</v>
      </c>
      <c r="B25" s="128" t="s">
        <v>236</v>
      </c>
      <c r="C25" s="129" t="s">
        <v>271</v>
      </c>
      <c r="D25" s="71" t="str">
        <f aca="false">IFERROR(IF('GV Govern'!P24="⏳ Complete rating and target to generate recommendation.","⏳ Rate this control in the domain sheet to auto-generate.",'GV Govern'!P24),"—")</f>
        <v>⏳ Rate this control in the domain sheet to auto-generate.</v>
      </c>
      <c r="E25" s="71"/>
      <c r="F25" s="130"/>
      <c r="G25" s="131" t="s">
        <v>261</v>
      </c>
      <c r="H25" s="70" t="s">
        <v>272</v>
      </c>
      <c r="I25" s="71"/>
      <c r="J25" s="143"/>
      <c r="K25" s="144"/>
      <c r="L25" s="144"/>
      <c r="M25" s="144"/>
      <c r="N25" s="133" t="n">
        <f aca="false">IFERROR(SUM(J25,K25,M25),0)</f>
        <v>0</v>
      </c>
      <c r="O25" s="133" t="n">
        <f aca="false">IFERROR(SUM(L25),0)</f>
        <v>0</v>
      </c>
      <c r="P25" s="134" t="s">
        <v>273</v>
      </c>
    </row>
    <row r="26" customFormat="false" ht="21.75" hidden="false" customHeight="true" outlineLevel="0" collapsed="false">
      <c r="A26" s="135" t="n">
        <v>0.16</v>
      </c>
      <c r="B26" s="136" t="s">
        <v>236</v>
      </c>
      <c r="C26" s="137" t="s">
        <v>274</v>
      </c>
      <c r="D26" s="77" t="str">
        <f aca="false">IFERROR(IF('GV Govern'!P25="⏳ Complete rating and target to generate recommendation.","⏳ Rate this control in the domain sheet to auto-generate.",'GV Govern'!P25),"—")</f>
        <v>Standardise Software Supply Chain Security Governance: formalise all documentation, apply the control consistently across all in-scope assets, close remaining coverage gaps, and ensure evidence is collected routinely. Exceptions must be formally managed with named owners and defined expiry dates.</v>
      </c>
      <c r="E26" s="77" t="s">
        <v>238</v>
      </c>
      <c r="F26" s="138" t="s">
        <v>239</v>
      </c>
      <c r="G26" s="139" t="s">
        <v>275</v>
      </c>
      <c r="H26" s="76" t="s">
        <v>241</v>
      </c>
      <c r="I26" s="77"/>
      <c r="J26" s="145" t="n">
        <v>3000</v>
      </c>
      <c r="K26" s="146"/>
      <c r="L26" s="146"/>
      <c r="M26" s="146"/>
      <c r="N26" s="141" t="n">
        <f aca="false">IFERROR(SUM(J26,K26,M26),0)</f>
        <v>3000</v>
      </c>
      <c r="O26" s="141" t="n">
        <f aca="false">IFERROR(SUM(L26),0)</f>
        <v>0</v>
      </c>
      <c r="P26" s="142" t="s">
        <v>242</v>
      </c>
    </row>
    <row r="27" customFormat="false" ht="21.75" hidden="false" customHeight="true" outlineLevel="0" collapsed="false">
      <c r="A27" s="127" t="n">
        <v>0.32</v>
      </c>
      <c r="B27" s="128" t="s">
        <v>236</v>
      </c>
      <c r="C27" s="129" t="s">
        <v>276</v>
      </c>
      <c r="D27" s="71" t="str">
        <f aca="false">IFERROR(IF('GV Govern'!P26="⏳ Complete rating and target to generate recommendation.","⏳ Rate this control in the domain sheet to auto-generate.",'GV Govern'!P26),"—")</f>
        <v>Standardise Supplier Resilience Requirements: formalise all documentation, apply the control consistently across all in-scope assets, close remaining coverage gaps, and ensure evidence is collected routinely. Exceptions must be formally managed with named owners and defined expiry dates.</v>
      </c>
      <c r="E27" s="71" t="s">
        <v>238</v>
      </c>
      <c r="F27" s="130" t="s">
        <v>239</v>
      </c>
      <c r="G27" s="131" t="s">
        <v>261</v>
      </c>
      <c r="H27" s="70" t="s">
        <v>241</v>
      </c>
      <c r="I27" s="71"/>
      <c r="J27" s="143" t="n">
        <v>3000</v>
      </c>
      <c r="K27" s="144"/>
      <c r="L27" s="144"/>
      <c r="M27" s="144"/>
      <c r="N27" s="133" t="n">
        <f aca="false">IFERROR(SUM(J27,K27,M27),0)</f>
        <v>3000</v>
      </c>
      <c r="O27" s="133" t="n">
        <f aca="false">IFERROR(SUM(L27),0)</f>
        <v>0</v>
      </c>
      <c r="P27" s="134" t="s">
        <v>242</v>
      </c>
    </row>
    <row r="28" customFormat="false" ht="21.75" hidden="false" customHeight="true" outlineLevel="0" collapsed="false">
      <c r="A28" s="135" t="n">
        <v>0.48</v>
      </c>
      <c r="B28" s="136" t="s">
        <v>236</v>
      </c>
      <c r="C28" s="137" t="s">
        <v>277</v>
      </c>
      <c r="D28" s="77" t="str">
        <f aca="false">IFERROR(IF('GV Govern'!P27="⏳ Complete rating and target to generate recommendation.","⏳ Rate this control in the domain sheet to auto-generate.",'GV Govern'!P27),"—")</f>
        <v>Instrument Privacy Governance &amp; DPO/Privacy Lead with measurable KPIs: define performance thresholds (coverage %, SLA adherence, exception count), establish automated telemetry where possible, and integrate reporting into quarterly governance cycles. Evidence must be system-generated and reviewed at each governance cycle.</v>
      </c>
      <c r="E28" s="77" t="s">
        <v>238</v>
      </c>
      <c r="F28" s="138" t="s">
        <v>239</v>
      </c>
      <c r="G28" s="139" t="s">
        <v>252</v>
      </c>
      <c r="H28" s="76" t="s">
        <v>241</v>
      </c>
      <c r="I28" s="77"/>
      <c r="J28" s="145" t="n">
        <v>3000</v>
      </c>
      <c r="K28" s="146" t="n">
        <v>0</v>
      </c>
      <c r="L28" s="146" t="n">
        <v>0</v>
      </c>
      <c r="M28" s="146" t="n">
        <v>0</v>
      </c>
      <c r="N28" s="141" t="n">
        <f aca="false">IFERROR(SUM(J28,K28,M28),0)</f>
        <v>3000</v>
      </c>
      <c r="O28" s="141" t="n">
        <f aca="false">IFERROR(SUM(L28),0)</f>
        <v>0</v>
      </c>
      <c r="P28" s="142" t="s">
        <v>242</v>
      </c>
    </row>
    <row r="29" customFormat="false" ht="21.75" hidden="false" customHeight="true" outlineLevel="0" collapsed="false">
      <c r="A29" s="127" t="n">
        <v>0.32</v>
      </c>
      <c r="B29" s="128" t="s">
        <v>236</v>
      </c>
      <c r="C29" s="129" t="s">
        <v>278</v>
      </c>
      <c r="D29" s="71" t="str">
        <f aca="false">IFERROR(IF('GV Govern'!P28="⏳ Complete rating and target to generate recommendation.","⏳ Rate this control in the domain sheet to auto-generate.",'GV Govern'!P28),"—")</f>
        <v>Instrument Records of Processing Activities (ROPA) with measurable KPIs: define performance thresholds (coverage %, SLA adherence, exception count), establish automated telemetry where possible, and integrate reporting into quarterly governance cycles. Evidence must be system-generated and reviewed at each governance cycle.</v>
      </c>
      <c r="E29" s="71" t="s">
        <v>238</v>
      </c>
      <c r="F29" s="130" t="s">
        <v>258</v>
      </c>
      <c r="G29" s="131" t="s">
        <v>252</v>
      </c>
      <c r="H29" s="70" t="s">
        <v>241</v>
      </c>
      <c r="I29" s="71"/>
      <c r="J29" s="143" t="n">
        <v>3000</v>
      </c>
      <c r="K29" s="144"/>
      <c r="L29" s="144"/>
      <c r="M29" s="144"/>
      <c r="N29" s="133" t="n">
        <f aca="false">IFERROR(SUM(J29,K29,M29),0)</f>
        <v>3000</v>
      </c>
      <c r="O29" s="133" t="n">
        <f aca="false">IFERROR(SUM(L29),0)</f>
        <v>0</v>
      </c>
      <c r="P29" s="134" t="s">
        <v>242</v>
      </c>
    </row>
    <row r="30" customFormat="false" ht="21.75" hidden="false" customHeight="true" outlineLevel="0" collapsed="false">
      <c r="A30" s="135" t="n">
        <v>0.48</v>
      </c>
      <c r="B30" s="136" t="s">
        <v>236</v>
      </c>
      <c r="C30" s="137" t="s">
        <v>279</v>
      </c>
      <c r="D30" s="77" t="str">
        <f aca="false">IFERROR(IF('GV Govern'!P29="⏳ Complete rating and target to generate recommendation.","⏳ Rate this control in the domain sheet to auto-generate.",'GV Govern'!P29),"—")</f>
        <v>Instrument Data Protection Impact Assessments (DPIAs) with measurable KPIs: define performance thresholds (coverage %, SLA adherence, exception count), establish automated telemetry where possible, and integrate reporting into quarterly governance cycles. Evidence must be system-generated and reviewed at each governance cycle.</v>
      </c>
      <c r="E30" s="77" t="s">
        <v>238</v>
      </c>
      <c r="F30" s="138" t="s">
        <v>258</v>
      </c>
      <c r="G30" s="139" t="s">
        <v>252</v>
      </c>
      <c r="H30" s="76" t="s">
        <v>241</v>
      </c>
      <c r="I30" s="77"/>
      <c r="J30" s="145" t="n">
        <v>3000</v>
      </c>
      <c r="K30" s="146"/>
      <c r="L30" s="146"/>
      <c r="M30" s="146"/>
      <c r="N30" s="141" t="n">
        <f aca="false">IFERROR(SUM(J30,K30,M30),0)</f>
        <v>3000</v>
      </c>
      <c r="O30" s="141" t="n">
        <f aca="false">IFERROR(SUM(L30),0)</f>
        <v>0</v>
      </c>
      <c r="P30" s="142" t="s">
        <v>242</v>
      </c>
    </row>
    <row r="31" customFormat="false" ht="21.75" hidden="false" customHeight="true" outlineLevel="0" collapsed="false">
      <c r="A31" s="127" t="n">
        <v>0.48</v>
      </c>
      <c r="B31" s="128" t="s">
        <v>236</v>
      </c>
      <c r="C31" s="129" t="s">
        <v>280</v>
      </c>
      <c r="D31" s="71" t="str">
        <f aca="false">IFERROR(IF('GV Govern'!P30="⏳ Complete rating and target to generate recommendation.","⏳ Rate this control in the domain sheet to auto-generate.",'GV Govern'!P30),"—")</f>
        <v>Instrument Cross-Border Data Transfer Controls with measurable KPIs: define performance thresholds (coverage %, SLA adherence, exception count), establish automated telemetry where possible, and integrate reporting into quarterly governance cycles. Evidence must be system-generated and reviewed at each governance cycle.</v>
      </c>
      <c r="E31" s="71" t="s">
        <v>238</v>
      </c>
      <c r="F31" s="130" t="s">
        <v>258</v>
      </c>
      <c r="G31" s="131" t="s">
        <v>252</v>
      </c>
      <c r="H31" s="70" t="s">
        <v>241</v>
      </c>
      <c r="I31" s="71"/>
      <c r="J31" s="143" t="n">
        <v>3000</v>
      </c>
      <c r="K31" s="144"/>
      <c r="L31" s="144"/>
      <c r="M31" s="144"/>
      <c r="N31" s="133" t="n">
        <f aca="false">IFERROR(SUM(J31,K31,M31),0)</f>
        <v>3000</v>
      </c>
      <c r="O31" s="133" t="n">
        <f aca="false">IFERROR(SUM(L31),0)</f>
        <v>0</v>
      </c>
      <c r="P31" s="134" t="s">
        <v>242</v>
      </c>
    </row>
    <row r="32" customFormat="false" ht="21.75" hidden="false" customHeight="true" outlineLevel="0" collapsed="false">
      <c r="A32" s="135" t="n">
        <v>0.16</v>
      </c>
      <c r="B32" s="136" t="s">
        <v>236</v>
      </c>
      <c r="C32" s="137" t="s">
        <v>281</v>
      </c>
      <c r="D32" s="77" t="str">
        <f aca="false">IFERROR(IF('GV Govern'!P31="⏳ Complete rating and target to generate recommendation.","⏳ Rate this control in the domain sheet to auto-generate.",'GV Govern'!P31),"—")</f>
        <v>Standardise Internal &amp; External Audit Programme: formalise all documentation, apply the control consistently across all in-scope assets, close remaining coverage gaps, and ensure evidence is collected routinely. Exceptions must be formally managed with named owners and defined expiry dates.</v>
      </c>
      <c r="E32" s="77" t="s">
        <v>238</v>
      </c>
      <c r="F32" s="138" t="s">
        <v>239</v>
      </c>
      <c r="G32" s="139" t="s">
        <v>240</v>
      </c>
      <c r="H32" s="76" t="s">
        <v>241</v>
      </c>
      <c r="I32" s="77"/>
      <c r="J32" s="145" t="n">
        <v>3000</v>
      </c>
      <c r="K32" s="146" t="n">
        <v>45000</v>
      </c>
      <c r="L32" s="146" t="n">
        <v>0</v>
      </c>
      <c r="M32" s="146" t="n">
        <v>0</v>
      </c>
      <c r="N32" s="141" t="n">
        <f aca="false">IFERROR(SUM(J32,K32,M32),0)</f>
        <v>48000</v>
      </c>
      <c r="O32" s="141" t="n">
        <f aca="false">IFERROR(SUM(L32),0)</f>
        <v>0</v>
      </c>
      <c r="P32" s="142" t="s">
        <v>242</v>
      </c>
    </row>
    <row r="33" customFormat="false" ht="21.75" hidden="false" customHeight="true" outlineLevel="0" collapsed="false">
      <c r="A33" s="127" t="n">
        <v>0.1</v>
      </c>
      <c r="B33" s="128" t="s">
        <v>282</v>
      </c>
      <c r="C33" s="129" t="s">
        <v>283</v>
      </c>
      <c r="D33" s="71" t="str">
        <f aca="false">IFERROR(IF('ID Identify'!P4="⏳ Complete rating and target to generate recommendation.","⏳ Rate this control in the domain sheet to auto-generate.",'ID Identify'!P4),"—")</f>
        <v>Standardise IT Hardware Asset Inventory (CMDB): formalise all documentation, apply the control consistently across all in-scope assets, close remaining coverage gaps, and ensure evidence is collected routinely. Exceptions must be formally managed with named owners and defined expiry dates.</v>
      </c>
      <c r="E33" s="71" t="s">
        <v>245</v>
      </c>
      <c r="F33" s="130" t="s">
        <v>246</v>
      </c>
      <c r="G33" s="131" t="s">
        <v>284</v>
      </c>
      <c r="H33" s="70" t="s">
        <v>241</v>
      </c>
      <c r="I33" s="71"/>
      <c r="J33" s="143" t="n">
        <v>1250</v>
      </c>
      <c r="K33" s="144"/>
      <c r="L33" s="144"/>
      <c r="M33" s="144"/>
      <c r="N33" s="133" t="n">
        <f aca="false">IFERROR(SUM(J33,K33,M33),0)</f>
        <v>1250</v>
      </c>
      <c r="O33" s="133" t="n">
        <f aca="false">IFERROR(SUM(L33),0)</f>
        <v>0</v>
      </c>
      <c r="P33" s="134" t="s">
        <v>242</v>
      </c>
    </row>
    <row r="34" customFormat="false" ht="21.75" hidden="false" customHeight="true" outlineLevel="0" collapsed="false">
      <c r="A34" s="135" t="n">
        <v>0.1</v>
      </c>
      <c r="B34" s="136" t="s">
        <v>282</v>
      </c>
      <c r="C34" s="137" t="s">
        <v>285</v>
      </c>
      <c r="D34" s="77" t="str">
        <f aca="false">IFERROR(IF('ID Identify'!P5="⏳ Complete rating and target to generate recommendation.","⏳ Rate this control in the domain sheet to auto-generate.",'ID Identify'!P5),"—")</f>
        <v>Standardise Software Asset Inventory: formalise all documentation, apply the control consistently across all in-scope assets, close remaining coverage gaps, and ensure evidence is collected routinely. Exceptions must be formally managed with named owners and defined expiry dates.</v>
      </c>
      <c r="E34" s="77" t="s">
        <v>238</v>
      </c>
      <c r="F34" s="138" t="s">
        <v>246</v>
      </c>
      <c r="G34" s="139" t="s">
        <v>284</v>
      </c>
      <c r="H34" s="76" t="s">
        <v>241</v>
      </c>
      <c r="I34" s="77"/>
      <c r="J34" s="145" t="n">
        <v>3000</v>
      </c>
      <c r="K34" s="146"/>
      <c r="L34" s="146"/>
      <c r="M34" s="146"/>
      <c r="N34" s="141" t="n">
        <f aca="false">IFERROR(SUM(J34,K34,M34),0)</f>
        <v>3000</v>
      </c>
      <c r="O34" s="141" t="n">
        <f aca="false">IFERROR(SUM(L34),0)</f>
        <v>0</v>
      </c>
      <c r="P34" s="142" t="s">
        <v>242</v>
      </c>
    </row>
    <row r="35" customFormat="false" ht="21.75" hidden="false" customHeight="true" outlineLevel="0" collapsed="false">
      <c r="A35" s="127" t="n">
        <v>0.1</v>
      </c>
      <c r="B35" s="128" t="s">
        <v>282</v>
      </c>
      <c r="C35" s="129" t="s">
        <v>286</v>
      </c>
      <c r="D35" s="71" t="str">
        <f aca="false">IFERROR(IF('ID Identify'!P6="⏳ Complete rating and target to generate recommendation.","⏳ Rate this control in the domain sheet to auto-generate.",'ID Identify'!P6),"—")</f>
        <v>Standardise Cloud Infrastructure Asset Inventory: formalise all documentation, apply the control consistently across all in-scope assets, close remaining coverage gaps, and ensure evidence is collected routinely. Exceptions must be formally managed with named owners and defined expiry dates.</v>
      </c>
      <c r="E35" s="71" t="s">
        <v>245</v>
      </c>
      <c r="F35" s="130" t="s">
        <v>246</v>
      </c>
      <c r="G35" s="131" t="s">
        <v>287</v>
      </c>
      <c r="H35" s="70" t="s">
        <v>241</v>
      </c>
      <c r="I35" s="71"/>
      <c r="J35" s="143" t="n">
        <v>1250</v>
      </c>
      <c r="K35" s="144"/>
      <c r="L35" s="144"/>
      <c r="M35" s="144"/>
      <c r="N35" s="133" t="n">
        <f aca="false">IFERROR(SUM(J35,K35,M35),0)</f>
        <v>1250</v>
      </c>
      <c r="O35" s="133" t="n">
        <f aca="false">IFERROR(SUM(L35),0)</f>
        <v>0</v>
      </c>
      <c r="P35" s="134" t="s">
        <v>242</v>
      </c>
    </row>
    <row r="36" customFormat="false" ht="21.75" hidden="false" customHeight="true" outlineLevel="0" collapsed="false">
      <c r="A36" s="135" t="n">
        <v>0.2</v>
      </c>
      <c r="B36" s="136" t="s">
        <v>282</v>
      </c>
      <c r="C36" s="137" t="s">
        <v>288</v>
      </c>
      <c r="D36" s="77" t="str">
        <f aca="false">IFERROR(IF('ID Identify'!P7="⏳ Complete rating and target to generate recommendation.","⏳ Rate this control in the domain sheet to auto-generate.",'ID Identify'!P7),"—")</f>
        <v>Instrument SaaS &amp; Shadow IT Discovery with measurable KPIs: define performance thresholds (coverage %, SLA adherence, exception count), establish automated telemetry where possible, and integrate reporting into quarterly governance cycles. Evidence must be system-generated and reviewed at each governance cycle.</v>
      </c>
      <c r="E36" s="77" t="s">
        <v>238</v>
      </c>
      <c r="F36" s="138" t="s">
        <v>239</v>
      </c>
      <c r="G36" s="139" t="s">
        <v>249</v>
      </c>
      <c r="H36" s="76" t="s">
        <v>241</v>
      </c>
      <c r="I36" s="77"/>
      <c r="J36" s="145" t="n">
        <v>3000</v>
      </c>
      <c r="K36" s="146"/>
      <c r="L36" s="146"/>
      <c r="M36" s="146"/>
      <c r="N36" s="141" t="n">
        <f aca="false">IFERROR(SUM(J36,K36,M36),0)</f>
        <v>3000</v>
      </c>
      <c r="O36" s="141" t="n">
        <f aca="false">IFERROR(SUM(L36),0)</f>
        <v>0</v>
      </c>
      <c r="P36" s="142" t="s">
        <v>242</v>
      </c>
    </row>
    <row r="37" customFormat="false" ht="21.75" hidden="false" customHeight="true" outlineLevel="0" collapsed="false">
      <c r="A37" s="127" t="n">
        <v>0</v>
      </c>
      <c r="B37" s="128" t="s">
        <v>282</v>
      </c>
      <c r="C37" s="129" t="s">
        <v>289</v>
      </c>
      <c r="D37" s="71" t="str">
        <f aca="false">IFERROR(IF('ID Identify'!P8="⏳ Complete rating and target to generate recommendation.","⏳ Rate this control in the domain sheet to auto-generate.",'ID Identify'!P8),"—")</f>
        <v>Standardise Software Bill of Materials (SBOM): formalise all documentation, apply the control consistently across all in-scope assets, close remaining coverage gaps, and ensure evidence is collected routinely. Exceptions must be formally managed with named owners and defined expiry dates.</v>
      </c>
      <c r="E37" s="71" t="s">
        <v>238</v>
      </c>
      <c r="F37" s="130" t="s">
        <v>246</v>
      </c>
      <c r="G37" s="131" t="s">
        <v>275</v>
      </c>
      <c r="H37" s="70" t="s">
        <v>241</v>
      </c>
      <c r="I37" s="71"/>
      <c r="J37" s="143" t="n">
        <v>3000</v>
      </c>
      <c r="K37" s="144"/>
      <c r="L37" s="144"/>
      <c r="M37" s="144"/>
      <c r="N37" s="133" t="n">
        <f aca="false">IFERROR(SUM(J37,K37,M37),0)</f>
        <v>3000</v>
      </c>
      <c r="O37" s="133" t="n">
        <f aca="false">IFERROR(SUM(L37),0)</f>
        <v>0</v>
      </c>
      <c r="P37" s="134" t="s">
        <v>242</v>
      </c>
    </row>
    <row r="38" customFormat="false" ht="21.75" hidden="false" customHeight="true" outlineLevel="0" collapsed="false">
      <c r="A38" s="135" t="n">
        <v>0.3</v>
      </c>
      <c r="B38" s="136" t="s">
        <v>282</v>
      </c>
      <c r="C38" s="137" t="s">
        <v>290</v>
      </c>
      <c r="D38" s="77" t="str">
        <f aca="false">IFERROR(IF('ID Identify'!P9="⏳ Complete rating and target to generate recommendation.","⏳ Rate this control in the domain sheet to auto-generate.",'ID Identify'!P9),"—")</f>
        <v>Instrument Network Topology &amp; Architecture Documentation with measurable KPIs: define performance thresholds (coverage %, SLA adherence, exception count), establish automated telemetry where possible, and integrate reporting into quarterly governance cycles. Evidence must be system-generated and reviewed at each governance cycle.</v>
      </c>
      <c r="E38" s="77" t="s">
        <v>238</v>
      </c>
      <c r="F38" s="138" t="s">
        <v>246</v>
      </c>
      <c r="G38" s="139" t="s">
        <v>249</v>
      </c>
      <c r="H38" s="76" t="s">
        <v>241</v>
      </c>
      <c r="I38" s="77"/>
      <c r="J38" s="145" t="n">
        <v>3000</v>
      </c>
      <c r="K38" s="146"/>
      <c r="L38" s="146"/>
      <c r="M38" s="146"/>
      <c r="N38" s="141" t="n">
        <f aca="false">IFERROR(SUM(J38,K38,M38),0)</f>
        <v>3000</v>
      </c>
      <c r="O38" s="141" t="n">
        <f aca="false">IFERROR(SUM(L38),0)</f>
        <v>0</v>
      </c>
      <c r="P38" s="142" t="s">
        <v>242</v>
      </c>
    </row>
    <row r="39" customFormat="false" ht="21.75" hidden="false" customHeight="true" outlineLevel="0" collapsed="false">
      <c r="A39" s="127" t="n">
        <v>0.1</v>
      </c>
      <c r="B39" s="128" t="s">
        <v>282</v>
      </c>
      <c r="C39" s="129" t="s">
        <v>291</v>
      </c>
      <c r="D39" s="71" t="str">
        <f aca="false">IFERROR(IF('ID Identify'!P10="⏳ Complete rating and target to generate recommendation.","⏳ Rate this control in the domain sheet to auto-generate.",'ID Identify'!P10),"—")</f>
        <v>Standardise Technology Lifecycle Management: formalise all documentation, apply the control consistently across all in-scope assets, close remaining coverage gaps, and ensure evidence is collected routinely. Exceptions must be formally managed with named owners and defined expiry dates.</v>
      </c>
      <c r="E39" s="71" t="s">
        <v>238</v>
      </c>
      <c r="F39" s="130" t="s">
        <v>246</v>
      </c>
      <c r="G39" s="131" t="s">
        <v>284</v>
      </c>
      <c r="H39" s="70" t="s">
        <v>241</v>
      </c>
      <c r="I39" s="71"/>
      <c r="J39" s="143" t="n">
        <v>3000</v>
      </c>
      <c r="K39" s="144"/>
      <c r="L39" s="144"/>
      <c r="M39" s="144"/>
      <c r="N39" s="133" t="n">
        <f aca="false">IFERROR(SUM(J39,K39,M39),0)</f>
        <v>3000</v>
      </c>
      <c r="O39" s="133" t="n">
        <f aca="false">IFERROR(SUM(L39),0)</f>
        <v>0</v>
      </c>
      <c r="P39" s="134" t="s">
        <v>242</v>
      </c>
    </row>
    <row r="40" customFormat="false" ht="21.75" hidden="false" customHeight="true" outlineLevel="0" collapsed="false">
      <c r="A40" s="135" t="n">
        <v>0.3</v>
      </c>
      <c r="B40" s="136" t="s">
        <v>282</v>
      </c>
      <c r="C40" s="137" t="s">
        <v>292</v>
      </c>
      <c r="D40" s="77" t="str">
        <f aca="false">IFERROR(IF('ID Identify'!P11="⏳ Complete rating and target to generate recommendation.","⏳ Rate this control in the domain sheet to auto-generate.",'ID Identify'!P11),"—")</f>
        <v>Instrument Data Classification Framework &amp; Implementation with measurable KPIs: define performance thresholds (coverage %, SLA adherence, exception count), establish automated telemetry where possible, and integrate reporting into quarterly governance cycles. Evidence must be system-generated and reviewed at each governance cycle.</v>
      </c>
      <c r="E40" s="77" t="s">
        <v>238</v>
      </c>
      <c r="F40" s="138" t="s">
        <v>239</v>
      </c>
      <c r="G40" s="139" t="s">
        <v>252</v>
      </c>
      <c r="H40" s="76" t="s">
        <v>241</v>
      </c>
      <c r="I40" s="77"/>
      <c r="J40" s="145" t="n">
        <v>3000</v>
      </c>
      <c r="K40" s="146"/>
      <c r="L40" s="146"/>
      <c r="M40" s="146"/>
      <c r="N40" s="141" t="n">
        <f aca="false">IFERROR(SUM(J40,K40,M40),0)</f>
        <v>3000</v>
      </c>
      <c r="O40" s="141" t="n">
        <f aca="false">IFERROR(SUM(L40),0)</f>
        <v>0</v>
      </c>
      <c r="P40" s="142" t="s">
        <v>242</v>
      </c>
    </row>
    <row r="41" customFormat="false" ht="21.75" hidden="false" customHeight="true" outlineLevel="0" collapsed="false">
      <c r="A41" s="127" t="n">
        <v>0.3</v>
      </c>
      <c r="B41" s="128" t="s">
        <v>282</v>
      </c>
      <c r="C41" s="129" t="s">
        <v>293</v>
      </c>
      <c r="D41" s="71" t="str">
        <f aca="false">IFERROR(IF('ID Identify'!P12="⏳ Complete rating and target to generate recommendation.","⏳ Rate this control in the domain sheet to auto-generate.",'ID Identify'!P12),"—")</f>
        <v>Instrument Sensitive Data Discovery &amp; Mapping with measurable KPIs: define performance thresholds (coverage %, SLA adherence, exception count), establish automated telemetry where possible, and integrate reporting into quarterly governance cycles. Evidence must be system-generated and reviewed at each governance cycle.</v>
      </c>
      <c r="E41" s="71" t="s">
        <v>238</v>
      </c>
      <c r="F41" s="130" t="s">
        <v>239</v>
      </c>
      <c r="G41" s="131" t="s">
        <v>252</v>
      </c>
      <c r="H41" s="70" t="s">
        <v>241</v>
      </c>
      <c r="I41" s="71"/>
      <c r="J41" s="143" t="n">
        <v>3000</v>
      </c>
      <c r="K41" s="144"/>
      <c r="L41" s="144"/>
      <c r="M41" s="144"/>
      <c r="N41" s="133" t="n">
        <f aca="false">IFERROR(SUM(J41,K41,M41),0)</f>
        <v>3000</v>
      </c>
      <c r="O41" s="133" t="n">
        <f aca="false">IFERROR(SUM(L41),0)</f>
        <v>0</v>
      </c>
      <c r="P41" s="134" t="s">
        <v>242</v>
      </c>
    </row>
    <row r="42" customFormat="false" ht="21.75" hidden="false" customHeight="true" outlineLevel="0" collapsed="false">
      <c r="A42" s="135" t="n">
        <v>0.2</v>
      </c>
      <c r="B42" s="136" t="s">
        <v>282</v>
      </c>
      <c r="C42" s="137" t="s">
        <v>294</v>
      </c>
      <c r="D42" s="77" t="str">
        <f aca="false">IFERROR(IF('ID Identify'!P13="⏳ Complete rating and target to generate recommendation.","⏳ Rate this control in the domain sheet to auto-generate.",'ID Identify'!P13),"—")</f>
        <v>Instrument Data Flow &amp; Transfer Mapping with measurable KPIs: define performance thresholds (coverage %, SLA adherence, exception count), establish automated telemetry where possible, and integrate reporting into quarterly governance cycles. Evidence must be system-generated and reviewed at each governance cycle.</v>
      </c>
      <c r="E42" s="77" t="s">
        <v>238</v>
      </c>
      <c r="F42" s="138" t="s">
        <v>239</v>
      </c>
      <c r="G42" s="139" t="s">
        <v>287</v>
      </c>
      <c r="H42" s="76" t="s">
        <v>241</v>
      </c>
      <c r="I42" s="77"/>
      <c r="J42" s="145" t="n">
        <v>3000</v>
      </c>
      <c r="K42" s="146"/>
      <c r="L42" s="146"/>
      <c r="M42" s="146"/>
      <c r="N42" s="141" t="n">
        <f aca="false">IFERROR(SUM(J42,K42,M42),0)</f>
        <v>3000</v>
      </c>
      <c r="O42" s="141" t="n">
        <f aca="false">IFERROR(SUM(L42),0)</f>
        <v>0</v>
      </c>
      <c r="P42" s="142" t="s">
        <v>242</v>
      </c>
    </row>
    <row r="43" customFormat="false" ht="21.75" hidden="false" customHeight="true" outlineLevel="0" collapsed="false">
      <c r="A43" s="127" t="n">
        <v>0.3</v>
      </c>
      <c r="B43" s="128" t="s">
        <v>282</v>
      </c>
      <c r="C43" s="129" t="s">
        <v>295</v>
      </c>
      <c r="D43" s="71" t="str">
        <f aca="false">IFERROR(IF('ID Identify'!P14="⏳ Complete rating and target to generate recommendation.","⏳ Rate this control in the domain sheet to auto-generate.",'ID Identify'!P14),"—")</f>
        <v>Instrument Retention Schedule &amp; Disposal Management with measurable KPIs: define performance thresholds (coverage %, SLA adherence, exception count), establish automated telemetry where possible, and integrate reporting into quarterly governance cycles. Evidence must be system-generated and reviewed at each governance cycle.</v>
      </c>
      <c r="E43" s="71" t="s">
        <v>238</v>
      </c>
      <c r="F43" s="130" t="s">
        <v>239</v>
      </c>
      <c r="G43" s="131" t="s">
        <v>252</v>
      </c>
      <c r="H43" s="70" t="s">
        <v>241</v>
      </c>
      <c r="I43" s="71"/>
      <c r="J43" s="143" t="n">
        <v>3000</v>
      </c>
      <c r="K43" s="144"/>
      <c r="L43" s="144"/>
      <c r="M43" s="144"/>
      <c r="N43" s="133" t="n">
        <f aca="false">IFERROR(SUM(J43,K43,M43),0)</f>
        <v>3000</v>
      </c>
      <c r="O43" s="133" t="n">
        <f aca="false">IFERROR(SUM(L43),0)</f>
        <v>0</v>
      </c>
      <c r="P43" s="134" t="s">
        <v>242</v>
      </c>
    </row>
    <row r="44" customFormat="false" ht="21.75" hidden="false" customHeight="true" outlineLevel="0" collapsed="false">
      <c r="A44" s="135" t="n">
        <v>0.3</v>
      </c>
      <c r="B44" s="136" t="s">
        <v>282</v>
      </c>
      <c r="C44" s="137" t="s">
        <v>296</v>
      </c>
      <c r="D44" s="77" t="str">
        <f aca="false">IFERROR(IF('ID Identify'!P15="⏳ Complete rating and target to generate recommendation.","⏳ Rate this control in the domain sheet to auto-generate.",'ID Identify'!P15),"—")</f>
        <v>Instrument Payment Data Scoping &amp; CDE Mapping with measurable KPIs: define performance thresholds (coverage %, SLA adherence, exception count), establish automated telemetry where possible, and integrate reporting into quarterly governance cycles. Evidence must be system-generated and reviewed at each governance cycle.</v>
      </c>
      <c r="E44" s="77" t="s">
        <v>267</v>
      </c>
      <c r="F44" s="138" t="s">
        <v>239</v>
      </c>
      <c r="G44" s="139" t="s">
        <v>287</v>
      </c>
      <c r="H44" s="76" t="s">
        <v>241</v>
      </c>
      <c r="I44" s="77"/>
      <c r="J44" s="145" t="n">
        <v>7500</v>
      </c>
      <c r="K44" s="146" t="n">
        <v>40000</v>
      </c>
      <c r="L44" s="146" t="n">
        <v>0</v>
      </c>
      <c r="M44" s="146" t="n">
        <v>0</v>
      </c>
      <c r="N44" s="141" t="n">
        <f aca="false">IFERROR(SUM(J44,K44,M44),0)</f>
        <v>47500</v>
      </c>
      <c r="O44" s="141" t="n">
        <f aca="false">IFERROR(SUM(L44),0)</f>
        <v>0</v>
      </c>
      <c r="P44" s="142" t="s">
        <v>242</v>
      </c>
    </row>
    <row r="45" customFormat="false" ht="21.75" hidden="false" customHeight="true" outlineLevel="0" collapsed="false">
      <c r="A45" s="127" t="n">
        <v>0.1</v>
      </c>
      <c r="B45" s="128" t="s">
        <v>282</v>
      </c>
      <c r="C45" s="129" t="s">
        <v>297</v>
      </c>
      <c r="D45" s="71" t="str">
        <f aca="false">IFERROR(IF('ID Identify'!P16="⏳ Complete rating and target to generate recommendation.","⏳ Rate this control in the domain sheet to auto-generate.",'ID Identify'!P16),"—")</f>
        <v>Standardise Business Impact Analysis (BIA): formalise all documentation, apply the control consistently across all in-scope assets, close remaining coverage gaps, and ensure evidence is collected routinely. Exceptions must be formally managed with named owners and defined expiry dates.</v>
      </c>
      <c r="E45" s="71" t="s">
        <v>238</v>
      </c>
      <c r="F45" s="130" t="s">
        <v>246</v>
      </c>
      <c r="G45" s="131" t="s">
        <v>284</v>
      </c>
      <c r="H45" s="70" t="s">
        <v>241</v>
      </c>
      <c r="I45" s="71"/>
      <c r="J45" s="143" t="n">
        <v>3000</v>
      </c>
      <c r="K45" s="144"/>
      <c r="L45" s="144"/>
      <c r="M45" s="144"/>
      <c r="N45" s="133" t="n">
        <f aca="false">IFERROR(SUM(J45,K45,M45),0)</f>
        <v>3000</v>
      </c>
      <c r="O45" s="133" t="n">
        <f aca="false">IFERROR(SUM(L45),0)</f>
        <v>0</v>
      </c>
      <c r="P45" s="134" t="s">
        <v>242</v>
      </c>
    </row>
    <row r="46" customFormat="false" ht="21.75" hidden="false" customHeight="true" outlineLevel="0" collapsed="false">
      <c r="A46" s="135" t="n">
        <v>0.2</v>
      </c>
      <c r="B46" s="136" t="s">
        <v>282</v>
      </c>
      <c r="C46" s="137" t="s">
        <v>298</v>
      </c>
      <c r="D46" s="77" t="str">
        <f aca="false">IFERROR(IF('ID Identify'!P17="⏳ Complete rating and target to generate recommendation.","⏳ Rate this control in the domain sheet to auto-generate.",'ID Identify'!P17),"—")</f>
        <v>Standardise Threat Landscape Assessment: formalise all documentation, apply the control consistently across all in-scope assets, close remaining coverage gaps, and ensure evidence is collected routinely. Exceptions must be formally managed with named owners and defined expiry dates.</v>
      </c>
      <c r="E46" s="77" t="s">
        <v>238</v>
      </c>
      <c r="F46" s="138" t="s">
        <v>246</v>
      </c>
      <c r="G46" s="139" t="s">
        <v>299</v>
      </c>
      <c r="H46" s="76" t="s">
        <v>241</v>
      </c>
      <c r="I46" s="77"/>
      <c r="J46" s="145" t="n">
        <v>3000</v>
      </c>
      <c r="K46" s="146"/>
      <c r="L46" s="146"/>
      <c r="M46" s="146"/>
      <c r="N46" s="141" t="n">
        <f aca="false">IFERROR(SUM(J46,K46,M46),0)</f>
        <v>3000</v>
      </c>
      <c r="O46" s="141" t="n">
        <f aca="false">IFERROR(SUM(L46),0)</f>
        <v>0</v>
      </c>
      <c r="P46" s="142" t="s">
        <v>242</v>
      </c>
    </row>
    <row r="47" customFormat="false" ht="21.75" hidden="false" customHeight="true" outlineLevel="0" collapsed="false">
      <c r="A47" s="127" t="n">
        <v>0.3</v>
      </c>
      <c r="B47" s="128" t="s">
        <v>282</v>
      </c>
      <c r="C47" s="129" t="s">
        <v>300</v>
      </c>
      <c r="D47" s="71" t="str">
        <f aca="false">IFERROR(IF('ID Identify'!P18="⏳ Complete rating and target to generate recommendation.","⏳ Rate this control in the domain sheet to auto-generate.",'ID Identify'!P18),"—")</f>
        <v>Instrument Vulnerability Management Programme with measurable KPIs: define performance thresholds (coverage %, SLA adherence, exception count), establish automated telemetry where possible, and integrate reporting into quarterly governance cycles. Evidence must be system-generated and reviewed at each governance cycle.</v>
      </c>
      <c r="E47" s="71" t="s">
        <v>238</v>
      </c>
      <c r="F47" s="130" t="s">
        <v>246</v>
      </c>
      <c r="G47" s="131" t="s">
        <v>299</v>
      </c>
      <c r="H47" s="70" t="s">
        <v>241</v>
      </c>
      <c r="I47" s="71"/>
      <c r="J47" s="143" t="n">
        <v>3000</v>
      </c>
      <c r="K47" s="144" t="n">
        <v>0</v>
      </c>
      <c r="L47" s="144" t="n">
        <v>0</v>
      </c>
      <c r="M47" s="144" t="n">
        <v>18000</v>
      </c>
      <c r="N47" s="133" t="n">
        <f aca="false">IFERROR(SUM(J47,K47,M47),0)</f>
        <v>21000</v>
      </c>
      <c r="O47" s="133" t="n">
        <f aca="false">IFERROR(SUM(L47),0)</f>
        <v>0</v>
      </c>
      <c r="P47" s="134" t="s">
        <v>242</v>
      </c>
    </row>
    <row r="48" customFormat="false" ht="21.75" hidden="false" customHeight="true" outlineLevel="0" collapsed="false">
      <c r="A48" s="135" t="n">
        <v>0.2</v>
      </c>
      <c r="B48" s="136" t="s">
        <v>282</v>
      </c>
      <c r="C48" s="137" t="s">
        <v>301</v>
      </c>
      <c r="D48" s="77" t="str">
        <f aca="false">IFERROR(IF('ID Identify'!P19="⏳ Complete rating and target to generate recommendation.","⏳ Rate this control in the domain sheet to auto-generate.",'ID Identify'!P19),"—")</f>
        <v>Instrument Penetration Testing Programme with measurable KPIs: define performance thresholds (coverage %, SLA adherence, exception count), establish automated telemetry where possible, and integrate reporting into quarterly governance cycles. Evidence must be system-generated and reviewed at each governance cycle.</v>
      </c>
      <c r="E48" s="77" t="s">
        <v>245</v>
      </c>
      <c r="F48" s="138" t="s">
        <v>246</v>
      </c>
      <c r="G48" s="139" t="s">
        <v>299</v>
      </c>
      <c r="H48" s="76" t="s">
        <v>241</v>
      </c>
      <c r="I48" s="77"/>
      <c r="J48" s="145" t="n">
        <v>1250</v>
      </c>
      <c r="K48" s="146"/>
      <c r="L48" s="146"/>
      <c r="M48" s="146"/>
      <c r="N48" s="141" t="n">
        <f aca="false">IFERROR(SUM(J48,K48,M48),0)</f>
        <v>1250</v>
      </c>
      <c r="O48" s="141" t="n">
        <f aca="false">IFERROR(SUM(L48),0)</f>
        <v>0</v>
      </c>
      <c r="P48" s="142" t="s">
        <v>242</v>
      </c>
    </row>
    <row r="49" customFormat="false" ht="21.75" hidden="false" customHeight="true" outlineLevel="0" collapsed="false">
      <c r="A49" s="127" t="n">
        <v>0.2</v>
      </c>
      <c r="B49" s="128" t="s">
        <v>282</v>
      </c>
      <c r="C49" s="129" t="s">
        <v>302</v>
      </c>
      <c r="D49" s="71" t="str">
        <f aca="false">IFERROR(IF('ID Identify'!P20="⏳ Complete rating and target to generate recommendation.","⏳ Rate this control in the domain sheet to auto-generate.",'ID Identify'!P20),"—")</f>
        <v>Standardise Third-Party Security Rating Monitoring: formalise all documentation, apply the control consistently across all in-scope assets, close remaining coverage gaps, and ensure evidence is collected routinely. Exceptions must be formally managed with named owners and defined expiry dates.</v>
      </c>
      <c r="E49" s="71" t="s">
        <v>238</v>
      </c>
      <c r="F49" s="130" t="s">
        <v>246</v>
      </c>
      <c r="G49" s="131" t="s">
        <v>261</v>
      </c>
      <c r="H49" s="70" t="s">
        <v>241</v>
      </c>
      <c r="I49" s="71"/>
      <c r="J49" s="143" t="n">
        <v>3000</v>
      </c>
      <c r="K49" s="144"/>
      <c r="L49" s="144"/>
      <c r="M49" s="144"/>
      <c r="N49" s="133" t="n">
        <f aca="false">IFERROR(SUM(J49,K49,M49),0)</f>
        <v>3000</v>
      </c>
      <c r="O49" s="133" t="n">
        <f aca="false">IFERROR(SUM(L49),0)</f>
        <v>0</v>
      </c>
      <c r="P49" s="134" t="s">
        <v>242</v>
      </c>
    </row>
    <row r="50" customFormat="false" ht="21.75" hidden="false" customHeight="true" outlineLevel="0" collapsed="false">
      <c r="A50" s="135" t="n">
        <v>0.1</v>
      </c>
      <c r="B50" s="136" t="s">
        <v>282</v>
      </c>
      <c r="C50" s="137" t="s">
        <v>303</v>
      </c>
      <c r="D50" s="77" t="str">
        <f aca="false">IFERROR(IF('ID Identify'!P21="⏳ Complete rating and target to generate recommendation.","⏳ Rate this control in the domain sheet to auto-generate.",'ID Identify'!P21),"—")</f>
        <v>Standardise Critical Asset Identification &amp; Prioritisation: formalise all documentation, apply the control consistently across all in-scope assets, close remaining coverage gaps, and ensure evidence is collected routinely. Exceptions must be formally managed with named owners and defined expiry dates.</v>
      </c>
      <c r="E50" s="77" t="s">
        <v>238</v>
      </c>
      <c r="F50" s="138" t="s">
        <v>246</v>
      </c>
      <c r="G50" s="139" t="s">
        <v>249</v>
      </c>
      <c r="H50" s="76" t="s">
        <v>241</v>
      </c>
      <c r="I50" s="77"/>
      <c r="J50" s="145" t="n">
        <v>3000</v>
      </c>
      <c r="K50" s="146"/>
      <c r="L50" s="146"/>
      <c r="M50" s="146"/>
      <c r="N50" s="141" t="n">
        <f aca="false">IFERROR(SUM(J50,K50,M50),0)</f>
        <v>3000</v>
      </c>
      <c r="O50" s="141" t="n">
        <f aca="false">IFERROR(SUM(L50),0)</f>
        <v>0</v>
      </c>
      <c r="P50" s="142" t="s">
        <v>242</v>
      </c>
    </row>
    <row r="51" customFormat="false" ht="21.75" hidden="false" customHeight="true" outlineLevel="0" collapsed="false">
      <c r="A51" s="127" t="n">
        <v>0</v>
      </c>
      <c r="B51" s="128" t="s">
        <v>282</v>
      </c>
      <c r="C51" s="129" t="s">
        <v>304</v>
      </c>
      <c r="D51" s="71" t="str">
        <f aca="false">IFERROR(IF('ID Identify'!P22="⏳ Complete rating and target to generate recommendation.","⏳ Rate this control in the domain sheet to auto-generate.",'ID Identify'!P22),"—")</f>
        <v>⏳ Rate this control in the domain sheet to auto-generate.</v>
      </c>
      <c r="E51" s="71"/>
      <c r="F51" s="130"/>
      <c r="G51" s="131" t="s">
        <v>247</v>
      </c>
      <c r="H51" s="70" t="s">
        <v>272</v>
      </c>
      <c r="I51" s="71"/>
      <c r="J51" s="143"/>
      <c r="K51" s="144"/>
      <c r="L51" s="144"/>
      <c r="M51" s="144"/>
      <c r="N51" s="133" t="n">
        <f aca="false">IFERROR(SUM(J51,K51,M51),0)</f>
        <v>0</v>
      </c>
      <c r="O51" s="133" t="n">
        <f aca="false">IFERROR(SUM(L51),0)</f>
        <v>0</v>
      </c>
      <c r="P51" s="134" t="s">
        <v>273</v>
      </c>
    </row>
    <row r="52" customFormat="false" ht="21.75" hidden="false" customHeight="true" outlineLevel="0" collapsed="false">
      <c r="A52" s="135" t="n">
        <v>0</v>
      </c>
      <c r="B52" s="136" t="s">
        <v>282</v>
      </c>
      <c r="C52" s="137" t="s">
        <v>305</v>
      </c>
      <c r="D52" s="77" t="str">
        <f aca="false">IFERROR(IF('ID Identify'!P23="⏳ Complete rating and target to generate recommendation.","⏳ Rate this control in the domain sheet to auto-generate.",'ID Identify'!P23),"—")</f>
        <v>⏳ Rate this control in the domain sheet to auto-generate.</v>
      </c>
      <c r="E52" s="77"/>
      <c r="F52" s="138"/>
      <c r="G52" s="139" t="s">
        <v>252</v>
      </c>
      <c r="H52" s="76" t="s">
        <v>272</v>
      </c>
      <c r="I52" s="77"/>
      <c r="J52" s="145"/>
      <c r="K52" s="146"/>
      <c r="L52" s="146"/>
      <c r="M52" s="146"/>
      <c r="N52" s="141" t="n">
        <f aca="false">IFERROR(SUM(J52,K52,M52),0)</f>
        <v>0</v>
      </c>
      <c r="O52" s="141" t="n">
        <f aca="false">IFERROR(SUM(L52),0)</f>
        <v>0</v>
      </c>
      <c r="P52" s="142" t="s">
        <v>273</v>
      </c>
    </row>
    <row r="53" customFormat="false" ht="21.75" hidden="false" customHeight="true" outlineLevel="0" collapsed="false">
      <c r="A53" s="127" t="n">
        <v>0.2</v>
      </c>
      <c r="B53" s="128" t="s">
        <v>282</v>
      </c>
      <c r="C53" s="129" t="s">
        <v>306</v>
      </c>
      <c r="D53" s="71" t="str">
        <f aca="false">IFERROR(IF('ID Identify'!P24="⏳ Complete rating and target to generate recommendation.","⏳ Rate this control in the domain sheet to auto-generate.",'ID Identify'!P24),"—")</f>
        <v>Standardise Security Metrics &amp; Measurement Framework: formalise all documentation, apply the control consistently across all in-scope assets, close remaining coverage gaps, and ensure evidence is collected routinely. Exceptions must be formally managed with named owners and defined expiry dates.</v>
      </c>
      <c r="E53" s="71" t="s">
        <v>238</v>
      </c>
      <c r="F53" s="130" t="s">
        <v>246</v>
      </c>
      <c r="G53" s="131" t="s">
        <v>249</v>
      </c>
      <c r="H53" s="70" t="s">
        <v>241</v>
      </c>
      <c r="I53" s="71"/>
      <c r="J53" s="143" t="n">
        <v>3000</v>
      </c>
      <c r="K53" s="144"/>
      <c r="L53" s="144"/>
      <c r="M53" s="144"/>
      <c r="N53" s="133" t="n">
        <f aca="false">IFERROR(SUM(J53,K53,M53),0)</f>
        <v>3000</v>
      </c>
      <c r="O53" s="133" t="n">
        <f aca="false">IFERROR(SUM(L53),0)</f>
        <v>0</v>
      </c>
      <c r="P53" s="134" t="s">
        <v>242</v>
      </c>
    </row>
    <row r="54" customFormat="false" ht="21.75" hidden="false" customHeight="true" outlineLevel="0" collapsed="false">
      <c r="A54" s="135" t="n">
        <v>0.1</v>
      </c>
      <c r="B54" s="136" t="s">
        <v>282</v>
      </c>
      <c r="C54" s="137" t="s">
        <v>307</v>
      </c>
      <c r="D54" s="77" t="str">
        <f aca="false">IFERROR(IF('ID Identify'!P25="⏳ Complete rating and target to generate recommendation.","⏳ Rate this control in the domain sheet to auto-generate.",'ID Identify'!P25),"—")</f>
        <v>Standardise Red Team Programme: formalise all documentation, apply the control consistently across all in-scope assets, close remaining coverage gaps, and ensure evidence is collected routinely. Exceptions must be formally managed with named owners and defined expiry dates.</v>
      </c>
      <c r="E54" s="77" t="s">
        <v>238</v>
      </c>
      <c r="F54" s="138" t="s">
        <v>246</v>
      </c>
      <c r="G54" s="139" t="s">
        <v>299</v>
      </c>
      <c r="H54" s="76" t="s">
        <v>241</v>
      </c>
      <c r="I54" s="77"/>
      <c r="J54" s="145" t="n">
        <v>3000</v>
      </c>
      <c r="K54" s="146" t="n">
        <v>55000</v>
      </c>
      <c r="L54" s="146" t="n">
        <v>0</v>
      </c>
      <c r="M54" s="146" t="n">
        <v>0</v>
      </c>
      <c r="N54" s="141" t="n">
        <f aca="false">IFERROR(SUM(J54,K54,M54),0)</f>
        <v>58000</v>
      </c>
      <c r="O54" s="141" t="n">
        <f aca="false">IFERROR(SUM(L54),0)</f>
        <v>0</v>
      </c>
      <c r="P54" s="142" t="s">
        <v>242</v>
      </c>
    </row>
    <row r="55" customFormat="false" ht="21.75" hidden="false" customHeight="true" outlineLevel="0" collapsed="false">
      <c r="A55" s="127" t="n">
        <v>0.52</v>
      </c>
      <c r="B55" s="128" t="s">
        <v>308</v>
      </c>
      <c r="C55" s="129" t="s">
        <v>309</v>
      </c>
      <c r="D55" s="71" t="str">
        <f aca="false">IFERROR(IF('PR Protect'!P4="⏳ Complete rating and target to generate recommendation.","⏳ Rate this control in the domain sheet to auto-generate.",'PR Protect'!P4),"—")</f>
        <v>Instrument Multi-Factor Authentication — All Users with measurable KPIs: define performance thresholds (coverage %, SLA adherence, exception count), establish automated telemetry where possible, and integrate reporting into quarterly governance cycles. Evidence must be system-generated and reviewed at each governance cycle.</v>
      </c>
      <c r="E55" s="71" t="s">
        <v>238</v>
      </c>
      <c r="F55" s="71" t="s">
        <v>310</v>
      </c>
      <c r="G55" s="131" t="s">
        <v>249</v>
      </c>
      <c r="H55" s="70" t="s">
        <v>241</v>
      </c>
      <c r="I55" s="71"/>
      <c r="J55" s="143" t="n">
        <v>3000</v>
      </c>
      <c r="K55" s="144"/>
      <c r="L55" s="144"/>
      <c r="M55" s="144"/>
      <c r="N55" s="133" t="n">
        <f aca="false">IFERROR(SUM(J55,K55,M55),0)</f>
        <v>3000</v>
      </c>
      <c r="O55" s="133" t="n">
        <f aca="false">IFERROR(SUM(L55),0)</f>
        <v>0</v>
      </c>
      <c r="P55" s="134" t="s">
        <v>242</v>
      </c>
    </row>
    <row r="56" customFormat="false" ht="21.75" hidden="false" customHeight="true" outlineLevel="0" collapsed="false">
      <c r="A56" s="135" t="n">
        <v>0.52</v>
      </c>
      <c r="B56" s="136" t="s">
        <v>308</v>
      </c>
      <c r="C56" s="137" t="s">
        <v>311</v>
      </c>
      <c r="D56" s="77" t="str">
        <f aca="false">IFERROR(IF('PR Protect'!P5="⏳ Complete rating and target to generate recommendation.","⏳ Rate this control in the domain sheet to auto-generate.",'PR Protect'!P5),"—")</f>
        <v>Instrument Phishing-Resistant MFA for Privileged Accounts with measurable KPIs: define performance thresholds (coverage %, SLA adherence, exception count), establish automated telemetry where possible, and integrate reporting into quarterly governance cycles. Evidence must be system-generated and reviewed at each governance cycle.</v>
      </c>
      <c r="E56" s="77" t="s">
        <v>238</v>
      </c>
      <c r="F56" s="77" t="s">
        <v>310</v>
      </c>
      <c r="G56" s="139" t="s">
        <v>249</v>
      </c>
      <c r="H56" s="76" t="s">
        <v>241</v>
      </c>
      <c r="I56" s="77"/>
      <c r="J56" s="145" t="n">
        <v>3000</v>
      </c>
      <c r="K56" s="146"/>
      <c r="L56" s="146"/>
      <c r="M56" s="146"/>
      <c r="N56" s="141" t="n">
        <f aca="false">IFERROR(SUM(J56,K56,M56),0)</f>
        <v>3000</v>
      </c>
      <c r="O56" s="141" t="n">
        <f aca="false">IFERROR(SUM(L56),0)</f>
        <v>0</v>
      </c>
      <c r="P56" s="142" t="s">
        <v>242</v>
      </c>
    </row>
    <row r="57" customFormat="false" ht="21.75" hidden="false" customHeight="true" outlineLevel="0" collapsed="false">
      <c r="A57" s="127" t="n">
        <v>0.52</v>
      </c>
      <c r="B57" s="128" t="s">
        <v>308</v>
      </c>
      <c r="C57" s="129" t="s">
        <v>312</v>
      </c>
      <c r="D57" s="71" t="str">
        <f aca="false">IFERROR(IF('PR Protect'!P6="⏳ Complete rating and target to generate recommendation.","⏳ Rate this control in the domain sheet to auto-generate.",'PR Protect'!P6),"—")</f>
        <v>Instrument Privileged Access Management (PAM) with measurable KPIs: define performance thresholds (coverage %, SLA adherence, exception count), establish automated telemetry where possible, and integrate reporting into quarterly governance cycles. Evidence must be system-generated and reviewed at each governance cycle.</v>
      </c>
      <c r="E57" s="71" t="s">
        <v>267</v>
      </c>
      <c r="F57" s="71" t="s">
        <v>310</v>
      </c>
      <c r="G57" s="131" t="s">
        <v>249</v>
      </c>
      <c r="H57" s="70" t="s">
        <v>241</v>
      </c>
      <c r="I57" s="71"/>
      <c r="J57" s="143" t="n">
        <v>7500</v>
      </c>
      <c r="K57" s="144" t="n">
        <v>12000</v>
      </c>
      <c r="L57" s="144" t="n">
        <v>0</v>
      </c>
      <c r="M57" s="144" t="n">
        <v>22000</v>
      </c>
      <c r="N57" s="133" t="n">
        <f aca="false">IFERROR(SUM(J57,K57,M57),0)</f>
        <v>41500</v>
      </c>
      <c r="O57" s="133" t="n">
        <f aca="false">IFERROR(SUM(L57),0)</f>
        <v>0</v>
      </c>
      <c r="P57" s="134" t="s">
        <v>242</v>
      </c>
    </row>
    <row r="58" customFormat="false" ht="21.75" hidden="false" customHeight="true" outlineLevel="0" collapsed="false">
      <c r="A58" s="135" t="n">
        <v>0.52</v>
      </c>
      <c r="B58" s="136" t="s">
        <v>308</v>
      </c>
      <c r="C58" s="137" t="s">
        <v>313</v>
      </c>
      <c r="D58" s="77" t="str">
        <f aca="false">IFERROR(IF('PR Protect'!P7="⏳ Complete rating and target to generate recommendation.","⏳ Rate this control in the domain sheet to auto-generate.",'PR Protect'!P7),"—")</f>
        <v>Standardise Identity Lifecycle — Joiners Process: formalise all documentation, apply the control consistently across all in-scope assets, close remaining coverage gaps, and ensure evidence is collected routinely. Exceptions must be formally managed with named owners and defined expiry dates.</v>
      </c>
      <c r="E58" s="77" t="s">
        <v>245</v>
      </c>
      <c r="F58" s="77" t="s">
        <v>239</v>
      </c>
      <c r="G58" s="139" t="s">
        <v>254</v>
      </c>
      <c r="H58" s="76" t="s">
        <v>241</v>
      </c>
      <c r="I58" s="77"/>
      <c r="J58" s="145" t="n">
        <v>1250</v>
      </c>
      <c r="K58" s="146"/>
      <c r="L58" s="146"/>
      <c r="M58" s="146"/>
      <c r="N58" s="141" t="n">
        <f aca="false">IFERROR(SUM(J58,K58,M58),0)</f>
        <v>1250</v>
      </c>
      <c r="O58" s="141" t="n">
        <f aca="false">IFERROR(SUM(L58),0)</f>
        <v>0</v>
      </c>
      <c r="P58" s="142" t="s">
        <v>242</v>
      </c>
    </row>
    <row r="59" customFormat="false" ht="21.75" hidden="false" customHeight="true" outlineLevel="0" collapsed="false">
      <c r="A59" s="127" t="n">
        <v>0.52</v>
      </c>
      <c r="B59" s="128" t="s">
        <v>308</v>
      </c>
      <c r="C59" s="129" t="s">
        <v>314</v>
      </c>
      <c r="D59" s="71" t="str">
        <f aca="false">IFERROR(IF('PR Protect'!P8="⏳ Complete rating and target to generate recommendation.","⏳ Rate this control in the domain sheet to auto-generate.",'PR Protect'!P8),"—")</f>
        <v>Standardise Identity Lifecycle — Movers Process: formalise all documentation, apply the control consistently across all in-scope assets, close remaining coverage gaps, and ensure evidence is collected routinely. Exceptions must be formally managed with named owners and defined expiry dates.</v>
      </c>
      <c r="E59" s="71" t="s">
        <v>238</v>
      </c>
      <c r="F59" s="71" t="s">
        <v>310</v>
      </c>
      <c r="G59" s="131" t="s">
        <v>254</v>
      </c>
      <c r="H59" s="70" t="s">
        <v>241</v>
      </c>
      <c r="I59" s="71"/>
      <c r="J59" s="143" t="n">
        <v>3000</v>
      </c>
      <c r="K59" s="144"/>
      <c r="L59" s="144"/>
      <c r="M59" s="144"/>
      <c r="N59" s="133" t="n">
        <f aca="false">IFERROR(SUM(J59,K59,M59),0)</f>
        <v>3000</v>
      </c>
      <c r="O59" s="133" t="n">
        <f aca="false">IFERROR(SUM(L59),0)</f>
        <v>0</v>
      </c>
      <c r="P59" s="134" t="s">
        <v>242</v>
      </c>
    </row>
    <row r="60" customFormat="false" ht="21.75" hidden="false" customHeight="true" outlineLevel="0" collapsed="false">
      <c r="A60" s="135" t="n">
        <v>0.52</v>
      </c>
      <c r="B60" s="136" t="s">
        <v>308</v>
      </c>
      <c r="C60" s="137" t="s">
        <v>315</v>
      </c>
      <c r="D60" s="77" t="str">
        <f aca="false">IFERROR(IF('PR Protect'!P9="⏳ Complete rating and target to generate recommendation.","⏳ Rate this control in the domain sheet to auto-generate.",'PR Protect'!P9),"—")</f>
        <v>Instrument Identity Lifecycle — Leavers Process with measurable KPIs: define performance thresholds (coverage %, SLA adherence, exception count), establish automated telemetry where possible, and integrate reporting into quarterly governance cycles. Evidence must be system-generated and reviewed at each governance cycle.</v>
      </c>
      <c r="E60" s="77" t="s">
        <v>238</v>
      </c>
      <c r="F60" s="77" t="s">
        <v>310</v>
      </c>
      <c r="G60" s="139" t="s">
        <v>254</v>
      </c>
      <c r="H60" s="76" t="s">
        <v>241</v>
      </c>
      <c r="I60" s="77"/>
      <c r="J60" s="145" t="n">
        <v>3000</v>
      </c>
      <c r="K60" s="146"/>
      <c r="L60" s="146"/>
      <c r="M60" s="146"/>
      <c r="N60" s="141" t="n">
        <f aca="false">IFERROR(SUM(J60,K60,M60),0)</f>
        <v>3000</v>
      </c>
      <c r="O60" s="141" t="n">
        <f aca="false">IFERROR(SUM(L60),0)</f>
        <v>0</v>
      </c>
      <c r="P60" s="142" t="s">
        <v>242</v>
      </c>
    </row>
    <row r="61" customFormat="false" ht="21.75" hidden="false" customHeight="true" outlineLevel="0" collapsed="false">
      <c r="A61" s="127" t="n">
        <v>0.52</v>
      </c>
      <c r="B61" s="128" t="s">
        <v>308</v>
      </c>
      <c r="C61" s="129" t="s">
        <v>316</v>
      </c>
      <c r="D61" s="71" t="str">
        <f aca="false">IFERROR(IF('PR Protect'!P10="⏳ Complete rating and target to generate recommendation.","⏳ Rate this control in the domain sheet to auto-generate.",'PR Protect'!P10),"—")</f>
        <v>Instrument Quarterly Access Reviews (Access Certification) with measurable KPIs: define performance thresholds (coverage %, SLA adherence, exception count), establish automated telemetry where possible, and integrate reporting into quarterly governance cycles. Evidence must be system-generated and reviewed at each governance cycle.</v>
      </c>
      <c r="E61" s="71" t="s">
        <v>238</v>
      </c>
      <c r="F61" s="71" t="s">
        <v>310</v>
      </c>
      <c r="G61" s="131" t="s">
        <v>249</v>
      </c>
      <c r="H61" s="70" t="s">
        <v>241</v>
      </c>
      <c r="I61" s="71"/>
      <c r="J61" s="143" t="n">
        <v>3000</v>
      </c>
      <c r="K61" s="144"/>
      <c r="L61" s="144"/>
      <c r="M61" s="144"/>
      <c r="N61" s="133" t="n">
        <f aca="false">IFERROR(SUM(J61,K61,M61),0)</f>
        <v>3000</v>
      </c>
      <c r="O61" s="133" t="n">
        <f aca="false">IFERROR(SUM(L61),0)</f>
        <v>0</v>
      </c>
      <c r="P61" s="134" t="s">
        <v>242</v>
      </c>
    </row>
    <row r="62" customFormat="false" ht="21.75" hidden="false" customHeight="true" outlineLevel="0" collapsed="false">
      <c r="A62" s="135" t="n">
        <v>0.52</v>
      </c>
      <c r="B62" s="136" t="s">
        <v>308</v>
      </c>
      <c r="C62" s="137" t="s">
        <v>317</v>
      </c>
      <c r="D62" s="77" t="str">
        <f aca="false">IFERROR(IF('PR Protect'!P11="⏳ Complete rating and target to generate recommendation.","⏳ Rate this control in the domain sheet to auto-generate.",'PR Protect'!P11),"—")</f>
        <v>Standardise Single Sign-On (SSO) &amp; Federation: formalise all documentation, apply the control consistently across all in-scope assets, close remaining coverage gaps, and ensure evidence is collected routinely. Exceptions must be formally managed with named owners and defined expiry dates.</v>
      </c>
      <c r="E62" s="77" t="s">
        <v>245</v>
      </c>
      <c r="F62" s="77" t="s">
        <v>239</v>
      </c>
      <c r="G62" s="139" t="s">
        <v>249</v>
      </c>
      <c r="H62" s="76" t="s">
        <v>241</v>
      </c>
      <c r="I62" s="77"/>
      <c r="J62" s="145" t="n">
        <v>1250</v>
      </c>
      <c r="K62" s="146"/>
      <c r="L62" s="146"/>
      <c r="M62" s="146"/>
      <c r="N62" s="141" t="n">
        <f aca="false">IFERROR(SUM(J62,K62,M62),0)</f>
        <v>1250</v>
      </c>
      <c r="O62" s="141" t="n">
        <f aca="false">IFERROR(SUM(L62),0)</f>
        <v>0</v>
      </c>
      <c r="P62" s="142" t="s">
        <v>242</v>
      </c>
    </row>
    <row r="63" customFormat="false" ht="21.75" hidden="false" customHeight="true" outlineLevel="0" collapsed="false">
      <c r="A63" s="127" t="n">
        <v>0.78</v>
      </c>
      <c r="B63" s="128" t="s">
        <v>308</v>
      </c>
      <c r="C63" s="129" t="s">
        <v>318</v>
      </c>
      <c r="D63" s="71" t="str">
        <f aca="false">IFERROR(IF('PR Protect'!P12="⏳ Complete rating and target to generate recommendation.","⏳ Rate this control in the domain sheet to auto-generate.",'PR Protect'!P12),"—")</f>
        <v>Instrument Separation of Duties (SoD) Controls with measurable KPIs: define performance thresholds (coverage %, SLA adherence, exception count), establish automated telemetry where possible, and integrate reporting into quarterly governance cycles. Evidence must be system-generated and reviewed at each governance cycle.</v>
      </c>
      <c r="E63" s="71" t="s">
        <v>238</v>
      </c>
      <c r="F63" s="71" t="s">
        <v>310</v>
      </c>
      <c r="G63" s="131" t="s">
        <v>275</v>
      </c>
      <c r="H63" s="70" t="s">
        <v>241</v>
      </c>
      <c r="I63" s="71"/>
      <c r="J63" s="143" t="n">
        <v>3000</v>
      </c>
      <c r="K63" s="144"/>
      <c r="L63" s="144"/>
      <c r="M63" s="144"/>
      <c r="N63" s="133" t="n">
        <f aca="false">IFERROR(SUM(J63,K63,M63),0)</f>
        <v>3000</v>
      </c>
      <c r="O63" s="133" t="n">
        <f aca="false">IFERROR(SUM(L63),0)</f>
        <v>0</v>
      </c>
      <c r="P63" s="134" t="s">
        <v>242</v>
      </c>
    </row>
    <row r="64" customFormat="false" ht="21.75" hidden="false" customHeight="true" outlineLevel="0" collapsed="false">
      <c r="A64" s="135" t="n">
        <v>0.52</v>
      </c>
      <c r="B64" s="136" t="s">
        <v>308</v>
      </c>
      <c r="C64" s="137" t="s">
        <v>319</v>
      </c>
      <c r="D64" s="77" t="str">
        <f aca="false">IFERROR(IF('PR Protect'!P13="⏳ Complete rating and target to generate recommendation.","⏳ Rate this control in the domain sheet to auto-generate.",'PR Protect'!P13),"—")</f>
        <v>Instrument Dormant Account Detection &amp; Management with measurable KPIs: define performance thresholds (coverage %, SLA adherence, exception count), establish automated telemetry where possible, and integrate reporting into quarterly governance cycles. Evidence must be system-generated and reviewed at each governance cycle.</v>
      </c>
      <c r="E64" s="77" t="s">
        <v>238</v>
      </c>
      <c r="F64" s="77" t="s">
        <v>310</v>
      </c>
      <c r="G64" s="139" t="s">
        <v>249</v>
      </c>
      <c r="H64" s="76" t="s">
        <v>241</v>
      </c>
      <c r="I64" s="77"/>
      <c r="J64" s="145" t="n">
        <v>3000</v>
      </c>
      <c r="K64" s="146"/>
      <c r="L64" s="146"/>
      <c r="M64" s="146"/>
      <c r="N64" s="141" t="n">
        <f aca="false">IFERROR(SUM(J64,K64,M64),0)</f>
        <v>3000</v>
      </c>
      <c r="O64" s="141" t="n">
        <f aca="false">IFERROR(SUM(L64),0)</f>
        <v>0</v>
      </c>
      <c r="P64" s="142" t="s">
        <v>242</v>
      </c>
    </row>
    <row r="65" customFormat="false" ht="21.75" hidden="false" customHeight="true" outlineLevel="0" collapsed="false">
      <c r="A65" s="127" t="n">
        <v>0.26</v>
      </c>
      <c r="B65" s="128" t="s">
        <v>308</v>
      </c>
      <c r="C65" s="129" t="s">
        <v>320</v>
      </c>
      <c r="D65" s="71" t="str">
        <f aca="false">IFERROR(IF('PR Protect'!P14="⏳ Complete rating and target to generate recommendation.","⏳ Rate this control in the domain sheet to auto-generate.",'PR Protect'!P14),"—")</f>
        <v>Standardise Machine Identity &amp; Service Account Management: formalise all documentation, apply the control consistently across all in-scope assets, close remaining coverage gaps, and ensure evidence is collected routinely. Exceptions must be formally managed with named owners and defined expiry dates.</v>
      </c>
      <c r="E65" s="71" t="s">
        <v>238</v>
      </c>
      <c r="F65" s="71" t="s">
        <v>310</v>
      </c>
      <c r="G65" s="131" t="s">
        <v>287</v>
      </c>
      <c r="H65" s="70" t="s">
        <v>241</v>
      </c>
      <c r="I65" s="71"/>
      <c r="J65" s="143" t="n">
        <v>3000</v>
      </c>
      <c r="K65" s="144"/>
      <c r="L65" s="144"/>
      <c r="M65" s="144"/>
      <c r="N65" s="133" t="n">
        <f aca="false">IFERROR(SUM(J65,K65,M65),0)</f>
        <v>3000</v>
      </c>
      <c r="O65" s="133" t="n">
        <f aca="false">IFERROR(SUM(L65),0)</f>
        <v>0</v>
      </c>
      <c r="P65" s="134" t="s">
        <v>242</v>
      </c>
    </row>
    <row r="66" customFormat="false" ht="21.75" hidden="false" customHeight="true" outlineLevel="0" collapsed="false">
      <c r="A66" s="135" t="n">
        <v>0.52</v>
      </c>
      <c r="B66" s="136" t="s">
        <v>308</v>
      </c>
      <c r="C66" s="137" t="s">
        <v>321</v>
      </c>
      <c r="D66" s="77" t="str">
        <f aca="false">IFERROR(IF('PR Protect'!P15="⏳ Complete rating and target to generate recommendation.","⏳ Rate this control in the domain sheet to auto-generate.",'PR Protect'!P15),"—")</f>
        <v>Standardise API Key &amp; Secrets Management: formalise all documentation, apply the control consistently across all in-scope assets, close remaining coverage gaps, and ensure evidence is collected routinely. Exceptions must be formally managed with named owners and defined expiry dates.</v>
      </c>
      <c r="E66" s="77" t="s">
        <v>238</v>
      </c>
      <c r="F66" s="77" t="s">
        <v>310</v>
      </c>
      <c r="G66" s="139" t="s">
        <v>275</v>
      </c>
      <c r="H66" s="76" t="s">
        <v>241</v>
      </c>
      <c r="I66" s="77"/>
      <c r="J66" s="145" t="n">
        <v>3000</v>
      </c>
      <c r="K66" s="146"/>
      <c r="L66" s="146"/>
      <c r="M66" s="146"/>
      <c r="N66" s="141" t="n">
        <f aca="false">IFERROR(SUM(J66,K66,M66),0)</f>
        <v>3000</v>
      </c>
      <c r="O66" s="141" t="n">
        <f aca="false">IFERROR(SUM(L66),0)</f>
        <v>0</v>
      </c>
      <c r="P66" s="142" t="s">
        <v>242</v>
      </c>
    </row>
    <row r="67" customFormat="false" ht="21.75" hidden="false" customHeight="true" outlineLevel="0" collapsed="false">
      <c r="A67" s="127" t="n">
        <v>0.26</v>
      </c>
      <c r="B67" s="128" t="s">
        <v>308</v>
      </c>
      <c r="C67" s="129" t="s">
        <v>322</v>
      </c>
      <c r="D67" s="71" t="str">
        <f aca="false">IFERROR(IF('PR Protect'!P16="⏳ Complete rating and target to generate recommendation.","⏳ Rate this control in the domain sheet to auto-generate.",'PR Protect'!P16),"—")</f>
        <v>Standardise Zero Trust Architecture (ZTA) Implementation: formalise all documentation, apply the control consistently across all in-scope assets, close remaining coverage gaps, and ensure evidence is collected routinely. Exceptions must be formally managed with named owners and defined expiry dates.</v>
      </c>
      <c r="E67" s="71" t="s">
        <v>267</v>
      </c>
      <c r="F67" s="71" t="s">
        <v>258</v>
      </c>
      <c r="G67" s="131" t="s">
        <v>249</v>
      </c>
      <c r="H67" s="70" t="s">
        <v>241</v>
      </c>
      <c r="I67" s="71"/>
      <c r="J67" s="143" t="n">
        <v>7500</v>
      </c>
      <c r="K67" s="144"/>
      <c r="L67" s="144"/>
      <c r="M67" s="144"/>
      <c r="N67" s="133" t="n">
        <f aca="false">IFERROR(SUM(J67,K67,M67),0)</f>
        <v>7500</v>
      </c>
      <c r="O67" s="133" t="n">
        <f aca="false">IFERROR(SUM(L67),0)</f>
        <v>0</v>
      </c>
      <c r="P67" s="134" t="s">
        <v>242</v>
      </c>
    </row>
    <row r="68" customFormat="false" ht="21.75" hidden="false" customHeight="true" outlineLevel="0" collapsed="false">
      <c r="A68" s="135" t="n">
        <v>0.52</v>
      </c>
      <c r="B68" s="136" t="s">
        <v>308</v>
      </c>
      <c r="C68" s="137" t="s">
        <v>323</v>
      </c>
      <c r="D68" s="77" t="str">
        <f aca="false">IFERROR(IF('PR Protect'!P17="⏳ Complete rating and target to generate recommendation.","⏳ Rate this control in the domain sheet to auto-generate.",'PR Protect'!P17),"—")</f>
        <v>Instrument Encryption at Rest — Sensitive Data with measurable KPIs: define performance thresholds (coverage %, SLA adherence, exception count), establish automated telemetry where possible, and integrate reporting into quarterly governance cycles. Evidence must be system-generated and reviewed at each governance cycle.</v>
      </c>
      <c r="E68" s="77" t="s">
        <v>238</v>
      </c>
      <c r="F68" s="77" t="s">
        <v>310</v>
      </c>
      <c r="G68" s="139" t="s">
        <v>287</v>
      </c>
      <c r="H68" s="76" t="s">
        <v>241</v>
      </c>
      <c r="I68" s="77"/>
      <c r="J68" s="145" t="n">
        <v>3000</v>
      </c>
      <c r="K68" s="146"/>
      <c r="L68" s="146"/>
      <c r="M68" s="146"/>
      <c r="N68" s="141" t="n">
        <f aca="false">IFERROR(SUM(J68,K68,M68),0)</f>
        <v>3000</v>
      </c>
      <c r="O68" s="141" t="n">
        <f aca="false">IFERROR(SUM(L68),0)</f>
        <v>0</v>
      </c>
      <c r="P68" s="142" t="s">
        <v>242</v>
      </c>
    </row>
    <row r="69" customFormat="false" ht="21.75" hidden="false" customHeight="true" outlineLevel="0" collapsed="false">
      <c r="A69" s="127" t="n">
        <v>0.52</v>
      </c>
      <c r="B69" s="128" t="s">
        <v>308</v>
      </c>
      <c r="C69" s="129" t="s">
        <v>324</v>
      </c>
      <c r="D69" s="71" t="str">
        <f aca="false">IFERROR(IF('PR Protect'!P18="⏳ Complete rating and target to generate recommendation.","⏳ Rate this control in the domain sheet to auto-generate.",'PR Protect'!P18),"—")</f>
        <v>Instrument Encryption in Transit — TLS Enforcement with measurable KPIs: define performance thresholds (coverage %, SLA adherence, exception count), establish automated telemetry where possible, and integrate reporting into quarterly governance cycles. Evidence must be system-generated and reviewed at each governance cycle.</v>
      </c>
      <c r="E69" s="71" t="s">
        <v>245</v>
      </c>
      <c r="F69" s="71" t="s">
        <v>239</v>
      </c>
      <c r="G69" s="131" t="s">
        <v>287</v>
      </c>
      <c r="H69" s="70" t="s">
        <v>241</v>
      </c>
      <c r="I69" s="71"/>
      <c r="J69" s="143" t="n">
        <v>1250</v>
      </c>
      <c r="K69" s="144"/>
      <c r="L69" s="144"/>
      <c r="M69" s="144"/>
      <c r="N69" s="133" t="n">
        <f aca="false">IFERROR(SUM(J69,K69,M69),0)</f>
        <v>1250</v>
      </c>
      <c r="O69" s="133" t="n">
        <f aca="false">IFERROR(SUM(L69),0)</f>
        <v>0</v>
      </c>
      <c r="P69" s="134" t="s">
        <v>242</v>
      </c>
    </row>
    <row r="70" customFormat="false" ht="21.75" hidden="false" customHeight="true" outlineLevel="0" collapsed="false">
      <c r="A70" s="135" t="n">
        <v>0.78</v>
      </c>
      <c r="B70" s="136" t="s">
        <v>308</v>
      </c>
      <c r="C70" s="137" t="s">
        <v>325</v>
      </c>
      <c r="D70" s="77" t="str">
        <f aca="false">IFERROR(IF('PR Protect'!P19="⏳ Complete rating and target to generate recommendation.","⏳ Rate this control in the domain sheet to auto-generate.",'PR Protect'!P19),"—")</f>
        <v>Instrument Data Loss Prevention (DLP) — Email with measurable KPIs: define performance thresholds (coverage %, SLA adherence, exception count), establish automated telemetry where possible, and integrate reporting into quarterly governance cycles. Evidence must be system-generated and reviewed at each governance cycle.</v>
      </c>
      <c r="E70" s="77" t="s">
        <v>238</v>
      </c>
      <c r="F70" s="77" t="s">
        <v>310</v>
      </c>
      <c r="G70" s="139" t="s">
        <v>249</v>
      </c>
      <c r="H70" s="76" t="s">
        <v>241</v>
      </c>
      <c r="I70" s="77"/>
      <c r="J70" s="145" t="n">
        <v>3000</v>
      </c>
      <c r="K70" s="146" t="n">
        <v>0</v>
      </c>
      <c r="L70" s="146" t="n">
        <v>0</v>
      </c>
      <c r="M70" s="146" t="n">
        <v>0</v>
      </c>
      <c r="N70" s="141" t="n">
        <f aca="false">IFERROR(SUM(J70,K70,M70),0)</f>
        <v>3000</v>
      </c>
      <c r="O70" s="141" t="n">
        <f aca="false">IFERROR(SUM(L70),0)</f>
        <v>0</v>
      </c>
      <c r="P70" s="142" t="s">
        <v>242</v>
      </c>
    </row>
    <row r="71" customFormat="false" ht="21.75" hidden="false" customHeight="true" outlineLevel="0" collapsed="false">
      <c r="A71" s="127" t="n">
        <v>0.52</v>
      </c>
      <c r="B71" s="128" t="s">
        <v>308</v>
      </c>
      <c r="C71" s="129" t="s">
        <v>326</v>
      </c>
      <c r="D71" s="71" t="str">
        <f aca="false">IFERROR(IF('PR Protect'!P20="⏳ Complete rating and target to generate recommendation.","⏳ Rate this control in the domain sheet to auto-generate.",'PR Protect'!P20),"—")</f>
        <v>Instrument Data Loss Prevention (DLP) — Endpoint with measurable KPIs: define performance thresholds (coverage %, SLA adherence, exception count), establish automated telemetry where possible, and integrate reporting into quarterly governance cycles. Evidence must be system-generated and reviewed at each governance cycle.</v>
      </c>
      <c r="E71" s="71" t="s">
        <v>238</v>
      </c>
      <c r="F71" s="71" t="s">
        <v>310</v>
      </c>
      <c r="G71" s="131" t="s">
        <v>249</v>
      </c>
      <c r="H71" s="70" t="s">
        <v>241</v>
      </c>
      <c r="I71" s="71"/>
      <c r="J71" s="143" t="n">
        <v>3000</v>
      </c>
      <c r="K71" s="144"/>
      <c r="L71" s="144"/>
      <c r="M71" s="144"/>
      <c r="N71" s="133" t="n">
        <f aca="false">IFERROR(SUM(J71,K71,M71),0)</f>
        <v>3000</v>
      </c>
      <c r="O71" s="133" t="n">
        <f aca="false">IFERROR(SUM(L71),0)</f>
        <v>0</v>
      </c>
      <c r="P71" s="134" t="s">
        <v>242</v>
      </c>
    </row>
    <row r="72" customFormat="false" ht="21.75" hidden="false" customHeight="true" outlineLevel="0" collapsed="false">
      <c r="A72" s="135" t="n">
        <v>0.78</v>
      </c>
      <c r="B72" s="136" t="s">
        <v>308</v>
      </c>
      <c r="C72" s="137" t="s">
        <v>327</v>
      </c>
      <c r="D72" s="77" t="str">
        <f aca="false">IFERROR(IF('PR Protect'!P21="⏳ Complete rating and target to generate recommendation.","⏳ Rate this control in the domain sheet to auto-generate.",'PR Protect'!P21),"—")</f>
        <v>Instrument Data Loss Prevention (DLP) — Cloud &amp; SaaS with measurable KPIs: define performance thresholds (coverage %, SLA adherence, exception count), establish automated telemetry where possible, and integrate reporting into quarterly governance cycles. Evidence must be system-generated and reviewed at each governance cycle.</v>
      </c>
      <c r="E72" s="77" t="s">
        <v>238</v>
      </c>
      <c r="F72" s="77" t="s">
        <v>310</v>
      </c>
      <c r="G72" s="139" t="s">
        <v>249</v>
      </c>
      <c r="H72" s="76" t="s">
        <v>241</v>
      </c>
      <c r="I72" s="77"/>
      <c r="J72" s="145" t="n">
        <v>3000</v>
      </c>
      <c r="K72" s="146" t="n">
        <v>8000</v>
      </c>
      <c r="L72" s="146" t="n">
        <v>0</v>
      </c>
      <c r="M72" s="146" t="n">
        <v>30000</v>
      </c>
      <c r="N72" s="141" t="n">
        <f aca="false">IFERROR(SUM(J72,K72,M72),0)</f>
        <v>41000</v>
      </c>
      <c r="O72" s="141" t="n">
        <f aca="false">IFERROR(SUM(L72),0)</f>
        <v>0</v>
      </c>
      <c r="P72" s="142" t="s">
        <v>242</v>
      </c>
    </row>
    <row r="73" customFormat="false" ht="21.75" hidden="false" customHeight="true" outlineLevel="0" collapsed="false">
      <c r="A73" s="127" t="n">
        <v>0.52</v>
      </c>
      <c r="B73" s="128" t="s">
        <v>308</v>
      </c>
      <c r="C73" s="129" t="s">
        <v>328</v>
      </c>
      <c r="D73" s="71" t="str">
        <f aca="false">IFERROR(IF('PR Protect'!P22="⏳ Complete rating and target to generate recommendation.","⏳ Rate this control in the domain sheet to auto-generate.",'PR Protect'!P22),"—")</f>
        <v>Instrument Data Masking &amp; Pseudonymisation with measurable KPIs: define performance thresholds (coverage %, SLA adherence, exception count), establish automated telemetry where possible, and integrate reporting into quarterly governance cycles. Evidence must be system-generated and reviewed at each governance cycle.</v>
      </c>
      <c r="E73" s="71" t="s">
        <v>238</v>
      </c>
      <c r="F73" s="71" t="s">
        <v>310</v>
      </c>
      <c r="G73" s="131" t="s">
        <v>275</v>
      </c>
      <c r="H73" s="70" t="s">
        <v>241</v>
      </c>
      <c r="I73" s="71"/>
      <c r="J73" s="143" t="n">
        <v>3000</v>
      </c>
      <c r="K73" s="144"/>
      <c r="L73" s="144"/>
      <c r="M73" s="144"/>
      <c r="N73" s="133" t="n">
        <f aca="false">IFERROR(SUM(J73,K73,M73),0)</f>
        <v>3000</v>
      </c>
      <c r="O73" s="133" t="n">
        <f aca="false">IFERROR(SUM(L73),0)</f>
        <v>0</v>
      </c>
      <c r="P73" s="134" t="s">
        <v>242</v>
      </c>
    </row>
    <row r="74" customFormat="false" ht="21.75" hidden="false" customHeight="true" outlineLevel="0" collapsed="false">
      <c r="A74" s="135" t="n">
        <v>0.78</v>
      </c>
      <c r="B74" s="136" t="s">
        <v>308</v>
      </c>
      <c r="C74" s="137" t="s">
        <v>329</v>
      </c>
      <c r="D74" s="77" t="str">
        <f aca="false">IFERROR(IF('PR Protect'!P23="⏳ Complete rating and target to generate recommendation.","⏳ Rate this control in the domain sheet to auto-generate.",'PR Protect'!P23),"—")</f>
        <v>Instrument Payment Card Data (PAN) Protection with measurable KPIs: define performance thresholds (coverage %, SLA adherence, exception count), establish automated telemetry where possible, and integrate reporting into quarterly governance cycles. Evidence must be system-generated and reviewed at each governance cycle.</v>
      </c>
      <c r="E74" s="77" t="s">
        <v>238</v>
      </c>
      <c r="F74" s="77" t="s">
        <v>310</v>
      </c>
      <c r="G74" s="139" t="s">
        <v>287</v>
      </c>
      <c r="H74" s="76" t="s">
        <v>241</v>
      </c>
      <c r="I74" s="77"/>
      <c r="J74" s="145" t="n">
        <v>3000</v>
      </c>
      <c r="K74" s="146"/>
      <c r="L74" s="146"/>
      <c r="M74" s="146"/>
      <c r="N74" s="141" t="n">
        <f aca="false">IFERROR(SUM(J74,K74,M74),0)</f>
        <v>3000</v>
      </c>
      <c r="O74" s="141" t="n">
        <f aca="false">IFERROR(SUM(L74),0)</f>
        <v>0</v>
      </c>
      <c r="P74" s="142" t="s">
        <v>242</v>
      </c>
    </row>
    <row r="75" customFormat="false" ht="21.75" hidden="false" customHeight="true" outlineLevel="0" collapsed="false">
      <c r="A75" s="127" t="n">
        <v>0.26</v>
      </c>
      <c r="B75" s="128" t="s">
        <v>308</v>
      </c>
      <c r="C75" s="129" t="s">
        <v>330</v>
      </c>
      <c r="D75" s="71" t="str">
        <f aca="false">IFERROR(IF('PR Protect'!P24="⏳ Complete rating and target to generate recommendation.","⏳ Rate this control in the domain sheet to auto-generate.",'PR Protect'!P24),"—")</f>
        <v>Standardise Backup — Architecture &amp; Immutability: formalise all documentation, apply the control consistently across all in-scope assets, close remaining coverage gaps, and ensure evidence is collected routinely. Exceptions must be formally managed with named owners and defined expiry dates.</v>
      </c>
      <c r="E75" s="71" t="s">
        <v>245</v>
      </c>
      <c r="F75" s="71" t="s">
        <v>239</v>
      </c>
      <c r="G75" s="131" t="s">
        <v>284</v>
      </c>
      <c r="H75" s="70" t="s">
        <v>241</v>
      </c>
      <c r="I75" s="71"/>
      <c r="J75" s="143" t="n">
        <v>1250</v>
      </c>
      <c r="K75" s="144"/>
      <c r="L75" s="144"/>
      <c r="M75" s="144"/>
      <c r="N75" s="133" t="n">
        <f aca="false">IFERROR(SUM(J75,K75,M75),0)</f>
        <v>1250</v>
      </c>
      <c r="O75" s="133" t="n">
        <f aca="false">IFERROR(SUM(L75),0)</f>
        <v>0</v>
      </c>
      <c r="P75" s="134" t="s">
        <v>242</v>
      </c>
    </row>
    <row r="76" customFormat="false" ht="21.75" hidden="false" customHeight="true" outlineLevel="0" collapsed="false">
      <c r="A76" s="135" t="n">
        <v>0.26</v>
      </c>
      <c r="B76" s="136" t="s">
        <v>308</v>
      </c>
      <c r="C76" s="137" t="s">
        <v>331</v>
      </c>
      <c r="D76" s="77" t="str">
        <f aca="false">IFERROR(IF('PR Protect'!P25="⏳ Complete rating and target to generate recommendation.","⏳ Rate this control in the domain sheet to auto-generate.",'PR Protect'!P25),"—")</f>
        <v>Standardise Backup — Restoration Testing: formalise all documentation, apply the control consistently across all in-scope assets, close remaining coverage gaps, and ensure evidence is collected routinely. Exceptions must be formally managed with named owners and defined expiry dates.</v>
      </c>
      <c r="E76" s="77" t="s">
        <v>238</v>
      </c>
      <c r="F76" s="77" t="s">
        <v>310</v>
      </c>
      <c r="G76" s="139" t="s">
        <v>284</v>
      </c>
      <c r="H76" s="76" t="s">
        <v>241</v>
      </c>
      <c r="I76" s="77"/>
      <c r="J76" s="145" t="n">
        <v>3000</v>
      </c>
      <c r="K76" s="146"/>
      <c r="L76" s="146"/>
      <c r="M76" s="146"/>
      <c r="N76" s="141" t="n">
        <f aca="false">IFERROR(SUM(J76,K76,M76),0)</f>
        <v>3000</v>
      </c>
      <c r="O76" s="141" t="n">
        <f aca="false">IFERROR(SUM(L76),0)</f>
        <v>0</v>
      </c>
      <c r="P76" s="142" t="s">
        <v>242</v>
      </c>
    </row>
    <row r="77" customFormat="false" ht="21.75" hidden="false" customHeight="true" outlineLevel="0" collapsed="false">
      <c r="A77" s="127" t="n">
        <v>0.26</v>
      </c>
      <c r="B77" s="128" t="s">
        <v>308</v>
      </c>
      <c r="C77" s="129" t="s">
        <v>332</v>
      </c>
      <c r="D77" s="71" t="str">
        <f aca="false">IFERROR(IF('PR Protect'!P26="⏳ Complete rating and target to generate recommendation.","⏳ Rate this control in the domain sheet to auto-generate.",'PR Protect'!P26),"—")</f>
        <v>Standardise Email Security — DMARC, DKIM, SPF: formalise all documentation, apply the control consistently across all in-scope assets, close remaining coverage gaps, and ensure evidence is collected routinely. Exceptions must be formally managed with named owners and defined expiry dates.</v>
      </c>
      <c r="E77" s="71" t="s">
        <v>245</v>
      </c>
      <c r="F77" s="71" t="s">
        <v>246</v>
      </c>
      <c r="G77" s="131" t="s">
        <v>287</v>
      </c>
      <c r="H77" s="70" t="s">
        <v>241</v>
      </c>
      <c r="I77" s="71"/>
      <c r="J77" s="143" t="n">
        <v>1250</v>
      </c>
      <c r="K77" s="144"/>
      <c r="L77" s="144"/>
      <c r="M77" s="144"/>
      <c r="N77" s="133" t="n">
        <f aca="false">IFERROR(SUM(J77,K77,M77),0)</f>
        <v>1250</v>
      </c>
      <c r="O77" s="133" t="n">
        <f aca="false">IFERROR(SUM(L77),0)</f>
        <v>0</v>
      </c>
      <c r="P77" s="134" t="s">
        <v>242</v>
      </c>
    </row>
    <row r="78" customFormat="false" ht="21.75" hidden="false" customHeight="true" outlineLevel="0" collapsed="false">
      <c r="A78" s="135" t="n">
        <v>0.52</v>
      </c>
      <c r="B78" s="136" t="s">
        <v>308</v>
      </c>
      <c r="C78" s="137" t="s">
        <v>333</v>
      </c>
      <c r="D78" s="77" t="str">
        <f aca="false">IFERROR(IF('PR Protect'!P27="⏳ Complete rating and target to generate recommendation.","⏳ Rate this control in the domain sheet to auto-generate.",'PR Protect'!P27),"—")</f>
        <v>Standardise Email Security — Anti-Phishing &amp; Sandboxing: formalise all documentation, apply the control consistently across all in-scope assets, close remaining coverage gaps, and ensure evidence is collected routinely. Exceptions must be formally managed with named owners and defined expiry dates.</v>
      </c>
      <c r="E78" s="77" t="s">
        <v>245</v>
      </c>
      <c r="F78" s="77" t="s">
        <v>246</v>
      </c>
      <c r="G78" s="139" t="s">
        <v>249</v>
      </c>
      <c r="H78" s="76" t="s">
        <v>241</v>
      </c>
      <c r="I78" s="77"/>
      <c r="J78" s="145" t="n">
        <v>1250</v>
      </c>
      <c r="K78" s="146"/>
      <c r="L78" s="146"/>
      <c r="M78" s="146"/>
      <c r="N78" s="141" t="n">
        <f aca="false">IFERROR(SUM(J78,K78,M78),0)</f>
        <v>1250</v>
      </c>
      <c r="O78" s="141" t="n">
        <f aca="false">IFERROR(SUM(L78),0)</f>
        <v>0</v>
      </c>
      <c r="P78" s="142" t="s">
        <v>242</v>
      </c>
    </row>
    <row r="79" customFormat="false" ht="21.75" hidden="false" customHeight="true" outlineLevel="0" collapsed="false">
      <c r="A79" s="127" t="n">
        <v>0.52</v>
      </c>
      <c r="B79" s="128" t="s">
        <v>308</v>
      </c>
      <c r="C79" s="129" t="s">
        <v>334</v>
      </c>
      <c r="D79" s="71" t="str">
        <f aca="false">IFERROR(IF('PR Protect'!P28="⏳ Complete rating and target to generate recommendation.","⏳ Rate this control in the domain sheet to auto-generate.",'PR Protect'!P28),"—")</f>
        <v>Instrument Cryptographic Standards &amp; Key Lifecycle with measurable KPIs: define performance thresholds (coverage %, SLA adherence, exception count), establish automated telemetry where possible, and integrate reporting into quarterly governance cycles. Evidence must be system-generated and reviewed at each governance cycle.</v>
      </c>
      <c r="E79" s="71" t="s">
        <v>238</v>
      </c>
      <c r="F79" s="71" t="s">
        <v>310</v>
      </c>
      <c r="G79" s="131" t="s">
        <v>287</v>
      </c>
      <c r="H79" s="70" t="s">
        <v>241</v>
      </c>
      <c r="I79" s="71"/>
      <c r="J79" s="143" t="n">
        <v>3000</v>
      </c>
      <c r="K79" s="144"/>
      <c r="L79" s="144"/>
      <c r="M79" s="144"/>
      <c r="N79" s="133" t="n">
        <f aca="false">IFERROR(SUM(J79,K79,M79),0)</f>
        <v>3000</v>
      </c>
      <c r="O79" s="133" t="n">
        <f aca="false">IFERROR(SUM(L79),0)</f>
        <v>0</v>
      </c>
      <c r="P79" s="134" t="s">
        <v>242</v>
      </c>
    </row>
    <row r="80" customFormat="false" ht="21.75" hidden="false" customHeight="true" outlineLevel="0" collapsed="false">
      <c r="A80" s="135" t="n">
        <v>0.26</v>
      </c>
      <c r="B80" s="136" t="s">
        <v>308</v>
      </c>
      <c r="C80" s="137" t="s">
        <v>335</v>
      </c>
      <c r="D80" s="77" t="str">
        <f aca="false">IFERROR(IF('PR Protect'!P29="⏳ Complete rating and target to generate recommendation.","⏳ Rate this control in the domain sheet to auto-generate.",'PR Protect'!P29),"—")</f>
        <v>Standardise Endpoint Detection &amp; Response (EDR): formalise all documentation, apply the control consistently across all in-scope assets, close remaining coverage gaps, and ensure evidence is collected routinely. Exceptions must be formally managed with named owners and defined expiry dates.</v>
      </c>
      <c r="E80" s="77" t="s">
        <v>245</v>
      </c>
      <c r="F80" s="77" t="s">
        <v>246</v>
      </c>
      <c r="G80" s="139" t="s">
        <v>249</v>
      </c>
      <c r="H80" s="76" t="s">
        <v>241</v>
      </c>
      <c r="I80" s="77"/>
      <c r="J80" s="145" t="n">
        <v>1250</v>
      </c>
      <c r="K80" s="146" t="n">
        <v>0</v>
      </c>
      <c r="L80" s="146" t="n">
        <v>0</v>
      </c>
      <c r="M80" s="146" t="n">
        <v>14000</v>
      </c>
      <c r="N80" s="141" t="n">
        <f aca="false">IFERROR(SUM(J80,K80,M80),0)</f>
        <v>15250</v>
      </c>
      <c r="O80" s="141" t="n">
        <f aca="false">IFERROR(SUM(L80),0)</f>
        <v>0</v>
      </c>
      <c r="P80" s="142" t="s">
        <v>242</v>
      </c>
    </row>
    <row r="81" customFormat="false" ht="21.75" hidden="false" customHeight="true" outlineLevel="0" collapsed="false">
      <c r="A81" s="127" t="n">
        <v>0.26</v>
      </c>
      <c r="B81" s="128" t="s">
        <v>308</v>
      </c>
      <c r="C81" s="129" t="s">
        <v>336</v>
      </c>
      <c r="D81" s="71" t="str">
        <f aca="false">IFERROR(IF('PR Protect'!P30="⏳ Complete rating and target to generate recommendation.","⏳ Rate this control in the domain sheet to auto-generate.",'PR Protect'!P30),"—")</f>
        <v>Standardise Endpoint Hardening &amp; CIS Benchmark Compliance: formalise all documentation, apply the control consistently across all in-scope assets, close remaining coverage gaps, and ensure evidence is collected routinely. Exceptions must be formally managed with named owners and defined expiry dates.</v>
      </c>
      <c r="E81" s="71" t="s">
        <v>238</v>
      </c>
      <c r="F81" s="71" t="s">
        <v>310</v>
      </c>
      <c r="G81" s="131" t="s">
        <v>284</v>
      </c>
      <c r="H81" s="70" t="s">
        <v>241</v>
      </c>
      <c r="I81" s="71"/>
      <c r="J81" s="143" t="n">
        <v>3000</v>
      </c>
      <c r="K81" s="144"/>
      <c r="L81" s="144"/>
      <c r="M81" s="144"/>
      <c r="N81" s="133" t="n">
        <f aca="false">IFERROR(SUM(J81,K81,M81),0)</f>
        <v>3000</v>
      </c>
      <c r="O81" s="133" t="n">
        <f aca="false">IFERROR(SUM(L81),0)</f>
        <v>0</v>
      </c>
      <c r="P81" s="134" t="s">
        <v>242</v>
      </c>
    </row>
    <row r="82" customFormat="false" ht="21.75" hidden="false" customHeight="true" outlineLevel="0" collapsed="false">
      <c r="A82" s="135" t="n">
        <v>0.78</v>
      </c>
      <c r="B82" s="136" t="s">
        <v>308</v>
      </c>
      <c r="C82" s="137" t="s">
        <v>337</v>
      </c>
      <c r="D82" s="77" t="str">
        <f aca="false">IFERROR(IF('PR Protect'!P31="⏳ Complete rating and target to generate recommendation.","⏳ Rate this control in the domain sheet to auto-generate.",'PR Protect'!P31),"—")</f>
        <v>Instrument Patch Management — Critical &amp; High Vulnerabilities with measurable KPIs: define performance thresholds (coverage %, SLA adherence, exception count), establish automated telemetry where possible, and integrate reporting into quarterly governance cycles. Evidence must be system-generated and reviewed at each governance cycle.</v>
      </c>
      <c r="E82" s="77" t="s">
        <v>238</v>
      </c>
      <c r="F82" s="77" t="s">
        <v>310</v>
      </c>
      <c r="G82" s="139" t="s">
        <v>284</v>
      </c>
      <c r="H82" s="76" t="s">
        <v>241</v>
      </c>
      <c r="I82" s="77"/>
      <c r="J82" s="145" t="n">
        <v>3000</v>
      </c>
      <c r="K82" s="146"/>
      <c r="L82" s="146"/>
      <c r="M82" s="146"/>
      <c r="N82" s="141" t="n">
        <f aca="false">IFERROR(SUM(J82,K82,M82),0)</f>
        <v>3000</v>
      </c>
      <c r="O82" s="141" t="n">
        <f aca="false">IFERROR(SUM(L82),0)</f>
        <v>0</v>
      </c>
      <c r="P82" s="142" t="s">
        <v>242</v>
      </c>
    </row>
    <row r="83" customFormat="false" ht="21.75" hidden="false" customHeight="true" outlineLevel="0" collapsed="false">
      <c r="A83" s="127" t="n">
        <v>0.26</v>
      </c>
      <c r="B83" s="128" t="s">
        <v>308</v>
      </c>
      <c r="C83" s="129" t="s">
        <v>338</v>
      </c>
      <c r="D83" s="71" t="str">
        <f aca="false">IFERROR(IF('PR Protect'!P32="⏳ Complete rating and target to generate recommendation.","⏳ Rate this control in the domain sheet to auto-generate.",'PR Protect'!P32),"—")</f>
        <v>Standardise Patch Management — Medium &amp; Low Vulnerabilities: formalise all documentation, apply the control consistently across all in-scope assets, close remaining coverage gaps, and ensure evidence is collected routinely. Exceptions must be formally managed with named owners and defined expiry dates.</v>
      </c>
      <c r="E83" s="71" t="s">
        <v>238</v>
      </c>
      <c r="F83" s="71" t="s">
        <v>310</v>
      </c>
      <c r="G83" s="131" t="s">
        <v>284</v>
      </c>
      <c r="H83" s="70" t="s">
        <v>241</v>
      </c>
      <c r="I83" s="71"/>
      <c r="J83" s="143" t="n">
        <v>3000</v>
      </c>
      <c r="K83" s="144"/>
      <c r="L83" s="144"/>
      <c r="M83" s="144"/>
      <c r="N83" s="133" t="n">
        <f aca="false">IFERROR(SUM(J83,K83,M83),0)</f>
        <v>3000</v>
      </c>
      <c r="O83" s="133" t="n">
        <f aca="false">IFERROR(SUM(L83),0)</f>
        <v>0</v>
      </c>
      <c r="P83" s="134" t="s">
        <v>242</v>
      </c>
    </row>
    <row r="84" customFormat="false" ht="21.75" hidden="false" customHeight="true" outlineLevel="0" collapsed="false">
      <c r="A84" s="135" t="n">
        <v>0.52</v>
      </c>
      <c r="B84" s="136" t="s">
        <v>308</v>
      </c>
      <c r="C84" s="137" t="s">
        <v>339</v>
      </c>
      <c r="D84" s="77" t="str">
        <f aca="false">IFERROR(IF('PR Protect'!P33="⏳ Complete rating and target to generate recommendation.","⏳ Rate this control in the domain sheet to auto-generate.",'PR Protect'!P33),"—")</f>
        <v>Standardise End-of-Life (EOL) Software &amp; OS Management: formalise all documentation, apply the control consistently across all in-scope assets, close remaining coverage gaps, and ensure evidence is collected routinely. Exceptions must be formally managed with named owners and defined expiry dates.</v>
      </c>
      <c r="E84" s="77" t="s">
        <v>238</v>
      </c>
      <c r="F84" s="77" t="s">
        <v>310</v>
      </c>
      <c r="G84" s="139" t="s">
        <v>284</v>
      </c>
      <c r="H84" s="76" t="s">
        <v>241</v>
      </c>
      <c r="I84" s="77"/>
      <c r="J84" s="145" t="n">
        <v>3000</v>
      </c>
      <c r="K84" s="146"/>
      <c r="L84" s="146"/>
      <c r="M84" s="146"/>
      <c r="N84" s="141" t="n">
        <f aca="false">IFERROR(SUM(J84,K84,M84),0)</f>
        <v>3000</v>
      </c>
      <c r="O84" s="141" t="n">
        <f aca="false">IFERROR(SUM(L84),0)</f>
        <v>0</v>
      </c>
      <c r="P84" s="142" t="s">
        <v>242</v>
      </c>
    </row>
    <row r="85" customFormat="false" ht="21.75" hidden="false" customHeight="true" outlineLevel="0" collapsed="false">
      <c r="A85" s="127" t="n">
        <v>0.26</v>
      </c>
      <c r="B85" s="128" t="s">
        <v>308</v>
      </c>
      <c r="C85" s="129" t="s">
        <v>340</v>
      </c>
      <c r="D85" s="71" t="str">
        <f aca="false">IFERROR(IF('PR Protect'!P34="⏳ Complete rating and target to generate recommendation.","⏳ Rate this control in the domain sheet to auto-generate.",'PR Protect'!P34),"—")</f>
        <v>Standardise Application Whitelisting / Allowlisting: formalise all documentation, apply the control consistently across all in-scope assets, close remaining coverage gaps, and ensure evidence is collected routinely. Exceptions must be formally managed with named owners and defined expiry dates.</v>
      </c>
      <c r="E85" s="71" t="s">
        <v>238</v>
      </c>
      <c r="F85" s="71" t="s">
        <v>310</v>
      </c>
      <c r="G85" s="131" t="s">
        <v>249</v>
      </c>
      <c r="H85" s="70" t="s">
        <v>241</v>
      </c>
      <c r="I85" s="71"/>
      <c r="J85" s="143" t="n">
        <v>3000</v>
      </c>
      <c r="K85" s="144"/>
      <c r="L85" s="144"/>
      <c r="M85" s="144"/>
      <c r="N85" s="133" t="n">
        <f aca="false">IFERROR(SUM(J85,K85,M85),0)</f>
        <v>3000</v>
      </c>
      <c r="O85" s="133" t="n">
        <f aca="false">IFERROR(SUM(L85),0)</f>
        <v>0</v>
      </c>
      <c r="P85" s="134" t="s">
        <v>242</v>
      </c>
    </row>
    <row r="86" customFormat="false" ht="21.75" hidden="false" customHeight="true" outlineLevel="0" collapsed="false">
      <c r="A86" s="135" t="n">
        <v>0.78</v>
      </c>
      <c r="B86" s="136" t="s">
        <v>308</v>
      </c>
      <c r="C86" s="137" t="s">
        <v>341</v>
      </c>
      <c r="D86" s="77" t="str">
        <f aca="false">IFERROR(IF('PR Protect'!P35="⏳ Complete rating and target to generate recommendation.","⏳ Rate this control in the domain sheet to auto-generate.",'PR Protect'!P35),"—")</f>
        <v>Instrument Removable Media Controls with measurable KPIs: define performance thresholds (coverage %, SLA adherence, exception count), establish automated telemetry where possible, and integrate reporting into quarterly governance cycles. Evidence must be system-generated and reviewed at each governance cycle.</v>
      </c>
      <c r="E86" s="77" t="s">
        <v>238</v>
      </c>
      <c r="F86" s="77" t="s">
        <v>310</v>
      </c>
      <c r="G86" s="139" t="s">
        <v>249</v>
      </c>
      <c r="H86" s="76" t="s">
        <v>241</v>
      </c>
      <c r="I86" s="77"/>
      <c r="J86" s="145" t="n">
        <v>3000</v>
      </c>
      <c r="K86" s="146"/>
      <c r="L86" s="146"/>
      <c r="M86" s="146"/>
      <c r="N86" s="141" t="n">
        <f aca="false">IFERROR(SUM(J86,K86,M86),0)</f>
        <v>3000</v>
      </c>
      <c r="O86" s="141" t="n">
        <f aca="false">IFERROR(SUM(L86),0)</f>
        <v>0</v>
      </c>
      <c r="P86" s="142" t="s">
        <v>242</v>
      </c>
    </row>
    <row r="87" customFormat="false" ht="21.75" hidden="false" customHeight="true" outlineLevel="0" collapsed="false">
      <c r="A87" s="127" t="n">
        <v>0.26</v>
      </c>
      <c r="B87" s="128" t="s">
        <v>308</v>
      </c>
      <c r="C87" s="129" t="s">
        <v>342</v>
      </c>
      <c r="D87" s="71" t="str">
        <f aca="false">IFERROR(IF('PR Protect'!P36="⏳ Complete rating and target to generate recommendation.","⏳ Rate this control in the domain sheet to auto-generate.",'PR Protect'!P36),"—")</f>
        <v>Standardise Mobile Device Management (MDM): formalise all documentation, apply the control consistently across all in-scope assets, close remaining coverage gaps, and ensure evidence is collected routinely. Exceptions must be formally managed with named owners and defined expiry dates.</v>
      </c>
      <c r="E87" s="71" t="s">
        <v>245</v>
      </c>
      <c r="F87" s="71" t="s">
        <v>246</v>
      </c>
      <c r="G87" s="131" t="s">
        <v>249</v>
      </c>
      <c r="H87" s="70" t="s">
        <v>241</v>
      </c>
      <c r="I87" s="71"/>
      <c r="J87" s="143" t="n">
        <v>1250</v>
      </c>
      <c r="K87" s="144"/>
      <c r="L87" s="144"/>
      <c r="M87" s="144"/>
      <c r="N87" s="133" t="n">
        <f aca="false">IFERROR(SUM(J87,K87,M87),0)</f>
        <v>1250</v>
      </c>
      <c r="O87" s="133" t="n">
        <f aca="false">IFERROR(SUM(L87),0)</f>
        <v>0</v>
      </c>
      <c r="P87" s="134" t="s">
        <v>242</v>
      </c>
    </row>
    <row r="88" customFormat="false" ht="21.75" hidden="false" customHeight="true" outlineLevel="0" collapsed="false">
      <c r="A88" s="135" t="n">
        <v>0.52</v>
      </c>
      <c r="B88" s="136" t="s">
        <v>308</v>
      </c>
      <c r="C88" s="137" t="s">
        <v>343</v>
      </c>
      <c r="D88" s="77" t="str">
        <f aca="false">IFERROR(IF('PR Protect'!P37="⏳ Complete rating and target to generate recommendation.","⏳ Rate this control in the domain sheet to auto-generate.",'PR Protect'!P37),"—")</f>
        <v>Instrument Network Segmentation — Zone Architecture with measurable KPIs: define performance thresholds (coverage %, SLA adherence, exception count), establish automated telemetry where possible, and integrate reporting into quarterly governance cycles. Evidence must be system-generated and reviewed at each governance cycle.</v>
      </c>
      <c r="E88" s="77" t="s">
        <v>267</v>
      </c>
      <c r="F88" s="77" t="s">
        <v>310</v>
      </c>
      <c r="G88" s="139" t="s">
        <v>249</v>
      </c>
      <c r="H88" s="76" t="s">
        <v>241</v>
      </c>
      <c r="I88" s="77"/>
      <c r="J88" s="145" t="n">
        <v>7500</v>
      </c>
      <c r="K88" s="146" t="n">
        <v>35000</v>
      </c>
      <c r="L88" s="146" t="n">
        <v>0</v>
      </c>
      <c r="M88" s="146" t="n">
        <v>0</v>
      </c>
      <c r="N88" s="141" t="n">
        <f aca="false">IFERROR(SUM(J88,K88,M88),0)</f>
        <v>42500</v>
      </c>
      <c r="O88" s="141" t="n">
        <f aca="false">IFERROR(SUM(L88),0)</f>
        <v>0</v>
      </c>
      <c r="P88" s="142" t="s">
        <v>242</v>
      </c>
    </row>
    <row r="89" customFormat="false" ht="21.75" hidden="false" customHeight="true" outlineLevel="0" collapsed="false">
      <c r="A89" s="127" t="n">
        <v>0.52</v>
      </c>
      <c r="B89" s="128" t="s">
        <v>308</v>
      </c>
      <c r="C89" s="129" t="s">
        <v>344</v>
      </c>
      <c r="D89" s="71" t="str">
        <f aca="false">IFERROR(IF('PR Protect'!P38="⏳ Complete rating and target to generate recommendation.","⏳ Rate this control in the domain sheet to auto-generate.",'PR Protect'!P38),"—")</f>
        <v>Standardise Network Microsegmentation (Cloud &amp; Data Centre): formalise all documentation, apply the control consistently across all in-scope assets, close remaining coverage gaps, and ensure evidence is collected routinely. Exceptions must be formally managed with named owners and defined expiry dates.</v>
      </c>
      <c r="E89" s="71" t="s">
        <v>238</v>
      </c>
      <c r="F89" s="71" t="s">
        <v>310</v>
      </c>
      <c r="G89" s="131" t="s">
        <v>287</v>
      </c>
      <c r="H89" s="70" t="s">
        <v>241</v>
      </c>
      <c r="I89" s="71"/>
      <c r="J89" s="143" t="n">
        <v>3000</v>
      </c>
      <c r="K89" s="144"/>
      <c r="L89" s="144"/>
      <c r="M89" s="144"/>
      <c r="N89" s="133" t="n">
        <f aca="false">IFERROR(SUM(J89,K89,M89),0)</f>
        <v>3000</v>
      </c>
      <c r="O89" s="133" t="n">
        <f aca="false">IFERROR(SUM(L89),0)</f>
        <v>0</v>
      </c>
      <c r="P89" s="134" t="s">
        <v>242</v>
      </c>
    </row>
    <row r="90" customFormat="false" ht="21.75" hidden="false" customHeight="true" outlineLevel="0" collapsed="false">
      <c r="A90" s="135" t="n">
        <v>0.78</v>
      </c>
      <c r="B90" s="136" t="s">
        <v>308</v>
      </c>
      <c r="C90" s="137" t="s">
        <v>345</v>
      </c>
      <c r="D90" s="77" t="str">
        <f aca="false">IFERROR(IF('PR Protect'!P39="⏳ Complete rating and target to generate recommendation.","⏳ Rate this control in the domain sheet to auto-generate.",'PR Protect'!P39),"—")</f>
        <v>Instrument CDE Network Segmentation Validation with measurable KPIs: define performance thresholds (coverage %, SLA adherence, exception count), establish automated telemetry where possible, and integrate reporting into quarterly governance cycles. Evidence must be system-generated and reviewed at each governance cycle.</v>
      </c>
      <c r="E90" s="77" t="s">
        <v>267</v>
      </c>
      <c r="F90" s="77" t="s">
        <v>310</v>
      </c>
      <c r="G90" s="139" t="s">
        <v>287</v>
      </c>
      <c r="H90" s="76" t="s">
        <v>241</v>
      </c>
      <c r="I90" s="77"/>
      <c r="J90" s="145" t="n">
        <v>7500</v>
      </c>
      <c r="K90" s="146"/>
      <c r="L90" s="146"/>
      <c r="M90" s="146"/>
      <c r="N90" s="141" t="n">
        <f aca="false">IFERROR(SUM(J90,K90,M90),0)</f>
        <v>7500</v>
      </c>
      <c r="O90" s="141" t="n">
        <f aca="false">IFERROR(SUM(L90),0)</f>
        <v>0</v>
      </c>
      <c r="P90" s="142" t="s">
        <v>242</v>
      </c>
    </row>
    <row r="91" customFormat="false" ht="21.75" hidden="false" customHeight="true" outlineLevel="0" collapsed="false">
      <c r="A91" s="127" t="n">
        <v>0.52</v>
      </c>
      <c r="B91" s="128" t="s">
        <v>308</v>
      </c>
      <c r="C91" s="129" t="s">
        <v>346</v>
      </c>
      <c r="D91" s="71" t="str">
        <f aca="false">IFERROR(IF('PR Protect'!P40="⏳ Complete rating and target to generate recommendation.","⏳ Rate this control in the domain sheet to auto-generate.",'PR Protect'!P40),"—")</f>
        <v>Instrument NGFW &amp; Firewall Rule Management with measurable KPIs: define performance thresholds (coverage %, SLA adherence, exception count), establish automated telemetry where possible, and integrate reporting into quarterly governance cycles. Evidence must be system-generated and reviewed at each governance cycle.</v>
      </c>
      <c r="E91" s="71" t="s">
        <v>238</v>
      </c>
      <c r="F91" s="71" t="s">
        <v>310</v>
      </c>
      <c r="G91" s="131" t="s">
        <v>249</v>
      </c>
      <c r="H91" s="70" t="s">
        <v>241</v>
      </c>
      <c r="I91" s="71"/>
      <c r="J91" s="143" t="n">
        <v>3000</v>
      </c>
      <c r="K91" s="144"/>
      <c r="L91" s="144"/>
      <c r="M91" s="144"/>
      <c r="N91" s="133" t="n">
        <f aca="false">IFERROR(SUM(J91,K91,M91),0)</f>
        <v>3000</v>
      </c>
      <c r="O91" s="133" t="n">
        <f aca="false">IFERROR(SUM(L91),0)</f>
        <v>0</v>
      </c>
      <c r="P91" s="134" t="s">
        <v>242</v>
      </c>
    </row>
    <row r="92" customFormat="false" ht="21.75" hidden="false" customHeight="true" outlineLevel="0" collapsed="false">
      <c r="A92" s="135" t="n">
        <v>0.52</v>
      </c>
      <c r="B92" s="136" t="s">
        <v>308</v>
      </c>
      <c r="C92" s="137" t="s">
        <v>347</v>
      </c>
      <c r="D92" s="77" t="str">
        <f aca="false">IFERROR(IF('PR Protect'!P41="⏳ Complete rating and target to generate recommendation.","⏳ Rate this control in the domain sheet to auto-generate.",'PR Protect'!P41),"—")</f>
        <v>Instrument Web Application Firewall (WAF) with measurable KPIs: define performance thresholds (coverage %, SLA adherence, exception count), establish automated telemetry where possible, and integrate reporting into quarterly governance cycles. Evidence must be system-generated and reviewed at each governance cycle.</v>
      </c>
      <c r="E92" s="77" t="s">
        <v>238</v>
      </c>
      <c r="F92" s="77" t="s">
        <v>310</v>
      </c>
      <c r="G92" s="139" t="s">
        <v>287</v>
      </c>
      <c r="H92" s="76" t="s">
        <v>241</v>
      </c>
      <c r="I92" s="77"/>
      <c r="J92" s="145" t="n">
        <v>3000</v>
      </c>
      <c r="K92" s="146"/>
      <c r="L92" s="146"/>
      <c r="M92" s="146"/>
      <c r="N92" s="141" t="n">
        <f aca="false">IFERROR(SUM(J92,K92,M92),0)</f>
        <v>3000</v>
      </c>
      <c r="O92" s="141" t="n">
        <f aca="false">IFERROR(SUM(L92),0)</f>
        <v>0</v>
      </c>
      <c r="P92" s="142" t="s">
        <v>242</v>
      </c>
    </row>
    <row r="93" customFormat="false" ht="21.75" hidden="false" customHeight="true" outlineLevel="0" collapsed="false">
      <c r="A93" s="127" t="n">
        <v>0.26</v>
      </c>
      <c r="B93" s="128" t="s">
        <v>308</v>
      </c>
      <c r="C93" s="129" t="s">
        <v>348</v>
      </c>
      <c r="D93" s="71" t="str">
        <f aca="false">IFERROR(IF('PR Protect'!P42="⏳ Complete rating and target to generate recommendation.","⏳ Rate this control in the domain sheet to auto-generate.",'PR Protect'!P42),"—")</f>
        <v>Standardise Zero Trust Network Access (ZTNA): formalise all documentation, apply the control consistently across all in-scope assets, close remaining coverage gaps, and ensure evidence is collected routinely. Exceptions must be formally managed with named owners and defined expiry dates.</v>
      </c>
      <c r="E93" s="71" t="s">
        <v>238</v>
      </c>
      <c r="F93" s="71" t="s">
        <v>310</v>
      </c>
      <c r="G93" s="131" t="s">
        <v>249</v>
      </c>
      <c r="H93" s="70" t="s">
        <v>241</v>
      </c>
      <c r="I93" s="71"/>
      <c r="J93" s="143" t="n">
        <v>3000</v>
      </c>
      <c r="K93" s="144"/>
      <c r="L93" s="144"/>
      <c r="M93" s="144"/>
      <c r="N93" s="133" t="n">
        <f aca="false">IFERROR(SUM(J93,K93,M93),0)</f>
        <v>3000</v>
      </c>
      <c r="O93" s="133" t="n">
        <f aca="false">IFERROR(SUM(L93),0)</f>
        <v>0</v>
      </c>
      <c r="P93" s="134" t="s">
        <v>242</v>
      </c>
    </row>
    <row r="94" customFormat="false" ht="21.75" hidden="false" customHeight="true" outlineLevel="0" collapsed="false">
      <c r="A94" s="135" t="n">
        <v>0.26</v>
      </c>
      <c r="B94" s="136" t="s">
        <v>308</v>
      </c>
      <c r="C94" s="137" t="s">
        <v>349</v>
      </c>
      <c r="D94" s="77" t="str">
        <f aca="false">IFERROR(IF('PR Protect'!P43="⏳ Complete rating and target to generate recommendation.","⏳ Rate this control in the domain sheet to auto-generate.",'PR Protect'!P43),"—")</f>
        <v>Standardise SASE Architecture: formalise all documentation, apply the control consistently across all in-scope assets, close remaining coverage gaps, and ensure evidence is collected routinely. Exceptions must be formally managed with named owners and defined expiry dates.</v>
      </c>
      <c r="E94" s="77" t="s">
        <v>238</v>
      </c>
      <c r="F94" s="77" t="s">
        <v>310</v>
      </c>
      <c r="G94" s="139" t="s">
        <v>249</v>
      </c>
      <c r="H94" s="76" t="s">
        <v>241</v>
      </c>
      <c r="I94" s="77"/>
      <c r="J94" s="145" t="n">
        <v>3000</v>
      </c>
      <c r="K94" s="146"/>
      <c r="L94" s="146"/>
      <c r="M94" s="146"/>
      <c r="N94" s="141" t="n">
        <f aca="false">IFERROR(SUM(J94,K94,M94),0)</f>
        <v>3000</v>
      </c>
      <c r="O94" s="141" t="n">
        <f aca="false">IFERROR(SUM(L94),0)</f>
        <v>0</v>
      </c>
      <c r="P94" s="142" t="s">
        <v>242</v>
      </c>
    </row>
    <row r="95" customFormat="false" ht="21.75" hidden="false" customHeight="true" outlineLevel="0" collapsed="false">
      <c r="A95" s="127" t="n">
        <v>0.52</v>
      </c>
      <c r="B95" s="128" t="s">
        <v>308</v>
      </c>
      <c r="C95" s="129" t="s">
        <v>350</v>
      </c>
      <c r="D95" s="71" t="str">
        <f aca="false">IFERROR(IF('PR Protect'!P44="⏳ Complete rating and target to generate recommendation.","⏳ Rate this control in the domain sheet to auto-generate.",'PR Protect'!P44),"—")</f>
        <v>Standardise Protective DNS &amp; DNS Security: formalise all documentation, apply the control consistently across all in-scope assets, close remaining coverage gaps, and ensure evidence is collected routinely. Exceptions must be formally managed with named owners and defined expiry dates.</v>
      </c>
      <c r="E95" s="71" t="s">
        <v>238</v>
      </c>
      <c r="F95" s="71" t="s">
        <v>310</v>
      </c>
      <c r="G95" s="131" t="s">
        <v>249</v>
      </c>
      <c r="H95" s="70" t="s">
        <v>241</v>
      </c>
      <c r="I95" s="71"/>
      <c r="J95" s="143" t="n">
        <v>3000</v>
      </c>
      <c r="K95" s="144"/>
      <c r="L95" s="144"/>
      <c r="M95" s="144"/>
      <c r="N95" s="133" t="n">
        <f aca="false">IFERROR(SUM(J95,K95,M95),0)</f>
        <v>3000</v>
      </c>
      <c r="O95" s="133" t="n">
        <f aca="false">IFERROR(SUM(L95),0)</f>
        <v>0</v>
      </c>
      <c r="P95" s="134" t="s">
        <v>242</v>
      </c>
    </row>
    <row r="96" customFormat="false" ht="21.75" hidden="false" customHeight="true" outlineLevel="0" collapsed="false">
      <c r="A96" s="135" t="n">
        <v>0.52</v>
      </c>
      <c r="B96" s="136" t="s">
        <v>308</v>
      </c>
      <c r="C96" s="137" t="s">
        <v>351</v>
      </c>
      <c r="D96" s="77" t="str">
        <f aca="false">IFERROR(IF('PR Protect'!P45="⏳ Complete rating and target to generate recommendation.","⏳ Rate this control in the domain sheet to auto-generate.",'PR Protect'!P45),"—")</f>
        <v>Standardise Egress Filtering &amp; Allowlisting: formalise all documentation, apply the control consistently across all in-scope assets, close remaining coverage gaps, and ensure evidence is collected routinely. Exceptions must be formally managed with named owners and defined expiry dates.</v>
      </c>
      <c r="E96" s="77" t="s">
        <v>238</v>
      </c>
      <c r="F96" s="77" t="s">
        <v>310</v>
      </c>
      <c r="G96" s="139" t="s">
        <v>287</v>
      </c>
      <c r="H96" s="76" t="s">
        <v>241</v>
      </c>
      <c r="I96" s="77"/>
      <c r="J96" s="145" t="n">
        <v>3000</v>
      </c>
      <c r="K96" s="146"/>
      <c r="L96" s="146"/>
      <c r="M96" s="146"/>
      <c r="N96" s="141" t="n">
        <f aca="false">IFERROR(SUM(J96,K96,M96),0)</f>
        <v>3000</v>
      </c>
      <c r="O96" s="141" t="n">
        <f aca="false">IFERROR(SUM(L96),0)</f>
        <v>0</v>
      </c>
      <c r="P96" s="142" t="s">
        <v>242</v>
      </c>
    </row>
    <row r="97" customFormat="false" ht="21.75" hidden="false" customHeight="true" outlineLevel="0" collapsed="false">
      <c r="A97" s="127" t="n">
        <v>0.52</v>
      </c>
      <c r="B97" s="128" t="s">
        <v>308</v>
      </c>
      <c r="C97" s="129" t="s">
        <v>352</v>
      </c>
      <c r="D97" s="71" t="str">
        <f aca="false">IFERROR(IF('PR Protect'!P46="⏳ Complete rating and target to generate recommendation.","⏳ Rate this control in the domain sheet to auto-generate.",'PR Protect'!P46),"—")</f>
        <v>Instrument Network Intrusion Prevention (IPS) with measurable KPIs: define performance thresholds (coverage %, SLA adherence, exception count), establish automated telemetry where possible, and integrate reporting into quarterly governance cycles. Evidence must be system-generated and reviewed at each governance cycle.</v>
      </c>
      <c r="E97" s="71" t="s">
        <v>238</v>
      </c>
      <c r="F97" s="71" t="s">
        <v>310</v>
      </c>
      <c r="G97" s="131" t="s">
        <v>249</v>
      </c>
      <c r="H97" s="70" t="s">
        <v>241</v>
      </c>
      <c r="I97" s="71"/>
      <c r="J97" s="143" t="n">
        <v>3000</v>
      </c>
      <c r="K97" s="144"/>
      <c r="L97" s="144"/>
      <c r="M97" s="144"/>
      <c r="N97" s="133" t="n">
        <f aca="false">IFERROR(SUM(J97,K97,M97),0)</f>
        <v>3000</v>
      </c>
      <c r="O97" s="133" t="n">
        <f aca="false">IFERROR(SUM(L97),0)</f>
        <v>0</v>
      </c>
      <c r="P97" s="134" t="s">
        <v>242</v>
      </c>
    </row>
    <row r="98" customFormat="false" ht="21.75" hidden="false" customHeight="true" outlineLevel="0" collapsed="false">
      <c r="A98" s="135" t="n">
        <v>0.78</v>
      </c>
      <c r="B98" s="136" t="s">
        <v>308</v>
      </c>
      <c r="C98" s="137" t="s">
        <v>353</v>
      </c>
      <c r="D98" s="77" t="str">
        <f aca="false">IFERROR(IF('PR Protect'!P47="⏳ Complete rating and target to generate recommendation.","⏳ Rate this control in the domain sheet to auto-generate.",'PR Protect'!P47),"—")</f>
        <v>Instrument Remote Administration Security with measurable KPIs: define performance thresholds (coverage %, SLA adherence, exception count), establish automated telemetry where possible, and integrate reporting into quarterly governance cycles. Evidence must be system-generated and reviewed at each governance cycle.</v>
      </c>
      <c r="E98" s="77" t="s">
        <v>238</v>
      </c>
      <c r="F98" s="77" t="s">
        <v>310</v>
      </c>
      <c r="G98" s="139" t="s">
        <v>284</v>
      </c>
      <c r="H98" s="76" t="s">
        <v>241</v>
      </c>
      <c r="I98" s="77"/>
      <c r="J98" s="145" t="n">
        <v>3000</v>
      </c>
      <c r="K98" s="146"/>
      <c r="L98" s="146"/>
      <c r="M98" s="146"/>
      <c r="N98" s="141" t="n">
        <f aca="false">IFERROR(SUM(J98,K98,M98),0)</f>
        <v>3000</v>
      </c>
      <c r="O98" s="141" t="n">
        <f aca="false">IFERROR(SUM(L98),0)</f>
        <v>0</v>
      </c>
      <c r="P98" s="142" t="s">
        <v>242</v>
      </c>
    </row>
    <row r="99" customFormat="false" ht="21.75" hidden="false" customHeight="true" outlineLevel="0" collapsed="false">
      <c r="A99" s="127" t="n">
        <v>0.52</v>
      </c>
      <c r="B99" s="128" t="s">
        <v>308</v>
      </c>
      <c r="C99" s="129" t="s">
        <v>354</v>
      </c>
      <c r="D99" s="71" t="str">
        <f aca="false">IFERROR(IF('PR Protect'!P48="⏳ Complete rating and target to generate recommendation.","⏳ Rate this control in the domain sheet to auto-generate.",'PR Protect'!P48),"—")</f>
        <v>Instrument Wireless Network Security with measurable KPIs: define performance thresholds (coverage %, SLA adherence, exception count), establish automated telemetry where possible, and integrate reporting into quarterly governance cycles. Evidence must be system-generated and reviewed at each governance cycle.</v>
      </c>
      <c r="E99" s="71" t="s">
        <v>238</v>
      </c>
      <c r="F99" s="71" t="s">
        <v>310</v>
      </c>
      <c r="G99" s="131" t="s">
        <v>249</v>
      </c>
      <c r="H99" s="70" t="s">
        <v>241</v>
      </c>
      <c r="I99" s="71"/>
      <c r="J99" s="143" t="n">
        <v>3000</v>
      </c>
      <c r="K99" s="144"/>
      <c r="L99" s="144"/>
      <c r="M99" s="144"/>
      <c r="N99" s="133" t="n">
        <f aca="false">IFERROR(SUM(J99,K99,M99),0)</f>
        <v>3000</v>
      </c>
      <c r="O99" s="133" t="n">
        <f aca="false">IFERROR(SUM(L99),0)</f>
        <v>0</v>
      </c>
      <c r="P99" s="134" t="s">
        <v>242</v>
      </c>
    </row>
    <row r="100" customFormat="false" ht="21.75" hidden="false" customHeight="true" outlineLevel="0" collapsed="false">
      <c r="A100" s="135" t="n">
        <v>0</v>
      </c>
      <c r="B100" s="136" t="s">
        <v>308</v>
      </c>
      <c r="C100" s="137" t="s">
        <v>355</v>
      </c>
      <c r="D100" s="77" t="str">
        <f aca="false">IFERROR(IF('PR Protect'!P49="⏳ Complete rating and target to generate recommendation.","⏳ Rate this control in the domain sheet to auto-generate.",'PR Protect'!P49),"—")</f>
        <v>⏳ Rate this control in the domain sheet to auto-generate.</v>
      </c>
      <c r="E100" s="77"/>
      <c r="F100" s="77"/>
      <c r="G100" s="139" t="s">
        <v>284</v>
      </c>
      <c r="H100" s="76" t="s">
        <v>272</v>
      </c>
      <c r="I100" s="77"/>
      <c r="J100" s="145"/>
      <c r="K100" s="146"/>
      <c r="L100" s="146"/>
      <c r="M100" s="146"/>
      <c r="N100" s="141" t="n">
        <f aca="false">IFERROR(SUM(J100,K100,M100),0)</f>
        <v>0</v>
      </c>
      <c r="O100" s="141" t="n">
        <f aca="false">IFERROR(SUM(L100),0)</f>
        <v>0</v>
      </c>
      <c r="P100" s="142" t="s">
        <v>273</v>
      </c>
    </row>
    <row r="101" customFormat="false" ht="21.75" hidden="false" customHeight="true" outlineLevel="0" collapsed="false">
      <c r="A101" s="127" t="n">
        <v>0.52</v>
      </c>
      <c r="B101" s="128" t="s">
        <v>308</v>
      </c>
      <c r="C101" s="129" t="s">
        <v>356</v>
      </c>
      <c r="D101" s="71" t="str">
        <f aca="false">IFERROR(IF('PR Protect'!P50="⏳ Complete rating and target to generate recommendation.","⏳ Rate this control in the domain sheet to auto-generate.",'PR Protect'!P50),"—")</f>
        <v>Standardise Secure SDLC — Security Requirements: formalise all documentation, apply the control consistently across all in-scope assets, close remaining coverage gaps, and ensure evidence is collected routinely. Exceptions must be formally managed with named owners and defined expiry dates.</v>
      </c>
      <c r="E101" s="71" t="s">
        <v>238</v>
      </c>
      <c r="F101" s="71" t="s">
        <v>310</v>
      </c>
      <c r="G101" s="131" t="s">
        <v>275</v>
      </c>
      <c r="H101" s="70" t="s">
        <v>241</v>
      </c>
      <c r="I101" s="71"/>
      <c r="J101" s="143" t="n">
        <v>3000</v>
      </c>
      <c r="K101" s="144"/>
      <c r="L101" s="144"/>
      <c r="M101" s="144"/>
      <c r="N101" s="133" t="n">
        <f aca="false">IFERROR(SUM(J101,K101,M101),0)</f>
        <v>3000</v>
      </c>
      <c r="O101" s="133" t="n">
        <f aca="false">IFERROR(SUM(L101),0)</f>
        <v>0</v>
      </c>
      <c r="P101" s="134" t="s">
        <v>242</v>
      </c>
    </row>
    <row r="102" customFormat="false" ht="21.75" hidden="false" customHeight="true" outlineLevel="0" collapsed="false">
      <c r="A102" s="135" t="n">
        <v>0.78</v>
      </c>
      <c r="B102" s="136" t="s">
        <v>308</v>
      </c>
      <c r="C102" s="137" t="s">
        <v>357</v>
      </c>
      <c r="D102" s="77" t="str">
        <f aca="false">IFERROR(IF('PR Protect'!P51="⏳ Complete rating and target to generate recommendation.","⏳ Rate this control in the domain sheet to auto-generate.",'PR Protect'!P51),"—")</f>
        <v>Instrument Secure SDLC — Static Analysis (SAST) with measurable KPIs: define performance thresholds (coverage %, SLA adherence, exception count), establish automated telemetry where possible, and integrate reporting into quarterly governance cycles. Evidence must be system-generated and reviewed at each governance cycle.</v>
      </c>
      <c r="E102" s="77" t="s">
        <v>238</v>
      </c>
      <c r="F102" s="77" t="s">
        <v>258</v>
      </c>
      <c r="G102" s="139" t="s">
        <v>275</v>
      </c>
      <c r="H102" s="76" t="s">
        <v>241</v>
      </c>
      <c r="I102" s="77"/>
      <c r="J102" s="145" t="n">
        <v>3000</v>
      </c>
      <c r="K102" s="146"/>
      <c r="L102" s="146"/>
      <c r="M102" s="146"/>
      <c r="N102" s="141" t="n">
        <f aca="false">IFERROR(SUM(J102,K102,M102),0)</f>
        <v>3000</v>
      </c>
      <c r="O102" s="141" t="n">
        <f aca="false">IFERROR(SUM(L102),0)</f>
        <v>0</v>
      </c>
      <c r="P102" s="142" t="s">
        <v>242</v>
      </c>
    </row>
    <row r="103" customFormat="false" ht="21.75" hidden="false" customHeight="true" outlineLevel="0" collapsed="false">
      <c r="A103" s="127" t="n">
        <v>0.26</v>
      </c>
      <c r="B103" s="128" t="s">
        <v>308</v>
      </c>
      <c r="C103" s="129" t="s">
        <v>358</v>
      </c>
      <c r="D103" s="71" t="str">
        <f aca="false">IFERROR(IF('PR Protect'!P52="⏳ Complete rating and target to generate recommendation.","⏳ Rate this control in the domain sheet to auto-generate.",'PR Protect'!P52),"—")</f>
        <v>Standardise Secure SDLC — Software Composition Analysis (SCA): formalise all documentation, apply the control consistently across all in-scope assets, close remaining coverage gaps, and ensure evidence is collected routinely. Exceptions must be formally managed with named owners and defined expiry dates.</v>
      </c>
      <c r="E103" s="71" t="s">
        <v>245</v>
      </c>
      <c r="F103" s="71" t="s">
        <v>246</v>
      </c>
      <c r="G103" s="131" t="s">
        <v>275</v>
      </c>
      <c r="H103" s="70" t="s">
        <v>241</v>
      </c>
      <c r="I103" s="71"/>
      <c r="J103" s="143" t="n">
        <v>1250</v>
      </c>
      <c r="K103" s="144"/>
      <c r="L103" s="144"/>
      <c r="M103" s="144"/>
      <c r="N103" s="133" t="n">
        <f aca="false">IFERROR(SUM(J103,K103,M103),0)</f>
        <v>1250</v>
      </c>
      <c r="O103" s="133" t="n">
        <f aca="false">IFERROR(SUM(L103),0)</f>
        <v>0</v>
      </c>
      <c r="P103" s="134" t="s">
        <v>242</v>
      </c>
    </row>
    <row r="104" customFormat="false" ht="21.75" hidden="false" customHeight="true" outlineLevel="0" collapsed="false">
      <c r="A104" s="135" t="n">
        <v>0.78</v>
      </c>
      <c r="B104" s="136" t="s">
        <v>308</v>
      </c>
      <c r="C104" s="137" t="s">
        <v>359</v>
      </c>
      <c r="D104" s="77" t="str">
        <f aca="false">IFERROR(IF('PR Protect'!P53="⏳ Complete rating and target to generate recommendation.","⏳ Rate this control in the domain sheet to auto-generate.",'PR Protect'!P53),"—")</f>
        <v>Instrument Secure SDLC — Dynamic Analysis (DAST) with measurable KPIs: define performance thresholds (coverage %, SLA adherence, exception count), establish automated telemetry where possible, and integrate reporting into quarterly governance cycles. Evidence must be system-generated and reviewed at each governance cycle.</v>
      </c>
      <c r="E104" s="77" t="s">
        <v>238</v>
      </c>
      <c r="F104" s="77" t="s">
        <v>310</v>
      </c>
      <c r="G104" s="139" t="s">
        <v>275</v>
      </c>
      <c r="H104" s="76" t="s">
        <v>241</v>
      </c>
      <c r="I104" s="77"/>
      <c r="J104" s="145" t="n">
        <v>3000</v>
      </c>
      <c r="K104" s="146"/>
      <c r="L104" s="146"/>
      <c r="M104" s="146"/>
      <c r="N104" s="141" t="n">
        <f aca="false">IFERROR(SUM(J104,K104,M104),0)</f>
        <v>3000</v>
      </c>
      <c r="O104" s="141" t="n">
        <f aca="false">IFERROR(SUM(L104),0)</f>
        <v>0</v>
      </c>
      <c r="P104" s="142" t="s">
        <v>242</v>
      </c>
    </row>
    <row r="105" customFormat="false" ht="21.75" hidden="false" customHeight="true" outlineLevel="0" collapsed="false">
      <c r="A105" s="127" t="n">
        <v>0.78</v>
      </c>
      <c r="B105" s="128" t="s">
        <v>308</v>
      </c>
      <c r="C105" s="129" t="s">
        <v>360</v>
      </c>
      <c r="D105" s="71" t="str">
        <f aca="false">IFERROR(IF('PR Protect'!P54="⏳ Complete rating and target to generate recommendation.","⏳ Rate this control in the domain sheet to auto-generate.",'PR Protect'!P54),"—")</f>
        <v>Instrument Secure SDLC — Release Security Sign-Off with measurable KPIs: define performance thresholds (coverage %, SLA adherence, exception count), establish automated telemetry where possible, and integrate reporting into quarterly governance cycles. Evidence must be system-generated and reviewed at each governance cycle.</v>
      </c>
      <c r="E105" s="71" t="s">
        <v>238</v>
      </c>
      <c r="F105" s="71" t="s">
        <v>310</v>
      </c>
      <c r="G105" s="131" t="s">
        <v>275</v>
      </c>
      <c r="H105" s="70" t="s">
        <v>241</v>
      </c>
      <c r="I105" s="71"/>
      <c r="J105" s="143" t="n">
        <v>3000</v>
      </c>
      <c r="K105" s="144"/>
      <c r="L105" s="144"/>
      <c r="M105" s="144"/>
      <c r="N105" s="133" t="n">
        <f aca="false">IFERROR(SUM(J105,K105,M105),0)</f>
        <v>3000</v>
      </c>
      <c r="O105" s="133" t="n">
        <f aca="false">IFERROR(SUM(L105),0)</f>
        <v>0</v>
      </c>
      <c r="P105" s="134" t="s">
        <v>242</v>
      </c>
    </row>
    <row r="106" customFormat="false" ht="21.75" hidden="false" customHeight="true" outlineLevel="0" collapsed="false">
      <c r="A106" s="135" t="n">
        <v>0.52</v>
      </c>
      <c r="B106" s="136" t="s">
        <v>308</v>
      </c>
      <c r="C106" s="137" t="s">
        <v>361</v>
      </c>
      <c r="D106" s="77" t="str">
        <f aca="false">IFERROR(IF('PR Protect'!P55="⏳ Complete rating and target to generate recommendation.","⏳ Rate this control in the domain sheet to auto-generate.",'PR Protect'!P55),"—")</f>
        <v>Standardise API Security — Inventory &amp; Gateway: formalise all documentation, apply the control consistently across all in-scope assets, close remaining coverage gaps, and ensure evidence is collected routinely. Exceptions must be formally managed with named owners and defined expiry dates.</v>
      </c>
      <c r="E106" s="77" t="s">
        <v>238</v>
      </c>
      <c r="F106" s="77" t="s">
        <v>258</v>
      </c>
      <c r="G106" s="139" t="s">
        <v>275</v>
      </c>
      <c r="H106" s="76" t="s">
        <v>241</v>
      </c>
      <c r="I106" s="77"/>
      <c r="J106" s="145" t="n">
        <v>3000</v>
      </c>
      <c r="K106" s="146"/>
      <c r="L106" s="146"/>
      <c r="M106" s="146"/>
      <c r="N106" s="141" t="n">
        <f aca="false">IFERROR(SUM(J106,K106,M106),0)</f>
        <v>3000</v>
      </c>
      <c r="O106" s="141" t="n">
        <f aca="false">IFERROR(SUM(L106),0)</f>
        <v>0</v>
      </c>
      <c r="P106" s="142" t="s">
        <v>242</v>
      </c>
    </row>
    <row r="107" customFormat="false" ht="21.75" hidden="false" customHeight="true" outlineLevel="0" collapsed="false">
      <c r="A107" s="127" t="n">
        <v>0.52</v>
      </c>
      <c r="B107" s="128" t="s">
        <v>308</v>
      </c>
      <c r="C107" s="129" t="s">
        <v>362</v>
      </c>
      <c r="D107" s="71" t="str">
        <f aca="false">IFERROR(IF('PR Protect'!P56="⏳ Complete rating and target to generate recommendation.","⏳ Rate this control in the domain sheet to auto-generate.",'PR Protect'!P56),"—")</f>
        <v>Standardise Container Security — Image Scanning: formalise all documentation, apply the control consistently across all in-scope assets, close remaining coverage gaps, and ensure evidence is collected routinely. Exceptions must be formally managed with named owners and defined expiry dates.</v>
      </c>
      <c r="E107" s="71" t="s">
        <v>238</v>
      </c>
      <c r="F107" s="71" t="s">
        <v>258</v>
      </c>
      <c r="G107" s="131" t="s">
        <v>287</v>
      </c>
      <c r="H107" s="70" t="s">
        <v>241</v>
      </c>
      <c r="I107" s="71"/>
      <c r="J107" s="143" t="n">
        <v>3000</v>
      </c>
      <c r="K107" s="144"/>
      <c r="L107" s="144"/>
      <c r="M107" s="144"/>
      <c r="N107" s="133" t="n">
        <f aca="false">IFERROR(SUM(J107,K107,M107),0)</f>
        <v>3000</v>
      </c>
      <c r="O107" s="133" t="n">
        <f aca="false">IFERROR(SUM(L107),0)</f>
        <v>0</v>
      </c>
      <c r="P107" s="134" t="s">
        <v>242</v>
      </c>
    </row>
    <row r="108" customFormat="false" ht="21.75" hidden="false" customHeight="true" outlineLevel="0" collapsed="false">
      <c r="A108" s="135" t="n">
        <v>0.52</v>
      </c>
      <c r="B108" s="136" t="s">
        <v>308</v>
      </c>
      <c r="C108" s="137" t="s">
        <v>363</v>
      </c>
      <c r="D108" s="77" t="str">
        <f aca="false">IFERROR(IF('PR Protect'!P57="⏳ Complete rating and target to generate recommendation.","⏳ Rate this control in the domain sheet to auto-generate.",'PR Protect'!P57),"—")</f>
        <v>Standardise Container Security — Runtime Protection: formalise all documentation, apply the control consistently across all in-scope assets, close remaining coverage gaps, and ensure evidence is collected routinely. Exceptions must be formally managed with named owners and defined expiry dates.</v>
      </c>
      <c r="E108" s="77" t="s">
        <v>238</v>
      </c>
      <c r="F108" s="77" t="s">
        <v>258</v>
      </c>
      <c r="G108" s="139" t="s">
        <v>287</v>
      </c>
      <c r="H108" s="76" t="s">
        <v>241</v>
      </c>
      <c r="I108" s="77"/>
      <c r="J108" s="145" t="n">
        <v>3000</v>
      </c>
      <c r="K108" s="146"/>
      <c r="L108" s="146"/>
      <c r="M108" s="146"/>
      <c r="N108" s="141" t="n">
        <f aca="false">IFERROR(SUM(J108,K108,M108),0)</f>
        <v>3000</v>
      </c>
      <c r="O108" s="141" t="n">
        <f aca="false">IFERROR(SUM(L108),0)</f>
        <v>0</v>
      </c>
      <c r="P108" s="142" t="s">
        <v>242</v>
      </c>
    </row>
    <row r="109" customFormat="false" ht="21.75" hidden="false" customHeight="true" outlineLevel="0" collapsed="false">
      <c r="A109" s="127" t="n">
        <v>0.26</v>
      </c>
      <c r="B109" s="128" t="s">
        <v>308</v>
      </c>
      <c r="C109" s="129" t="s">
        <v>364</v>
      </c>
      <c r="D109" s="71" t="str">
        <f aca="false">IFERROR(IF('PR Protect'!P58="⏳ Complete rating and target to generate recommendation.","⏳ Rate this control in the domain sheet to auto-generate.",'PR Protect'!P58),"—")</f>
        <v>Standardise Secrets Exposure Prevention in Code: formalise all documentation, apply the control consistently across all in-scope assets, close remaining coverage gaps, and ensure evidence is collected routinely. Exceptions must be formally managed with named owners and defined expiry dates.</v>
      </c>
      <c r="E109" s="71" t="s">
        <v>238</v>
      </c>
      <c r="F109" s="71" t="s">
        <v>258</v>
      </c>
      <c r="G109" s="131" t="s">
        <v>275</v>
      </c>
      <c r="H109" s="70" t="s">
        <v>241</v>
      </c>
      <c r="I109" s="71"/>
      <c r="J109" s="143" t="n">
        <v>3000</v>
      </c>
      <c r="K109" s="144"/>
      <c r="L109" s="144"/>
      <c r="M109" s="144"/>
      <c r="N109" s="133" t="n">
        <f aca="false">IFERROR(SUM(J109,K109,M109),0)</f>
        <v>3000</v>
      </c>
      <c r="O109" s="133" t="n">
        <f aca="false">IFERROR(SUM(L109),0)</f>
        <v>0</v>
      </c>
      <c r="P109" s="134" t="s">
        <v>242</v>
      </c>
    </row>
    <row r="110" customFormat="false" ht="21.75" hidden="false" customHeight="true" outlineLevel="0" collapsed="false">
      <c r="A110" s="135" t="n">
        <v>0.78</v>
      </c>
      <c r="B110" s="136" t="s">
        <v>308</v>
      </c>
      <c r="C110" s="137" t="s">
        <v>365</v>
      </c>
      <c r="D110" s="77" t="str">
        <f aca="false">IFERROR(IF('PR Protect'!P59="⏳ Complete rating and target to generate recommendation.","⏳ Rate this control in the domain sheet to auto-generate.",'PR Protect'!P59),"—")</f>
        <v>Instrument Payment Page &amp; Script Integrity with measurable KPIs: define performance thresholds (coverage %, SLA adherence, exception count), establish automated telemetry where possible, and integrate reporting into quarterly governance cycles. Evidence must be system-generated and reviewed at each governance cycle.</v>
      </c>
      <c r="E110" s="77" t="s">
        <v>238</v>
      </c>
      <c r="F110" s="77" t="s">
        <v>310</v>
      </c>
      <c r="G110" s="139" t="s">
        <v>275</v>
      </c>
      <c r="H110" s="76" t="s">
        <v>241</v>
      </c>
      <c r="I110" s="77"/>
      <c r="J110" s="145" t="n">
        <v>3000</v>
      </c>
      <c r="K110" s="146"/>
      <c r="L110" s="146"/>
      <c r="M110" s="146"/>
      <c r="N110" s="141" t="n">
        <f aca="false">IFERROR(SUM(J110,K110,M110),0)</f>
        <v>3000</v>
      </c>
      <c r="O110" s="141" t="n">
        <f aca="false">IFERROR(SUM(L110),0)</f>
        <v>0</v>
      </c>
      <c r="P110" s="142" t="s">
        <v>242</v>
      </c>
    </row>
    <row r="111" customFormat="false" ht="21.75" hidden="false" customHeight="true" outlineLevel="0" collapsed="false">
      <c r="A111" s="127" t="n">
        <v>0.52</v>
      </c>
      <c r="B111" s="128" t="s">
        <v>308</v>
      </c>
      <c r="C111" s="129" t="s">
        <v>366</v>
      </c>
      <c r="D111" s="71" t="str">
        <f aca="false">IFERROR(IF('PR Protect'!P60="⏳ Complete rating and target to generate recommendation.","⏳ Rate this control in the domain sheet to auto-generate.",'PR Protect'!P60),"—")</f>
        <v>Standardise Software Supply Chain Security: formalise all documentation, apply the control consistently across all in-scope assets, close remaining coverage gaps, and ensure evidence is collected routinely. Exceptions must be formally managed with named owners and defined expiry dates.</v>
      </c>
      <c r="E111" s="71" t="s">
        <v>238</v>
      </c>
      <c r="F111" s="71" t="s">
        <v>258</v>
      </c>
      <c r="G111" s="131" t="s">
        <v>275</v>
      </c>
      <c r="H111" s="70" t="s">
        <v>241</v>
      </c>
      <c r="I111" s="71"/>
      <c r="J111" s="143" t="n">
        <v>3000</v>
      </c>
      <c r="K111" s="144"/>
      <c r="L111" s="144"/>
      <c r="M111" s="144"/>
      <c r="N111" s="133" t="n">
        <f aca="false">IFERROR(SUM(J111,K111,M111),0)</f>
        <v>3000</v>
      </c>
      <c r="O111" s="133" t="n">
        <f aca="false">IFERROR(SUM(L111),0)</f>
        <v>0</v>
      </c>
      <c r="P111" s="134" t="s">
        <v>242</v>
      </c>
    </row>
    <row r="112" customFormat="false" ht="21.75" hidden="false" customHeight="true" outlineLevel="0" collapsed="false">
      <c r="A112" s="135" t="n">
        <v>0.26</v>
      </c>
      <c r="B112" s="136" t="s">
        <v>308</v>
      </c>
      <c r="C112" s="137" t="s">
        <v>367</v>
      </c>
      <c r="D112" s="77" t="str">
        <f aca="false">IFERROR(IF('PR Protect'!P61="⏳ Complete rating and target to generate recommendation.","⏳ Rate this control in the domain sheet to auto-generate.",'PR Protect'!P61),"—")</f>
        <v>Standardise Threat Modelling Programme: formalise all documentation, apply the control consistently across all in-scope assets, close remaining coverage gaps, and ensure evidence is collected routinely. Exceptions must be formally managed with named owners and defined expiry dates.</v>
      </c>
      <c r="E112" s="77" t="s">
        <v>238</v>
      </c>
      <c r="F112" s="77" t="s">
        <v>258</v>
      </c>
      <c r="G112" s="139" t="s">
        <v>275</v>
      </c>
      <c r="H112" s="76" t="s">
        <v>241</v>
      </c>
      <c r="I112" s="77"/>
      <c r="J112" s="145" t="n">
        <v>3000</v>
      </c>
      <c r="K112" s="146"/>
      <c r="L112" s="146"/>
      <c r="M112" s="146"/>
      <c r="N112" s="141" t="n">
        <f aca="false">IFERROR(SUM(J112,K112,M112),0)</f>
        <v>3000</v>
      </c>
      <c r="O112" s="141" t="n">
        <f aca="false">IFERROR(SUM(L112),0)</f>
        <v>0</v>
      </c>
      <c r="P112" s="142" t="s">
        <v>242</v>
      </c>
    </row>
    <row r="113" customFormat="false" ht="21.75" hidden="false" customHeight="true" outlineLevel="0" collapsed="false">
      <c r="A113" s="127" t="n">
        <v>0.52</v>
      </c>
      <c r="B113" s="128" t="s">
        <v>308</v>
      </c>
      <c r="C113" s="129" t="s">
        <v>368</v>
      </c>
      <c r="D113" s="71" t="str">
        <f aca="false">IFERROR(IF('PR Protect'!P62="⏳ Complete rating and target to generate recommendation.","⏳ Rate this control in the domain sheet to auto-generate.",'PR Protect'!P62),"—")</f>
        <v>Standardise Cloud Security Posture Management (CSPM): formalise all documentation, apply the control consistently across all in-scope assets, close remaining coverage gaps, and ensure evidence is collected routinely. Exceptions must be formally managed with named owners and defined expiry dates.</v>
      </c>
      <c r="E113" s="71" t="s">
        <v>238</v>
      </c>
      <c r="F113" s="71" t="s">
        <v>258</v>
      </c>
      <c r="G113" s="131" t="s">
        <v>287</v>
      </c>
      <c r="H113" s="70" t="s">
        <v>241</v>
      </c>
      <c r="I113" s="71"/>
      <c r="J113" s="143" t="n">
        <v>3000</v>
      </c>
      <c r="K113" s="144" t="n">
        <v>0</v>
      </c>
      <c r="L113" s="144" t="n">
        <v>0</v>
      </c>
      <c r="M113" s="144" t="n">
        <v>26000</v>
      </c>
      <c r="N113" s="133" t="n">
        <f aca="false">IFERROR(SUM(J113,K113,M113),0)</f>
        <v>29000</v>
      </c>
      <c r="O113" s="133" t="n">
        <f aca="false">IFERROR(SUM(L113),0)</f>
        <v>0</v>
      </c>
      <c r="P113" s="134" t="s">
        <v>242</v>
      </c>
    </row>
    <row r="114" customFormat="false" ht="21.75" hidden="false" customHeight="true" outlineLevel="0" collapsed="false">
      <c r="A114" s="135" t="n">
        <v>0.52</v>
      </c>
      <c r="B114" s="136" t="s">
        <v>308</v>
      </c>
      <c r="C114" s="137" t="s">
        <v>369</v>
      </c>
      <c r="D114" s="77" t="str">
        <f aca="false">IFERROR(IF('PR Protect'!P63="⏳ Complete rating and target to generate recommendation.","⏳ Rate this control in the domain sheet to auto-generate.",'PR Protect'!P63),"—")</f>
        <v>Standardise Cloud Infrastructure Entitlement Management (CIEM): formalise all documentation, apply the control consistently across all in-scope assets, close remaining coverage gaps, and ensure evidence is collected routinely. Exceptions must be formally managed with named owners and defined expiry dates.</v>
      </c>
      <c r="E114" s="77" t="s">
        <v>238</v>
      </c>
      <c r="F114" s="77" t="s">
        <v>258</v>
      </c>
      <c r="G114" s="139" t="s">
        <v>287</v>
      </c>
      <c r="H114" s="76" t="s">
        <v>241</v>
      </c>
      <c r="I114" s="77"/>
      <c r="J114" s="145" t="n">
        <v>3000</v>
      </c>
      <c r="K114" s="146"/>
      <c r="L114" s="146"/>
      <c r="M114" s="146"/>
      <c r="N114" s="141" t="n">
        <f aca="false">IFERROR(SUM(J114,K114,M114),0)</f>
        <v>3000</v>
      </c>
      <c r="O114" s="141" t="n">
        <f aca="false">IFERROR(SUM(L114),0)</f>
        <v>0</v>
      </c>
      <c r="P114" s="142" t="s">
        <v>242</v>
      </c>
    </row>
    <row r="115" customFormat="false" ht="21.75" hidden="false" customHeight="true" outlineLevel="0" collapsed="false">
      <c r="A115" s="127" t="n">
        <v>0.26</v>
      </c>
      <c r="B115" s="128" t="s">
        <v>308</v>
      </c>
      <c r="C115" s="129" t="s">
        <v>370</v>
      </c>
      <c r="D115" s="71" t="str">
        <f aca="false">IFERROR(IF('PR Protect'!P64="⏳ Complete rating and target to generate recommendation.","⏳ Rate this control in the domain sheet to auto-generate.",'PR Protect'!P64),"—")</f>
        <v>Standardise Cloud Shared Responsibility Matrix: formalise all documentation, apply the control consistently across all in-scope assets, close remaining coverage gaps, and ensure evidence is collected routinely. Exceptions must be formally managed with named owners and defined expiry dates.</v>
      </c>
      <c r="E115" s="71" t="s">
        <v>238</v>
      </c>
      <c r="F115" s="71" t="s">
        <v>258</v>
      </c>
      <c r="G115" s="131" t="s">
        <v>287</v>
      </c>
      <c r="H115" s="70" t="s">
        <v>241</v>
      </c>
      <c r="I115" s="71"/>
      <c r="J115" s="143" t="n">
        <v>3000</v>
      </c>
      <c r="K115" s="144"/>
      <c r="L115" s="144"/>
      <c r="M115" s="144"/>
      <c r="N115" s="133" t="n">
        <f aca="false">IFERROR(SUM(J115,K115,M115),0)</f>
        <v>3000</v>
      </c>
      <c r="O115" s="133" t="n">
        <f aca="false">IFERROR(SUM(L115),0)</f>
        <v>0</v>
      </c>
      <c r="P115" s="134" t="s">
        <v>242</v>
      </c>
    </row>
    <row r="116" customFormat="false" ht="21.75" hidden="false" customHeight="true" outlineLevel="0" collapsed="false">
      <c r="A116" s="135" t="n">
        <v>0.52</v>
      </c>
      <c r="B116" s="136" t="s">
        <v>308</v>
      </c>
      <c r="C116" s="137" t="s">
        <v>371</v>
      </c>
      <c r="D116" s="77" t="str">
        <f aca="false">IFERROR(IF('PR Protect'!P65="⏳ Complete rating and target to generate recommendation.","⏳ Rate this control in the domain sheet to auto-generate.",'PR Protect'!P65),"—")</f>
        <v>Standardise Cloud Native Security Controls (AWS/Azure/GCP): formalise all documentation, apply the control consistently across all in-scope assets, close remaining coverage gaps, and ensure evidence is collected routinely. Exceptions must be formally managed with named owners and defined expiry dates.</v>
      </c>
      <c r="E116" s="77" t="s">
        <v>245</v>
      </c>
      <c r="F116" s="77" t="s">
        <v>246</v>
      </c>
      <c r="G116" s="139" t="s">
        <v>287</v>
      </c>
      <c r="H116" s="76" t="s">
        <v>241</v>
      </c>
      <c r="I116" s="77"/>
      <c r="J116" s="145" t="n">
        <v>1250</v>
      </c>
      <c r="K116" s="146"/>
      <c r="L116" s="146"/>
      <c r="M116" s="146"/>
      <c r="N116" s="141" t="n">
        <f aca="false">IFERROR(SUM(J116,K116,M116),0)</f>
        <v>1250</v>
      </c>
      <c r="O116" s="141" t="n">
        <f aca="false">IFERROR(SUM(L116),0)</f>
        <v>0</v>
      </c>
      <c r="P116" s="142" t="s">
        <v>242</v>
      </c>
    </row>
    <row r="117" customFormat="false" ht="21.75" hidden="false" customHeight="true" outlineLevel="0" collapsed="false">
      <c r="A117" s="127" t="n">
        <v>0.78</v>
      </c>
      <c r="B117" s="128" t="s">
        <v>308</v>
      </c>
      <c r="C117" s="129" t="s">
        <v>372</v>
      </c>
      <c r="D117" s="71" t="str">
        <f aca="false">IFERROR(IF('PR Protect'!P66="⏳ Complete rating and target to generate recommendation.","⏳ Rate this control in the domain sheet to auto-generate.",'PR Protect'!P66),"—")</f>
        <v>Instrument Cloud Key Management &amp; HSM with measurable KPIs: define performance thresholds (coverage %, SLA adherence, exception count), establish automated telemetry where possible, and integrate reporting into quarterly governance cycles. Evidence must be system-generated and reviewed at each governance cycle.</v>
      </c>
      <c r="E117" s="71" t="s">
        <v>238</v>
      </c>
      <c r="F117" s="71" t="s">
        <v>258</v>
      </c>
      <c r="G117" s="131" t="s">
        <v>287</v>
      </c>
      <c r="H117" s="70" t="s">
        <v>241</v>
      </c>
      <c r="I117" s="71"/>
      <c r="J117" s="143" t="n">
        <v>3000</v>
      </c>
      <c r="K117" s="144"/>
      <c r="L117" s="144"/>
      <c r="M117" s="144"/>
      <c r="N117" s="133" t="n">
        <f aca="false">IFERROR(SUM(J117,K117,M117),0)</f>
        <v>3000</v>
      </c>
      <c r="O117" s="133" t="n">
        <f aca="false">IFERROR(SUM(L117),0)</f>
        <v>0</v>
      </c>
      <c r="P117" s="134" t="s">
        <v>242</v>
      </c>
    </row>
    <row r="118" customFormat="false" ht="21.75" hidden="false" customHeight="true" outlineLevel="0" collapsed="false">
      <c r="A118" s="135" t="n">
        <v>0</v>
      </c>
      <c r="B118" s="136" t="s">
        <v>308</v>
      </c>
      <c r="C118" s="137" t="s">
        <v>373</v>
      </c>
      <c r="D118" s="77" t="str">
        <f aca="false">IFERROR(IF('PR Protect'!P67="⏳ Complete rating and target to generate recommendation.","⏳ Rate this control in the domain sheet to auto-generate.",'PR Protect'!P67),"—")</f>
        <v>⏳ Rate this control in the domain sheet to auto-generate.</v>
      </c>
      <c r="E118" s="77"/>
      <c r="F118" s="77"/>
      <c r="G118" s="139" t="s">
        <v>287</v>
      </c>
      <c r="H118" s="76" t="s">
        <v>272</v>
      </c>
      <c r="I118" s="77"/>
      <c r="J118" s="145"/>
      <c r="K118" s="146"/>
      <c r="L118" s="146"/>
      <c r="M118" s="146"/>
      <c r="N118" s="141" t="n">
        <f aca="false">IFERROR(SUM(J118,K118,M118),0)</f>
        <v>0</v>
      </c>
      <c r="O118" s="141" t="n">
        <f aca="false">IFERROR(SUM(L118),0)</f>
        <v>0</v>
      </c>
      <c r="P118" s="142" t="s">
        <v>273</v>
      </c>
    </row>
    <row r="119" customFormat="false" ht="21.75" hidden="false" customHeight="true" outlineLevel="0" collapsed="false">
      <c r="A119" s="127" t="n">
        <v>0.78</v>
      </c>
      <c r="B119" s="128" t="s">
        <v>308</v>
      </c>
      <c r="C119" s="129" t="s">
        <v>374</v>
      </c>
      <c r="D119" s="71" t="str">
        <f aca="false">IFERROR(IF('PR Protect'!P68="⏳ Complete rating and target to generate recommendation.","⏳ Rate this control in the domain sheet to auto-generate.",'PR Protect'!P68),"—")</f>
        <v>Instrument Data Residency &amp; Sovereignty Controls with measurable KPIs: define performance thresholds (coverage %, SLA adherence, exception count), establish automated telemetry where possible, and integrate reporting into quarterly governance cycles. Evidence must be system-generated and reviewed at each governance cycle.</v>
      </c>
      <c r="E119" s="71" t="s">
        <v>238</v>
      </c>
      <c r="F119" s="71" t="s">
        <v>258</v>
      </c>
      <c r="G119" s="131" t="s">
        <v>252</v>
      </c>
      <c r="H119" s="70" t="s">
        <v>241</v>
      </c>
      <c r="I119" s="71"/>
      <c r="J119" s="143" t="n">
        <v>3000</v>
      </c>
      <c r="K119" s="144"/>
      <c r="L119" s="144"/>
      <c r="M119" s="144"/>
      <c r="N119" s="133" t="n">
        <f aca="false">IFERROR(SUM(J119,K119,M119),0)</f>
        <v>3000</v>
      </c>
      <c r="O119" s="133" t="n">
        <f aca="false">IFERROR(SUM(L119),0)</f>
        <v>0</v>
      </c>
      <c r="P119" s="134" t="s">
        <v>242</v>
      </c>
    </row>
    <row r="120" customFormat="false" ht="21.75" hidden="false" customHeight="true" outlineLevel="0" collapsed="false">
      <c r="A120" s="135" t="n">
        <v>0.78</v>
      </c>
      <c r="B120" s="136" t="s">
        <v>308</v>
      </c>
      <c r="C120" s="137" t="s">
        <v>375</v>
      </c>
      <c r="D120" s="77" t="str">
        <f aca="false">IFERROR(IF('PR Protect'!P69="⏳ Complete rating and target to generate recommendation.","⏳ Rate this control in the domain sheet to auto-generate.",'PR Protect'!P69),"—")</f>
        <v>Instrument SaaS Security &amp; CASB with measurable KPIs: define performance thresholds (coverage %, SLA adherence, exception count), establish automated telemetry where possible, and integrate reporting into quarterly governance cycles. Evidence must be system-generated and reviewed at each governance cycle.</v>
      </c>
      <c r="E120" s="77" t="s">
        <v>238</v>
      </c>
      <c r="F120" s="77" t="s">
        <v>310</v>
      </c>
      <c r="G120" s="139" t="s">
        <v>249</v>
      </c>
      <c r="H120" s="76" t="s">
        <v>241</v>
      </c>
      <c r="I120" s="77"/>
      <c r="J120" s="145" t="n">
        <v>3000</v>
      </c>
      <c r="K120" s="146"/>
      <c r="L120" s="146"/>
      <c r="M120" s="146"/>
      <c r="N120" s="141" t="n">
        <f aca="false">IFERROR(SUM(J120,K120,M120),0)</f>
        <v>3000</v>
      </c>
      <c r="O120" s="141" t="n">
        <f aca="false">IFERROR(SUM(L120),0)</f>
        <v>0</v>
      </c>
      <c r="P120" s="142" t="s">
        <v>242</v>
      </c>
    </row>
    <row r="121" customFormat="false" ht="21.75" hidden="false" customHeight="true" outlineLevel="0" collapsed="false">
      <c r="A121" s="127" t="n">
        <v>0.26</v>
      </c>
      <c r="B121" s="128" t="s">
        <v>308</v>
      </c>
      <c r="C121" s="129" t="s">
        <v>376</v>
      </c>
      <c r="D121" s="71" t="str">
        <f aca="false">IFERROR(IF('PR Protect'!P70="⏳ Complete rating and target to generate recommendation.","⏳ Rate this control in the domain sheet to auto-generate.",'PR Protect'!P70),"—")</f>
        <v>Standardise Cloud Configuration Drift Prevention: formalise all documentation, apply the control consistently across all in-scope assets, close remaining coverage gaps, and ensure evidence is collected routinely. Exceptions must be formally managed with named owners and defined expiry dates.</v>
      </c>
      <c r="E121" s="71" t="s">
        <v>238</v>
      </c>
      <c r="F121" s="71" t="s">
        <v>258</v>
      </c>
      <c r="G121" s="131" t="s">
        <v>287</v>
      </c>
      <c r="H121" s="70" t="s">
        <v>241</v>
      </c>
      <c r="I121" s="71"/>
      <c r="J121" s="143" t="n">
        <v>3000</v>
      </c>
      <c r="K121" s="144"/>
      <c r="L121" s="144"/>
      <c r="M121" s="144"/>
      <c r="N121" s="133" t="n">
        <f aca="false">IFERROR(SUM(J121,K121,M121),0)</f>
        <v>3000</v>
      </c>
      <c r="O121" s="133" t="n">
        <f aca="false">IFERROR(SUM(L121),0)</f>
        <v>0</v>
      </c>
      <c r="P121" s="134" t="s">
        <v>242</v>
      </c>
    </row>
    <row r="122" customFormat="false" ht="21.75" hidden="false" customHeight="true" outlineLevel="0" collapsed="false">
      <c r="A122" s="135" t="n">
        <v>0.52</v>
      </c>
      <c r="B122" s="136" t="s">
        <v>308</v>
      </c>
      <c r="C122" s="137" t="s">
        <v>377</v>
      </c>
      <c r="D122" s="77" t="str">
        <f aca="false">IFERROR(IF('PR Protect'!P71="⏳ Complete rating and target to generate recommendation.","⏳ Rate this control in the domain sheet to auto-generate.",'PR Protect'!P71),"—")</f>
        <v>Standardise Container Orchestration Security (Kubernetes): formalise all documentation, apply the control consistently across all in-scope assets, close remaining coverage gaps, and ensure evidence is collected routinely. Exceptions must be formally managed with named owners and defined expiry dates.</v>
      </c>
      <c r="E122" s="77" t="s">
        <v>238</v>
      </c>
      <c r="F122" s="77" t="s">
        <v>258</v>
      </c>
      <c r="G122" s="139" t="s">
        <v>287</v>
      </c>
      <c r="H122" s="76" t="s">
        <v>241</v>
      </c>
      <c r="I122" s="77"/>
      <c r="J122" s="145" t="n">
        <v>3000</v>
      </c>
      <c r="K122" s="146"/>
      <c r="L122" s="146"/>
      <c r="M122" s="146"/>
      <c r="N122" s="141" t="n">
        <f aca="false">IFERROR(SUM(J122,K122,M122),0)</f>
        <v>3000</v>
      </c>
      <c r="O122" s="141" t="n">
        <f aca="false">IFERROR(SUM(L122),0)</f>
        <v>0</v>
      </c>
      <c r="P122" s="142" t="s">
        <v>242</v>
      </c>
    </row>
    <row r="123" customFormat="false" ht="21.75" hidden="false" customHeight="true" outlineLevel="0" collapsed="false">
      <c r="A123" s="127" t="n">
        <v>0.52</v>
      </c>
      <c r="B123" s="128" t="s">
        <v>308</v>
      </c>
      <c r="C123" s="129" t="s">
        <v>378</v>
      </c>
      <c r="D123" s="71" t="str">
        <f aca="false">IFERROR(IF('PR Protect'!P72="⏳ Complete rating and target to generate recommendation.","⏳ Rate this control in the domain sheet to auto-generate.",'PR Protect'!P72),"—")</f>
        <v>Standardise Cloud Workload Protection Platform (CWPP): formalise all documentation, apply the control consistently across all in-scope assets, close remaining coverage gaps, and ensure evidence is collected routinely. Exceptions must be formally managed with named owners and defined expiry dates.</v>
      </c>
      <c r="E123" s="71" t="s">
        <v>238</v>
      </c>
      <c r="F123" s="71" t="s">
        <v>258</v>
      </c>
      <c r="G123" s="131" t="s">
        <v>287</v>
      </c>
      <c r="H123" s="70" t="s">
        <v>241</v>
      </c>
      <c r="I123" s="71"/>
      <c r="J123" s="143" t="n">
        <v>3000</v>
      </c>
      <c r="K123" s="144"/>
      <c r="L123" s="144"/>
      <c r="M123" s="144"/>
      <c r="N123" s="133" t="n">
        <f aca="false">IFERROR(SUM(J123,K123,M123),0)</f>
        <v>3000</v>
      </c>
      <c r="O123" s="133" t="n">
        <f aca="false">IFERROR(SUM(L123),0)</f>
        <v>0</v>
      </c>
      <c r="P123" s="134" t="s">
        <v>242</v>
      </c>
    </row>
    <row r="124" customFormat="false" ht="21.75" hidden="false" customHeight="true" outlineLevel="0" collapsed="false">
      <c r="A124" s="135" t="n">
        <v>0</v>
      </c>
      <c r="B124" s="136" t="s">
        <v>308</v>
      </c>
      <c r="C124" s="137" t="s">
        <v>379</v>
      </c>
      <c r="D124" s="77" t="str">
        <f aca="false">IFERROR(IF('PR Protect'!P73="⏳ Complete rating and target to generate recommendation.","⏳ Rate this control in the domain sheet to auto-generate.",'PR Protect'!P73),"—")</f>
        <v>⏳ Rate this control in the domain sheet to auto-generate.</v>
      </c>
      <c r="E124" s="77"/>
      <c r="F124" s="77"/>
      <c r="G124" s="139" t="s">
        <v>275</v>
      </c>
      <c r="H124" s="76" t="s">
        <v>272</v>
      </c>
      <c r="I124" s="77"/>
      <c r="J124" s="145"/>
      <c r="K124" s="146"/>
      <c r="L124" s="146"/>
      <c r="M124" s="146"/>
      <c r="N124" s="141" t="n">
        <f aca="false">IFERROR(SUM(J124,K124,M124),0)</f>
        <v>0</v>
      </c>
      <c r="O124" s="141" t="n">
        <f aca="false">IFERROR(SUM(L124),0)</f>
        <v>0</v>
      </c>
      <c r="P124" s="142" t="s">
        <v>273</v>
      </c>
    </row>
    <row r="125" customFormat="false" ht="21.75" hidden="false" customHeight="true" outlineLevel="0" collapsed="false">
      <c r="A125" s="127" t="n">
        <v>0.26</v>
      </c>
      <c r="B125" s="128" t="s">
        <v>308</v>
      </c>
      <c r="C125" s="129" t="s">
        <v>380</v>
      </c>
      <c r="D125" s="71" t="str">
        <f aca="false">IFERROR(IF('PR Protect'!P74="⏳ Complete rating and target to generate recommendation.","⏳ Rate this control in the domain sheet to auto-generate.",'PR Protect'!P74),"—")</f>
        <v>⏳ Rate this control in the domain sheet to auto-generate.</v>
      </c>
      <c r="E125" s="71"/>
      <c r="F125" s="71"/>
      <c r="G125" s="131" t="s">
        <v>275</v>
      </c>
      <c r="H125" s="70" t="s">
        <v>272</v>
      </c>
      <c r="I125" s="71"/>
      <c r="J125" s="143"/>
      <c r="K125" s="144"/>
      <c r="L125" s="144"/>
      <c r="M125" s="144"/>
      <c r="N125" s="133" t="n">
        <f aca="false">IFERROR(SUM(J125,K125,M125),0)</f>
        <v>0</v>
      </c>
      <c r="O125" s="133" t="n">
        <f aca="false">IFERROR(SUM(L125),0)</f>
        <v>0</v>
      </c>
      <c r="P125" s="134" t="s">
        <v>273</v>
      </c>
    </row>
    <row r="126" customFormat="false" ht="21.75" hidden="false" customHeight="true" outlineLevel="0" collapsed="false">
      <c r="A126" s="135" t="n">
        <v>0.78</v>
      </c>
      <c r="B126" s="136" t="s">
        <v>308</v>
      </c>
      <c r="C126" s="137" t="s">
        <v>381</v>
      </c>
      <c r="D126" s="77" t="str">
        <f aca="false">IFERROR(IF('PR Protect'!P75="⏳ Complete rating and target to generate recommendation.","⏳ Rate this control in the domain sheet to auto-generate.",'PR Protect'!P75),"—")</f>
        <v>⏳ Rate this control in the domain sheet to auto-generate.</v>
      </c>
      <c r="E126" s="77"/>
      <c r="F126" s="77"/>
      <c r="G126" s="139" t="s">
        <v>275</v>
      </c>
      <c r="H126" s="76" t="s">
        <v>272</v>
      </c>
      <c r="I126" s="77"/>
      <c r="J126" s="145"/>
      <c r="K126" s="146"/>
      <c r="L126" s="146"/>
      <c r="M126" s="146"/>
      <c r="N126" s="141" t="n">
        <f aca="false">IFERROR(SUM(J126,K126,M126),0)</f>
        <v>0</v>
      </c>
      <c r="O126" s="141" t="n">
        <f aca="false">IFERROR(SUM(L126),0)</f>
        <v>0</v>
      </c>
      <c r="P126" s="142" t="s">
        <v>273</v>
      </c>
    </row>
    <row r="127" customFormat="false" ht="21.75" hidden="false" customHeight="true" outlineLevel="0" collapsed="false">
      <c r="A127" s="127" t="n">
        <v>0.26</v>
      </c>
      <c r="B127" s="128" t="s">
        <v>308</v>
      </c>
      <c r="C127" s="129" t="s">
        <v>382</v>
      </c>
      <c r="D127" s="71" t="str">
        <f aca="false">IFERROR(IF('PR Protect'!P76="⏳ Complete rating and target to generate recommendation.","⏳ Rate this control in the domain sheet to auto-generate.",'PR Protect'!P76),"—")</f>
        <v>⏳ Rate this control in the domain sheet to auto-generate.</v>
      </c>
      <c r="E127" s="71"/>
      <c r="F127" s="71"/>
      <c r="G127" s="131" t="s">
        <v>275</v>
      </c>
      <c r="H127" s="70" t="s">
        <v>272</v>
      </c>
      <c r="I127" s="71"/>
      <c r="J127" s="143"/>
      <c r="K127" s="144"/>
      <c r="L127" s="144"/>
      <c r="M127" s="144"/>
      <c r="N127" s="133" t="n">
        <f aca="false">IFERROR(SUM(J127,K127,M127),0)</f>
        <v>0</v>
      </c>
      <c r="O127" s="133" t="n">
        <f aca="false">IFERROR(SUM(L127),0)</f>
        <v>0</v>
      </c>
      <c r="P127" s="134" t="s">
        <v>273</v>
      </c>
    </row>
    <row r="128" customFormat="false" ht="21.75" hidden="false" customHeight="true" outlineLevel="0" collapsed="false">
      <c r="A128" s="135" t="n">
        <v>0.52</v>
      </c>
      <c r="B128" s="136" t="s">
        <v>308</v>
      </c>
      <c r="C128" s="137" t="s">
        <v>383</v>
      </c>
      <c r="D128" s="77" t="str">
        <f aca="false">IFERROR(IF('PR Protect'!P77="⏳ Complete rating and target to generate recommendation.","⏳ Rate this control in the domain sheet to auto-generate.",'PR Protect'!P77),"—")</f>
        <v>Instrument Physical Access Control with measurable KPIs: define performance thresholds (coverage %, SLA adherence, exception count), establish automated telemetry where possible, and integrate reporting into quarterly governance cycles. Evidence must be system-generated and reviewed at each governance cycle.</v>
      </c>
      <c r="E128" s="77" t="s">
        <v>238</v>
      </c>
      <c r="F128" s="77" t="s">
        <v>258</v>
      </c>
      <c r="G128" s="139" t="s">
        <v>384</v>
      </c>
      <c r="H128" s="76" t="s">
        <v>241</v>
      </c>
      <c r="I128" s="77"/>
      <c r="J128" s="145" t="n">
        <v>3000</v>
      </c>
      <c r="K128" s="146"/>
      <c r="L128" s="146"/>
      <c r="M128" s="146"/>
      <c r="N128" s="141" t="n">
        <f aca="false">IFERROR(SUM(J128,K128,M128),0)</f>
        <v>3000</v>
      </c>
      <c r="O128" s="141" t="n">
        <f aca="false">IFERROR(SUM(L128),0)</f>
        <v>0</v>
      </c>
      <c r="P128" s="142" t="s">
        <v>242</v>
      </c>
    </row>
    <row r="129" customFormat="false" ht="21.75" hidden="false" customHeight="true" outlineLevel="0" collapsed="false">
      <c r="A129" s="127" t="n">
        <v>0.52</v>
      </c>
      <c r="B129" s="128" t="s">
        <v>308</v>
      </c>
      <c r="C129" s="129" t="s">
        <v>385</v>
      </c>
      <c r="D129" s="71" t="str">
        <f aca="false">IFERROR(IF('PR Protect'!P78="⏳ Complete rating and target to generate recommendation.","⏳ Rate this control in the domain sheet to auto-generate.",'PR Protect'!P78),"—")</f>
        <v>Instrument Clean Desk &amp; Screen Lock Policy with measurable KPIs: define performance thresholds (coverage %, SLA adherence, exception count), establish automated telemetry where possible, and integrate reporting into quarterly governance cycles. Evidence must be system-generated and reviewed at each governance cycle.</v>
      </c>
      <c r="E129" s="71" t="s">
        <v>238</v>
      </c>
      <c r="F129" s="71" t="s">
        <v>258</v>
      </c>
      <c r="G129" s="131" t="s">
        <v>254</v>
      </c>
      <c r="H129" s="70" t="s">
        <v>241</v>
      </c>
      <c r="I129" s="71"/>
      <c r="J129" s="143" t="n">
        <v>3000</v>
      </c>
      <c r="K129" s="144"/>
      <c r="L129" s="144"/>
      <c r="M129" s="144"/>
      <c r="N129" s="133" t="n">
        <f aca="false">IFERROR(SUM(J129,K129,M129),0)</f>
        <v>3000</v>
      </c>
      <c r="O129" s="133" t="n">
        <f aca="false">IFERROR(SUM(L129),0)</f>
        <v>0</v>
      </c>
      <c r="P129" s="134" t="s">
        <v>242</v>
      </c>
    </row>
    <row r="130" customFormat="false" ht="21.75" hidden="false" customHeight="true" outlineLevel="0" collapsed="false">
      <c r="A130" s="135" t="n">
        <v>0.52</v>
      </c>
      <c r="B130" s="136" t="s">
        <v>308</v>
      </c>
      <c r="C130" s="137" t="s">
        <v>386</v>
      </c>
      <c r="D130" s="77" t="str">
        <f aca="false">IFERROR(IF('PR Protect'!P79="⏳ Complete rating and target to generate recommendation.","⏳ Rate this control in the domain sheet to auto-generate.",'PR Protect'!P79),"—")</f>
        <v>Standardise Security Awareness Training — Annual: formalise all documentation, apply the control consistently across all in-scope assets, close remaining coverage gaps, and ensure evidence is collected routinely. Exceptions must be formally managed with named owners and defined expiry dates.</v>
      </c>
      <c r="E130" s="77" t="s">
        <v>245</v>
      </c>
      <c r="F130" s="77" t="s">
        <v>246</v>
      </c>
      <c r="G130" s="139" t="s">
        <v>254</v>
      </c>
      <c r="H130" s="76" t="s">
        <v>241</v>
      </c>
      <c r="I130" s="77"/>
      <c r="J130" s="145" t="n">
        <v>1250</v>
      </c>
      <c r="K130" s="146" t="n">
        <v>0</v>
      </c>
      <c r="L130" s="146" t="n">
        <v>0</v>
      </c>
      <c r="M130" s="146" t="n">
        <v>11000</v>
      </c>
      <c r="N130" s="141" t="n">
        <f aca="false">IFERROR(SUM(J130,K130,M130),0)</f>
        <v>12250</v>
      </c>
      <c r="O130" s="141" t="n">
        <f aca="false">IFERROR(SUM(L130),0)</f>
        <v>0</v>
      </c>
      <c r="P130" s="142" t="s">
        <v>242</v>
      </c>
    </row>
    <row r="131" customFormat="false" ht="21.75" hidden="false" customHeight="true" outlineLevel="0" collapsed="false">
      <c r="A131" s="127" t="n">
        <v>0.26</v>
      </c>
      <c r="B131" s="128" t="s">
        <v>308</v>
      </c>
      <c r="C131" s="129" t="s">
        <v>387</v>
      </c>
      <c r="D131" s="71" t="str">
        <f aca="false">IFERROR(IF('PR Protect'!P80="⏳ Complete rating and target to generate recommendation.","⏳ Rate this control in the domain sheet to auto-generate.",'PR Protect'!P80),"—")</f>
        <v>Standardise Role-Specific Security Training: formalise all documentation, apply the control consistently across all in-scope assets, close remaining coverage gaps, and ensure evidence is collected routinely. Exceptions must be formally managed with named owners and defined expiry dates.</v>
      </c>
      <c r="E131" s="71" t="s">
        <v>238</v>
      </c>
      <c r="F131" s="71" t="s">
        <v>258</v>
      </c>
      <c r="G131" s="131" t="s">
        <v>254</v>
      </c>
      <c r="H131" s="70" t="s">
        <v>241</v>
      </c>
      <c r="I131" s="71"/>
      <c r="J131" s="143" t="n">
        <v>3000</v>
      </c>
      <c r="K131" s="144"/>
      <c r="L131" s="144"/>
      <c r="M131" s="144"/>
      <c r="N131" s="133" t="n">
        <f aca="false">IFERROR(SUM(J131,K131,M131),0)</f>
        <v>3000</v>
      </c>
      <c r="O131" s="133" t="n">
        <f aca="false">IFERROR(SUM(L131),0)</f>
        <v>0</v>
      </c>
      <c r="P131" s="134" t="s">
        <v>242</v>
      </c>
    </row>
    <row r="132" customFormat="false" ht="21.75" hidden="false" customHeight="true" outlineLevel="0" collapsed="false">
      <c r="A132" s="135" t="n">
        <v>0.52</v>
      </c>
      <c r="B132" s="136" t="s">
        <v>308</v>
      </c>
      <c r="C132" s="137" t="s">
        <v>388</v>
      </c>
      <c r="D132" s="147" t="s">
        <v>389</v>
      </c>
      <c r="E132" s="77" t="s">
        <v>238</v>
      </c>
      <c r="F132" s="77" t="s">
        <v>258</v>
      </c>
      <c r="G132" s="139" t="s">
        <v>254</v>
      </c>
      <c r="H132" s="76" t="s">
        <v>241</v>
      </c>
      <c r="I132" s="77"/>
      <c r="J132" s="145" t="n">
        <v>3000</v>
      </c>
      <c r="K132" s="146" t="n">
        <v>0</v>
      </c>
      <c r="L132" s="146" t="n">
        <v>0</v>
      </c>
      <c r="M132" s="146" t="n">
        <v>9000</v>
      </c>
      <c r="N132" s="141" t="n">
        <f aca="false">IFERROR(SUM(J132,K132,M132),0)</f>
        <v>12000</v>
      </c>
      <c r="O132" s="141" t="n">
        <f aca="false">IFERROR(SUM(L132),0)</f>
        <v>0</v>
      </c>
      <c r="P132" s="142" t="s">
        <v>242</v>
      </c>
    </row>
    <row r="133" customFormat="false" ht="21.75" hidden="false" customHeight="true" outlineLevel="0" collapsed="false">
      <c r="A133" s="127" t="n">
        <v>0.26</v>
      </c>
      <c r="B133" s="128" t="s">
        <v>308</v>
      </c>
      <c r="C133" s="129" t="s">
        <v>390</v>
      </c>
      <c r="D133" s="71" t="str">
        <f aca="false">IFERROR(IF('PR Protect'!P82="⏳ Complete rating and target to generate recommendation.","⏳ Rate this control in the domain sheet to auto-generate.",'PR Protect'!P82),"—")</f>
        <v>Standardise AI Literacy &amp; Security Training: formalise all documentation, apply the control consistently across all in-scope assets, close remaining coverage gaps, and ensure evidence is collected routinely. Exceptions must be formally managed with named owners and defined expiry dates.</v>
      </c>
      <c r="E133" s="71" t="s">
        <v>238</v>
      </c>
      <c r="F133" s="71" t="s">
        <v>258</v>
      </c>
      <c r="G133" s="131" t="s">
        <v>254</v>
      </c>
      <c r="H133" s="70" t="s">
        <v>241</v>
      </c>
      <c r="I133" s="71"/>
      <c r="J133" s="143" t="n">
        <v>3000</v>
      </c>
      <c r="K133" s="144"/>
      <c r="L133" s="144"/>
      <c r="M133" s="144"/>
      <c r="N133" s="133" t="n">
        <f aca="false">IFERROR(SUM(J133,K133,M133),0)</f>
        <v>3000</v>
      </c>
      <c r="O133" s="133" t="n">
        <f aca="false">IFERROR(SUM(L133),0)</f>
        <v>0</v>
      </c>
      <c r="P133" s="134" t="s">
        <v>242</v>
      </c>
    </row>
    <row r="134" customFormat="false" ht="21.75" hidden="false" customHeight="true" outlineLevel="0" collapsed="false">
      <c r="A134" s="135" t="n">
        <v>0.78</v>
      </c>
      <c r="B134" s="136" t="s">
        <v>308</v>
      </c>
      <c r="C134" s="137" t="s">
        <v>391</v>
      </c>
      <c r="D134" s="77" t="str">
        <f aca="false">IFERROR(IF('PR Protect'!P83="⏳ Complete rating and target to generate recommendation.","⏳ Rate this control in the domain sheet to auto-generate.",'PR Protect'!P83),"—")</f>
        <v>Instrument Data Subject Rights — Process &amp; Fulfilment with measurable KPIs: define performance thresholds (coverage %, SLA adherence, exception count), establish automated telemetry where possible, and integrate reporting into quarterly governance cycles. Evidence must be system-generated and reviewed at each governance cycle.</v>
      </c>
      <c r="E134" s="77" t="s">
        <v>238</v>
      </c>
      <c r="F134" s="77" t="s">
        <v>310</v>
      </c>
      <c r="G134" s="139" t="s">
        <v>252</v>
      </c>
      <c r="H134" s="76" t="s">
        <v>241</v>
      </c>
      <c r="I134" s="77"/>
      <c r="J134" s="145" t="n">
        <v>3000</v>
      </c>
      <c r="K134" s="146"/>
      <c r="L134" s="146"/>
      <c r="M134" s="146"/>
      <c r="N134" s="141" t="n">
        <f aca="false">IFERROR(SUM(J134,K134,M134),0)</f>
        <v>3000</v>
      </c>
      <c r="O134" s="141" t="n">
        <f aca="false">IFERROR(SUM(L134),0)</f>
        <v>0</v>
      </c>
      <c r="P134" s="142" t="s">
        <v>242</v>
      </c>
    </row>
    <row r="135" customFormat="false" ht="21.75" hidden="false" customHeight="true" outlineLevel="0" collapsed="false">
      <c r="A135" s="127" t="n">
        <v>0.78</v>
      </c>
      <c r="B135" s="128" t="s">
        <v>308</v>
      </c>
      <c r="C135" s="129" t="s">
        <v>392</v>
      </c>
      <c r="D135" s="71" t="str">
        <f aca="false">IFERROR(IF('PR Protect'!P84="⏳ Complete rating and target to generate recommendation.","⏳ Rate this control in the domain sheet to auto-generate.",'PR Protect'!P84),"—")</f>
        <v>Instrument Personnel Security — Background Screening with measurable KPIs: define performance thresholds (coverage %, SLA adherence, exception count), establish automated telemetry where possible, and integrate reporting into quarterly governance cycles. Evidence must be system-generated and reviewed at each governance cycle.</v>
      </c>
      <c r="E135" s="71" t="s">
        <v>238</v>
      </c>
      <c r="F135" s="71" t="s">
        <v>258</v>
      </c>
      <c r="G135" s="131" t="s">
        <v>254</v>
      </c>
      <c r="H135" s="70" t="s">
        <v>241</v>
      </c>
      <c r="I135" s="71"/>
      <c r="J135" s="143" t="n">
        <v>3000</v>
      </c>
      <c r="K135" s="144"/>
      <c r="L135" s="144"/>
      <c r="M135" s="144"/>
      <c r="N135" s="133" t="n">
        <f aca="false">IFERROR(SUM(J135,K135,M135),0)</f>
        <v>3000</v>
      </c>
      <c r="O135" s="133" t="n">
        <f aca="false">IFERROR(SUM(L135),0)</f>
        <v>0</v>
      </c>
      <c r="P135" s="134" t="s">
        <v>242</v>
      </c>
    </row>
    <row r="136" customFormat="false" ht="21.75" hidden="false" customHeight="true" outlineLevel="0" collapsed="false">
      <c r="A136" s="135" t="n">
        <v>0</v>
      </c>
      <c r="B136" s="136" t="s">
        <v>308</v>
      </c>
      <c r="C136" s="137" t="s">
        <v>393</v>
      </c>
      <c r="D136" s="77" t="str">
        <f aca="false">IFERROR(IF('PR Protect'!P85="⏳ Complete rating and target to generate recommendation.","⏳ Rate this control in the domain sheet to auto-generate.",'PR Protect'!P85),"—")</f>
        <v>Standardise Security by Default — Product Configuration: formalise all documentation, apply the control consistently across all in-scope assets, close remaining coverage gaps, and ensure evidence is collected routinely. Exceptions must be formally managed with named owners and defined expiry dates.</v>
      </c>
      <c r="E136" s="77" t="s">
        <v>238</v>
      </c>
      <c r="F136" s="77" t="s">
        <v>258</v>
      </c>
      <c r="G136" s="139" t="s">
        <v>275</v>
      </c>
      <c r="H136" s="76" t="s">
        <v>241</v>
      </c>
      <c r="I136" s="77"/>
      <c r="J136" s="145" t="n">
        <v>3000</v>
      </c>
      <c r="K136" s="146"/>
      <c r="L136" s="146"/>
      <c r="M136" s="146"/>
      <c r="N136" s="141" t="n">
        <f aca="false">IFERROR(SUM(J136,K136,M136),0)</f>
        <v>3000</v>
      </c>
      <c r="O136" s="141" t="n">
        <f aca="false">IFERROR(SUM(L136),0)</f>
        <v>0</v>
      </c>
      <c r="P136" s="142" t="s">
        <v>242</v>
      </c>
    </row>
    <row r="137" customFormat="false" ht="21.75" hidden="false" customHeight="true" outlineLevel="0" collapsed="false">
      <c r="A137" s="127" t="n">
        <v>0</v>
      </c>
      <c r="B137" s="128" t="s">
        <v>308</v>
      </c>
      <c r="C137" s="129" t="s">
        <v>394</v>
      </c>
      <c r="D137" s="71" t="str">
        <f aca="false">IFERROR(IF('PR Protect'!P86="⏳ Complete rating and target to generate recommendation.","⏳ Rate this control in the domain sheet to auto-generate.",'PR Protect'!P86),"—")</f>
        <v>⏳ Rate this control in the domain sheet to auto-generate.</v>
      </c>
      <c r="E137" s="71"/>
      <c r="F137" s="71"/>
      <c r="G137" s="131" t="s">
        <v>261</v>
      </c>
      <c r="H137" s="70" t="s">
        <v>272</v>
      </c>
      <c r="I137" s="71"/>
      <c r="J137" s="143"/>
      <c r="K137" s="144"/>
      <c r="L137" s="144"/>
      <c r="M137" s="144"/>
      <c r="N137" s="133" t="n">
        <f aca="false">IFERROR(SUM(J137,K137,M137),0)</f>
        <v>0</v>
      </c>
      <c r="O137" s="133" t="n">
        <f aca="false">IFERROR(SUM(L137),0)</f>
        <v>0</v>
      </c>
      <c r="P137" s="134" t="s">
        <v>273</v>
      </c>
    </row>
    <row r="138" customFormat="false" ht="21.75" hidden="false" customHeight="true" outlineLevel="0" collapsed="false">
      <c r="A138" s="135" t="n">
        <v>0.28</v>
      </c>
      <c r="B138" s="136" t="s">
        <v>395</v>
      </c>
      <c r="C138" s="137" t="s">
        <v>396</v>
      </c>
      <c r="D138" s="77" t="str">
        <f aca="false">IFERROR(IF('DE Detect'!P4="⏳ Complete rating and target to generate recommendation.","⏳ Rate this control in the domain sheet to auto-generate.",'DE Detect'!P4),"—")</f>
        <v>Instrument SIEM — Log Ingestion &amp; Coverage with measurable KPIs: define performance thresholds (coverage %, SLA adherence, exception count), establish automated telemetry where possible, and integrate reporting into quarterly governance cycles. Evidence must be system-generated and reviewed at each governance cycle.</v>
      </c>
      <c r="E138" s="77" t="s">
        <v>267</v>
      </c>
      <c r="F138" s="77" t="s">
        <v>258</v>
      </c>
      <c r="G138" s="139" t="s">
        <v>299</v>
      </c>
      <c r="H138" s="76" t="s">
        <v>241</v>
      </c>
      <c r="I138" s="77"/>
      <c r="J138" s="145" t="n">
        <v>7500</v>
      </c>
      <c r="K138" s="146" t="n">
        <v>0</v>
      </c>
      <c r="L138" s="146" t="n">
        <v>36000</v>
      </c>
      <c r="M138" s="146" t="n">
        <v>48000</v>
      </c>
      <c r="N138" s="141" t="n">
        <f aca="false">IFERROR(SUM(J138,K138,M138),0)</f>
        <v>55500</v>
      </c>
      <c r="O138" s="141" t="n">
        <f aca="false">IFERROR(SUM(L138),0)</f>
        <v>36000</v>
      </c>
      <c r="P138" s="142" t="s">
        <v>242</v>
      </c>
    </row>
    <row r="139" customFormat="false" ht="21.75" hidden="false" customHeight="true" outlineLevel="0" collapsed="false">
      <c r="A139" s="127" t="n">
        <v>0.28</v>
      </c>
      <c r="B139" s="128" t="s">
        <v>395</v>
      </c>
      <c r="C139" s="129" t="s">
        <v>397</v>
      </c>
      <c r="D139" s="71" t="str">
        <f aca="false">IFERROR(IF('DE Detect'!P5="⏳ Complete rating and target to generate recommendation.","⏳ Rate this control in the domain sheet to auto-generate.",'DE Detect'!P5),"—")</f>
        <v>Standardise SIEM — Use Case Library &amp; Threat Coverage: formalise all documentation, apply the control consistently across all in-scope assets, close remaining coverage gaps, and ensure evidence is collected routinely. Exceptions must be formally managed with named owners and defined expiry dates.</v>
      </c>
      <c r="E139" s="71" t="s">
        <v>267</v>
      </c>
      <c r="F139" s="71" t="s">
        <v>239</v>
      </c>
      <c r="G139" s="131" t="s">
        <v>299</v>
      </c>
      <c r="H139" s="70" t="s">
        <v>241</v>
      </c>
      <c r="I139" s="71"/>
      <c r="J139" s="143" t="n">
        <v>7500</v>
      </c>
      <c r="K139" s="144"/>
      <c r="L139" s="144"/>
      <c r="M139" s="144"/>
      <c r="N139" s="133" t="n">
        <f aca="false">IFERROR(SUM(J139,K139,M139),0)</f>
        <v>7500</v>
      </c>
      <c r="O139" s="133" t="n">
        <f aca="false">IFERROR(SUM(L139),0)</f>
        <v>0</v>
      </c>
      <c r="P139" s="134" t="s">
        <v>242</v>
      </c>
    </row>
    <row r="140" customFormat="false" ht="21.75" hidden="false" customHeight="true" outlineLevel="0" collapsed="false">
      <c r="A140" s="135" t="n">
        <v>0.42</v>
      </c>
      <c r="B140" s="136" t="s">
        <v>395</v>
      </c>
      <c r="C140" s="137" t="s">
        <v>398</v>
      </c>
      <c r="D140" s="77" t="str">
        <f aca="false">IFERROR(IF('DE Detect'!P6="⏳ Complete rating and target to generate recommendation.","⏳ Rate this control in the domain sheet to auto-generate.",'DE Detect'!P6),"—")</f>
        <v>Instrument SIEM — Log Integrity &amp; Tamper Protection with measurable KPIs: define performance thresholds (coverage %, SLA adherence, exception count), establish automated telemetry where possible, and integrate reporting into quarterly governance cycles. Evidence must be system-generated and reviewed at each governance cycle.</v>
      </c>
      <c r="E140" s="77" t="s">
        <v>238</v>
      </c>
      <c r="F140" s="77" t="s">
        <v>258</v>
      </c>
      <c r="G140" s="139" t="s">
        <v>299</v>
      </c>
      <c r="H140" s="76" t="s">
        <v>241</v>
      </c>
      <c r="I140" s="77"/>
      <c r="J140" s="145" t="n">
        <v>3000</v>
      </c>
      <c r="K140" s="146"/>
      <c r="L140" s="146"/>
      <c r="M140" s="146"/>
      <c r="N140" s="141" t="n">
        <f aca="false">IFERROR(SUM(J140,K140,M140),0)</f>
        <v>3000</v>
      </c>
      <c r="O140" s="141" t="n">
        <f aca="false">IFERROR(SUM(L140),0)</f>
        <v>0</v>
      </c>
      <c r="P140" s="142" t="s">
        <v>242</v>
      </c>
    </row>
    <row r="141" customFormat="false" ht="21.75" hidden="false" customHeight="true" outlineLevel="0" collapsed="false">
      <c r="A141" s="127" t="n">
        <v>0.28</v>
      </c>
      <c r="B141" s="128" t="s">
        <v>395</v>
      </c>
      <c r="C141" s="129" t="s">
        <v>399</v>
      </c>
      <c r="D141" s="71" t="str">
        <f aca="false">IFERROR(IF('DE Detect'!P7="⏳ Complete rating and target to generate recommendation.","⏳ Rate this control in the domain sheet to auto-generate.",'DE Detect'!P7),"—")</f>
        <v>Instrument SIEM — Compliance Monitoring Use Cases with measurable KPIs: define performance thresholds (coverage %, SLA adherence, exception count), establish automated telemetry where possible, and integrate reporting into quarterly governance cycles. Evidence must be system-generated and reviewed at each governance cycle.</v>
      </c>
      <c r="E141" s="71" t="s">
        <v>238</v>
      </c>
      <c r="F141" s="71" t="s">
        <v>258</v>
      </c>
      <c r="G141" s="131" t="s">
        <v>299</v>
      </c>
      <c r="H141" s="70" t="s">
        <v>241</v>
      </c>
      <c r="I141" s="71"/>
      <c r="J141" s="143" t="n">
        <v>3000</v>
      </c>
      <c r="K141" s="144"/>
      <c r="L141" s="144"/>
      <c r="M141" s="144"/>
      <c r="N141" s="133" t="n">
        <f aca="false">IFERROR(SUM(J141,K141,M141),0)</f>
        <v>3000</v>
      </c>
      <c r="O141" s="133" t="n">
        <f aca="false">IFERROR(SUM(L141),0)</f>
        <v>0</v>
      </c>
      <c r="P141" s="134" t="s">
        <v>242</v>
      </c>
    </row>
    <row r="142" customFormat="false" ht="21.75" hidden="false" customHeight="true" outlineLevel="0" collapsed="false">
      <c r="A142" s="135" t="n">
        <v>0.42</v>
      </c>
      <c r="B142" s="136" t="s">
        <v>395</v>
      </c>
      <c r="C142" s="137" t="s">
        <v>400</v>
      </c>
      <c r="D142" s="77" t="str">
        <f aca="false">IFERROR(IF('DE Detect'!P8="⏳ Complete rating and target to generate recommendation.","⏳ Rate this control in the domain sheet to auto-generate.",'DE Detect'!P8),"—")</f>
        <v>Instrument Log Retention &amp; Archival Management with measurable KPIs: define performance thresholds (coverage %, SLA adherence, exception count), establish automated telemetry where possible, and integrate reporting into quarterly governance cycles. Evidence must be system-generated and reviewed at each governance cycle.</v>
      </c>
      <c r="E142" s="77" t="s">
        <v>238</v>
      </c>
      <c r="F142" s="77" t="s">
        <v>239</v>
      </c>
      <c r="G142" s="139" t="s">
        <v>287</v>
      </c>
      <c r="H142" s="76" t="s">
        <v>241</v>
      </c>
      <c r="I142" s="77"/>
      <c r="J142" s="145" t="n">
        <v>3000</v>
      </c>
      <c r="K142" s="146"/>
      <c r="L142" s="146"/>
      <c r="M142" s="146"/>
      <c r="N142" s="141" t="n">
        <f aca="false">IFERROR(SUM(J142,K142,M142),0)</f>
        <v>3000</v>
      </c>
      <c r="O142" s="141" t="n">
        <f aca="false">IFERROR(SUM(L142),0)</f>
        <v>0</v>
      </c>
      <c r="P142" s="142" t="s">
        <v>242</v>
      </c>
    </row>
    <row r="143" customFormat="false" ht="21.75" hidden="false" customHeight="true" outlineLevel="0" collapsed="false">
      <c r="A143" s="127" t="n">
        <v>0.28</v>
      </c>
      <c r="B143" s="128" t="s">
        <v>395</v>
      </c>
      <c r="C143" s="129" t="s">
        <v>401</v>
      </c>
      <c r="D143" s="71" t="str">
        <f aca="false">IFERROR(IF('DE Detect'!P9="⏳ Complete rating and target to generate recommendation.","⏳ Rate this control in the domain sheet to auto-generate.",'DE Detect'!P9),"—")</f>
        <v>Standardise Telemetry Coverage Management: formalise all documentation, apply the control consistently across all in-scope assets, close remaining coverage gaps, and ensure evidence is collected routinely. Exceptions must be formally managed with named owners and defined expiry dates.</v>
      </c>
      <c r="E143" s="71" t="s">
        <v>238</v>
      </c>
      <c r="F143" s="71" t="s">
        <v>239</v>
      </c>
      <c r="G143" s="131" t="s">
        <v>299</v>
      </c>
      <c r="H143" s="70" t="s">
        <v>241</v>
      </c>
      <c r="I143" s="71"/>
      <c r="J143" s="143" t="n">
        <v>3000</v>
      </c>
      <c r="K143" s="144"/>
      <c r="L143" s="144"/>
      <c r="M143" s="144"/>
      <c r="N143" s="133" t="n">
        <f aca="false">IFERROR(SUM(J143,K143,M143),0)</f>
        <v>3000</v>
      </c>
      <c r="O143" s="133" t="n">
        <f aca="false">IFERROR(SUM(L143),0)</f>
        <v>0</v>
      </c>
      <c r="P143" s="134" t="s">
        <v>242</v>
      </c>
    </row>
    <row r="144" customFormat="false" ht="21.75" hidden="false" customHeight="true" outlineLevel="0" collapsed="false">
      <c r="A144" s="135" t="n">
        <v>0.14</v>
      </c>
      <c r="B144" s="136" t="s">
        <v>395</v>
      </c>
      <c r="C144" s="137" t="s">
        <v>402</v>
      </c>
      <c r="D144" s="77" t="str">
        <f aca="false">IFERROR(IF('DE Detect'!P10="⏳ Complete rating and target to generate recommendation.","⏳ Rate this control in the domain sheet to auto-generate.",'DE Detect'!P10),"—")</f>
        <v>Standardise Detection Health Monitoring: formalise all documentation, apply the control consistently across all in-scope assets, close remaining coverage gaps, and ensure evidence is collected routinely. Exceptions must be formally managed with named owners and defined expiry dates.</v>
      </c>
      <c r="E144" s="77" t="s">
        <v>238</v>
      </c>
      <c r="F144" s="77" t="s">
        <v>239</v>
      </c>
      <c r="G144" s="139" t="s">
        <v>299</v>
      </c>
      <c r="H144" s="76" t="s">
        <v>241</v>
      </c>
      <c r="I144" s="77"/>
      <c r="J144" s="145" t="n">
        <v>3000</v>
      </c>
      <c r="K144" s="146"/>
      <c r="L144" s="146"/>
      <c r="M144" s="146"/>
      <c r="N144" s="141" t="n">
        <f aca="false">IFERROR(SUM(J144,K144,M144),0)</f>
        <v>3000</v>
      </c>
      <c r="O144" s="141" t="n">
        <f aca="false">IFERROR(SUM(L144),0)</f>
        <v>0</v>
      </c>
      <c r="P144" s="142" t="s">
        <v>242</v>
      </c>
    </row>
    <row r="145" customFormat="false" ht="21.75" hidden="false" customHeight="true" outlineLevel="0" collapsed="false">
      <c r="A145" s="127" t="n">
        <v>0.28</v>
      </c>
      <c r="B145" s="128" t="s">
        <v>395</v>
      </c>
      <c r="C145" s="129" t="s">
        <v>403</v>
      </c>
      <c r="D145" s="71" t="str">
        <f aca="false">IFERROR(IF('DE Detect'!P11="⏳ Complete rating and target to generate recommendation.","⏳ Rate this control in the domain sheet to auto-generate.",'DE Detect'!P11),"—")</f>
        <v>Standardise SOC Operations — Triage &amp; Investigation: formalise all documentation, apply the control consistently across all in-scope assets, close remaining coverage gaps, and ensure evidence is collected routinely. Exceptions must be formally managed with named owners and defined expiry dates.</v>
      </c>
      <c r="E145" s="71" t="s">
        <v>238</v>
      </c>
      <c r="F145" s="71" t="s">
        <v>239</v>
      </c>
      <c r="G145" s="131" t="s">
        <v>299</v>
      </c>
      <c r="H145" s="70" t="s">
        <v>241</v>
      </c>
      <c r="I145" s="71"/>
      <c r="J145" s="143" t="n">
        <v>3000</v>
      </c>
      <c r="K145" s="144" t="n">
        <v>0</v>
      </c>
      <c r="L145" s="144" t="n">
        <v>0</v>
      </c>
      <c r="M145" s="144" t="n">
        <v>90000</v>
      </c>
      <c r="N145" s="133" t="n">
        <f aca="false">IFERROR(SUM(J145,K145,M145),0)</f>
        <v>93000</v>
      </c>
      <c r="O145" s="133" t="n">
        <f aca="false">IFERROR(SUM(L145),0)</f>
        <v>0</v>
      </c>
      <c r="P145" s="134" t="s">
        <v>242</v>
      </c>
    </row>
    <row r="146" customFormat="false" ht="21.75" hidden="false" customHeight="true" outlineLevel="0" collapsed="false">
      <c r="A146" s="135" t="n">
        <v>0</v>
      </c>
      <c r="B146" s="136" t="s">
        <v>395</v>
      </c>
      <c r="C146" s="137" t="s">
        <v>404</v>
      </c>
      <c r="D146" s="77" t="str">
        <f aca="false">IFERROR(IF('DE Detect'!P12="⏳ Complete rating and target to generate recommendation.","⏳ Rate this control in the domain sheet to auto-generate.",'DE Detect'!P12),"—")</f>
        <v>⏳ Rate this control in the domain sheet to auto-generate.</v>
      </c>
      <c r="E146" s="77"/>
      <c r="F146" s="77"/>
      <c r="G146" s="139" t="s">
        <v>299</v>
      </c>
      <c r="H146" s="76" t="s">
        <v>272</v>
      </c>
      <c r="I146" s="77"/>
      <c r="J146" s="145"/>
      <c r="K146" s="146"/>
      <c r="L146" s="146"/>
      <c r="M146" s="146"/>
      <c r="N146" s="141" t="n">
        <f aca="false">IFERROR(SUM(J146,K146,M146),0)</f>
        <v>0</v>
      </c>
      <c r="O146" s="141" t="n">
        <f aca="false">IFERROR(SUM(L146),0)</f>
        <v>0</v>
      </c>
      <c r="P146" s="142" t="s">
        <v>273</v>
      </c>
    </row>
    <row r="147" customFormat="false" ht="21.75" hidden="false" customHeight="true" outlineLevel="0" collapsed="false">
      <c r="A147" s="127" t="n">
        <v>0</v>
      </c>
      <c r="B147" s="128" t="s">
        <v>395</v>
      </c>
      <c r="C147" s="129" t="s">
        <v>405</v>
      </c>
      <c r="D147" s="71" t="str">
        <f aca="false">IFERROR(IF('DE Detect'!P13="⏳ Complete rating and target to generate recommendation.","⏳ Rate this control in the domain sheet to auto-generate.",'DE Detect'!P13),"—")</f>
        <v>⏳ Rate this control in the domain sheet to auto-generate.</v>
      </c>
      <c r="E147" s="71"/>
      <c r="F147" s="71"/>
      <c r="G147" s="131" t="s">
        <v>299</v>
      </c>
      <c r="H147" s="70" t="s">
        <v>272</v>
      </c>
      <c r="I147" s="71"/>
      <c r="J147" s="143"/>
      <c r="K147" s="144"/>
      <c r="L147" s="144"/>
      <c r="M147" s="144"/>
      <c r="N147" s="133" t="n">
        <f aca="false">IFERROR(SUM(J147,K147,M147),0)</f>
        <v>0</v>
      </c>
      <c r="O147" s="133" t="n">
        <f aca="false">IFERROR(SUM(L147),0)</f>
        <v>0</v>
      </c>
      <c r="P147" s="134" t="s">
        <v>273</v>
      </c>
    </row>
    <row r="148" customFormat="false" ht="21.75" hidden="false" customHeight="true" outlineLevel="0" collapsed="false">
      <c r="A148" s="135" t="n">
        <v>0.28</v>
      </c>
      <c r="B148" s="136" t="s">
        <v>395</v>
      </c>
      <c r="C148" s="137" t="s">
        <v>406</v>
      </c>
      <c r="D148" s="77" t="str">
        <f aca="false">IFERROR(IF('DE Detect'!P14="⏳ Complete rating and target to generate recommendation.","⏳ Rate this control in the domain sheet to auto-generate.",'DE Detect'!P14),"—")</f>
        <v>Standardise Threat Intelligence Integration: formalise all documentation, apply the control consistently across all in-scope assets, close remaining coverage gaps, and ensure evidence is collected routinely. Exceptions must be formally managed with named owners and defined expiry dates.</v>
      </c>
      <c r="E148" s="77" t="s">
        <v>238</v>
      </c>
      <c r="F148" s="77" t="s">
        <v>239</v>
      </c>
      <c r="G148" s="139" t="s">
        <v>299</v>
      </c>
      <c r="H148" s="76" t="s">
        <v>241</v>
      </c>
      <c r="I148" s="77"/>
      <c r="J148" s="145" t="n">
        <v>3000</v>
      </c>
      <c r="K148" s="146"/>
      <c r="L148" s="146"/>
      <c r="M148" s="146"/>
      <c r="N148" s="141" t="n">
        <f aca="false">IFERROR(SUM(J148,K148,M148),0)</f>
        <v>3000</v>
      </c>
      <c r="O148" s="141" t="n">
        <f aca="false">IFERROR(SUM(L148),0)</f>
        <v>0</v>
      </c>
      <c r="P148" s="142" t="s">
        <v>242</v>
      </c>
    </row>
    <row r="149" customFormat="false" ht="21.75" hidden="false" customHeight="true" outlineLevel="0" collapsed="false">
      <c r="A149" s="127" t="n">
        <v>0.28</v>
      </c>
      <c r="B149" s="128" t="s">
        <v>395</v>
      </c>
      <c r="C149" s="129" t="s">
        <v>407</v>
      </c>
      <c r="D149" s="71" t="str">
        <f aca="false">IFERROR(IF('DE Detect'!P15="⏳ Complete rating and target to generate recommendation.","⏳ Rate this control in the domain sheet to auto-generate.",'DE Detect'!P15),"—")</f>
        <v>Standardise User &amp; Entity Behaviour Analytics (UEBA): formalise all documentation, apply the control consistently across all in-scope assets, close remaining coverage gaps, and ensure evidence is collected routinely. Exceptions must be formally managed with named owners and defined expiry dates.</v>
      </c>
      <c r="E149" s="71" t="s">
        <v>238</v>
      </c>
      <c r="F149" s="71" t="s">
        <v>239</v>
      </c>
      <c r="G149" s="131" t="s">
        <v>299</v>
      </c>
      <c r="H149" s="70" t="s">
        <v>241</v>
      </c>
      <c r="I149" s="71"/>
      <c r="J149" s="143" t="n">
        <v>3000</v>
      </c>
      <c r="K149" s="144"/>
      <c r="L149" s="144"/>
      <c r="M149" s="144"/>
      <c r="N149" s="133" t="n">
        <f aca="false">IFERROR(SUM(J149,K149,M149),0)</f>
        <v>3000</v>
      </c>
      <c r="O149" s="133" t="n">
        <f aca="false">IFERROR(SUM(L149),0)</f>
        <v>0</v>
      </c>
      <c r="P149" s="134" t="s">
        <v>242</v>
      </c>
    </row>
    <row r="150" customFormat="false" ht="21.75" hidden="false" customHeight="true" outlineLevel="0" collapsed="false">
      <c r="A150" s="135" t="n">
        <v>0.14</v>
      </c>
      <c r="B150" s="136" t="s">
        <v>395</v>
      </c>
      <c r="C150" s="137" t="s">
        <v>408</v>
      </c>
      <c r="D150" s="77" t="str">
        <f aca="false">IFERROR(IF('DE Detect'!P16="⏳ Complete rating and target to generate recommendation.","⏳ Rate this control in the domain sheet to auto-generate.",'DE Detect'!P16),"—")</f>
        <v>Standardise Network Detection &amp; Response (NDR): formalise all documentation, apply the control consistently across all in-scope assets, close remaining coverage gaps, and ensure evidence is collected routinely. Exceptions must be formally managed with named owners and defined expiry dates.</v>
      </c>
      <c r="E150" s="77" t="s">
        <v>238</v>
      </c>
      <c r="F150" s="77" t="s">
        <v>239</v>
      </c>
      <c r="G150" s="139" t="s">
        <v>299</v>
      </c>
      <c r="H150" s="76" t="s">
        <v>241</v>
      </c>
      <c r="I150" s="77"/>
      <c r="J150" s="145" t="n">
        <v>3000</v>
      </c>
      <c r="K150" s="146"/>
      <c r="L150" s="146"/>
      <c r="M150" s="146"/>
      <c r="N150" s="141" t="n">
        <f aca="false">IFERROR(SUM(J150,K150,M150),0)</f>
        <v>3000</v>
      </c>
      <c r="O150" s="141" t="n">
        <f aca="false">IFERROR(SUM(L150),0)</f>
        <v>0</v>
      </c>
      <c r="P150" s="142" t="s">
        <v>242</v>
      </c>
    </row>
    <row r="151" customFormat="false" ht="21.75" hidden="false" customHeight="true" outlineLevel="0" collapsed="false">
      <c r="A151" s="127" t="n">
        <v>0.28</v>
      </c>
      <c r="B151" s="128" t="s">
        <v>395</v>
      </c>
      <c r="C151" s="129" t="s">
        <v>409</v>
      </c>
      <c r="D151" s="71" t="str">
        <f aca="false">IFERROR(IF('DE Detect'!P17="⏳ Complete rating and target to generate recommendation.","⏳ Rate this control in the domain sheet to auto-generate.",'DE Detect'!P17),"—")</f>
        <v>Standardise Cloud Detection &amp; Response: formalise all documentation, apply the control consistently across all in-scope assets, close remaining coverage gaps, and ensure evidence is collected routinely. Exceptions must be formally managed with named owners and defined expiry dates.</v>
      </c>
      <c r="E151" s="71" t="s">
        <v>245</v>
      </c>
      <c r="F151" s="71" t="s">
        <v>246</v>
      </c>
      <c r="G151" s="131" t="s">
        <v>287</v>
      </c>
      <c r="H151" s="70" t="s">
        <v>241</v>
      </c>
      <c r="I151" s="71"/>
      <c r="J151" s="143" t="n">
        <v>1250</v>
      </c>
      <c r="K151" s="144"/>
      <c r="L151" s="144"/>
      <c r="M151" s="144"/>
      <c r="N151" s="133" t="n">
        <f aca="false">IFERROR(SUM(J151,K151,M151),0)</f>
        <v>1250</v>
      </c>
      <c r="O151" s="133" t="n">
        <f aca="false">IFERROR(SUM(L151),0)</f>
        <v>0</v>
      </c>
      <c r="P151" s="134" t="s">
        <v>242</v>
      </c>
    </row>
    <row r="152" customFormat="false" ht="21.75" hidden="false" customHeight="true" outlineLevel="0" collapsed="false">
      <c r="A152" s="135" t="n">
        <v>0.42</v>
      </c>
      <c r="B152" s="136" t="s">
        <v>395</v>
      </c>
      <c r="C152" s="137" t="s">
        <v>410</v>
      </c>
      <c r="D152" s="77" t="str">
        <f aca="false">IFERROR(IF('DE Detect'!P18="⏳ Complete rating and target to generate recommendation.","⏳ Rate this control in the domain sheet to auto-generate.",'DE Detect'!P18),"—")</f>
        <v>Instrument Privacy Event Detection with measurable KPIs: define performance thresholds (coverage %, SLA adherence, exception count), establish automated telemetry where possible, and integrate reporting into quarterly governance cycles. Evidence must be system-generated and reviewed at each governance cycle.</v>
      </c>
      <c r="E152" s="77" t="s">
        <v>238</v>
      </c>
      <c r="F152" s="77" t="s">
        <v>258</v>
      </c>
      <c r="G152" s="139" t="s">
        <v>252</v>
      </c>
      <c r="H152" s="76" t="s">
        <v>241</v>
      </c>
      <c r="I152" s="77"/>
      <c r="J152" s="145" t="n">
        <v>3000</v>
      </c>
      <c r="K152" s="146"/>
      <c r="L152" s="146"/>
      <c r="M152" s="146"/>
      <c r="N152" s="141" t="n">
        <f aca="false">IFERROR(SUM(J152,K152,M152),0)</f>
        <v>3000</v>
      </c>
      <c r="O152" s="141" t="n">
        <f aca="false">IFERROR(SUM(L152),0)</f>
        <v>0</v>
      </c>
      <c r="P152" s="142" t="s">
        <v>242</v>
      </c>
    </row>
    <row r="153" customFormat="false" ht="21.75" hidden="false" customHeight="true" outlineLevel="0" collapsed="false">
      <c r="A153" s="127" t="n">
        <v>0</v>
      </c>
      <c r="B153" s="128" t="s">
        <v>395</v>
      </c>
      <c r="C153" s="129" t="s">
        <v>411</v>
      </c>
      <c r="D153" s="71" t="str">
        <f aca="false">IFERROR(IF('DE Detect'!P19="⏳ Complete rating and target to generate recommendation.","⏳ Rate this control in the domain sheet to auto-generate.",'DE Detect'!P19),"—")</f>
        <v>⏳ Rate this control in the domain sheet to auto-generate.</v>
      </c>
      <c r="E153" s="71"/>
      <c r="F153" s="71"/>
      <c r="G153" s="131" t="s">
        <v>247</v>
      </c>
      <c r="H153" s="70" t="s">
        <v>272</v>
      </c>
      <c r="I153" s="71"/>
      <c r="J153" s="143"/>
      <c r="K153" s="144"/>
      <c r="L153" s="144"/>
      <c r="M153" s="144"/>
      <c r="N153" s="133" t="n">
        <f aca="false">IFERROR(SUM(J153,K153,M153),0)</f>
        <v>0</v>
      </c>
      <c r="O153" s="133" t="n">
        <f aca="false">IFERROR(SUM(L153),0)</f>
        <v>0</v>
      </c>
      <c r="P153" s="134" t="s">
        <v>273</v>
      </c>
    </row>
    <row r="154" customFormat="false" ht="21.75" hidden="false" customHeight="true" outlineLevel="0" collapsed="false">
      <c r="A154" s="135" t="n">
        <v>0.42</v>
      </c>
      <c r="B154" s="136" t="s">
        <v>395</v>
      </c>
      <c r="C154" s="137" t="s">
        <v>412</v>
      </c>
      <c r="D154" s="77" t="str">
        <f aca="false">IFERROR(IF('DE Detect'!P20="⏳ Complete rating and target to generate recommendation.","⏳ Rate this control in the domain sheet to auto-generate.",'DE Detect'!P20),"—")</f>
        <v>Instrument Dark Web &amp; Exposure Monitoring with measurable KPIs: define performance thresholds (coverage %, SLA adherence, exception count), establish automated telemetry where possible, and integrate reporting into quarterly governance cycles. Evidence must be system-generated and reviewed at each governance cycle.</v>
      </c>
      <c r="E154" s="77" t="s">
        <v>238</v>
      </c>
      <c r="F154" s="77" t="s">
        <v>258</v>
      </c>
      <c r="G154" s="139" t="s">
        <v>299</v>
      </c>
      <c r="H154" s="76" t="s">
        <v>241</v>
      </c>
      <c r="I154" s="77"/>
      <c r="J154" s="145" t="n">
        <v>3000</v>
      </c>
      <c r="K154" s="146"/>
      <c r="L154" s="146"/>
      <c r="M154" s="146"/>
      <c r="N154" s="141" t="n">
        <f aca="false">IFERROR(SUM(J154,K154,M154),0)</f>
        <v>3000</v>
      </c>
      <c r="O154" s="141" t="n">
        <f aca="false">IFERROR(SUM(L154),0)</f>
        <v>0</v>
      </c>
      <c r="P154" s="142" t="s">
        <v>242</v>
      </c>
    </row>
    <row r="155" customFormat="false" ht="21.75" hidden="false" customHeight="true" outlineLevel="0" collapsed="false">
      <c r="A155" s="127" t="n">
        <v>0</v>
      </c>
      <c r="B155" s="128" t="s">
        <v>395</v>
      </c>
      <c r="C155" s="129" t="s">
        <v>413</v>
      </c>
      <c r="D155" s="71" t="str">
        <f aca="false">IFERROR(IF('DE Detect'!P21="⏳ Complete rating and target to generate recommendation.","⏳ Rate this control in the domain sheet to auto-generate.",'DE Detect'!P21),"—")</f>
        <v>Standardise AI-Specific Threat Detection: formalise all documentation, apply the control consistently across all in-scope assets, close remaining coverage gaps, and ensure evidence is collected routinely. Exceptions must be formally managed with named owners and defined expiry dates.</v>
      </c>
      <c r="E155" s="71" t="s">
        <v>238</v>
      </c>
      <c r="F155" s="71" t="s">
        <v>239</v>
      </c>
      <c r="G155" s="131" t="s">
        <v>299</v>
      </c>
      <c r="H155" s="70" t="s">
        <v>241</v>
      </c>
      <c r="I155" s="71"/>
      <c r="J155" s="143" t="n">
        <v>3000</v>
      </c>
      <c r="K155" s="144"/>
      <c r="L155" s="144"/>
      <c r="M155" s="144"/>
      <c r="N155" s="133" t="n">
        <f aca="false">IFERROR(SUM(J155,K155,M155),0)</f>
        <v>3000</v>
      </c>
      <c r="O155" s="133" t="n">
        <f aca="false">IFERROR(SUM(L155),0)</f>
        <v>0</v>
      </c>
      <c r="P155" s="134" t="s">
        <v>242</v>
      </c>
    </row>
    <row r="156" customFormat="false" ht="21.75" hidden="false" customHeight="true" outlineLevel="0" collapsed="false">
      <c r="A156" s="135" t="n">
        <v>0.14</v>
      </c>
      <c r="B156" s="136" t="s">
        <v>395</v>
      </c>
      <c r="C156" s="137" t="s">
        <v>414</v>
      </c>
      <c r="D156" s="77" t="str">
        <f aca="false">IFERROR(IF('DE Detect'!P22="⏳ Complete rating and target to generate recommendation.","⏳ Rate this control in the domain sheet to auto-generate.",'DE Detect'!P22),"—")</f>
        <v>Standardise Detection Validation — Purple Team Exercises: formalise all documentation, apply the control consistently across all in-scope assets, close remaining coverage gaps, and ensure evidence is collected routinely. Exceptions must be formally managed with named owners and defined expiry dates.</v>
      </c>
      <c r="E156" s="77" t="s">
        <v>238</v>
      </c>
      <c r="F156" s="77" t="s">
        <v>239</v>
      </c>
      <c r="G156" s="139" t="s">
        <v>299</v>
      </c>
      <c r="H156" s="76" t="s">
        <v>241</v>
      </c>
      <c r="I156" s="77"/>
      <c r="J156" s="145" t="n">
        <v>3000</v>
      </c>
      <c r="K156" s="146"/>
      <c r="L156" s="146"/>
      <c r="M156" s="146"/>
      <c r="N156" s="141" t="n">
        <f aca="false">IFERROR(SUM(J156,K156,M156),0)</f>
        <v>3000</v>
      </c>
      <c r="O156" s="141" t="n">
        <f aca="false">IFERROR(SUM(L156),0)</f>
        <v>0</v>
      </c>
      <c r="P156" s="142" t="s">
        <v>242</v>
      </c>
    </row>
    <row r="157" customFormat="false" ht="21.75" hidden="false" customHeight="true" outlineLevel="0" collapsed="false">
      <c r="A157" s="127" t="n">
        <v>0.28</v>
      </c>
      <c r="B157" s="128" t="s">
        <v>395</v>
      </c>
      <c r="C157" s="129" t="s">
        <v>415</v>
      </c>
      <c r="D157" s="71" t="str">
        <f aca="false">IFERROR(IF('DE Detect'!P23="⏳ Complete rating and target to generate recommendation.","⏳ Rate this control in the domain sheet to auto-generate.",'DE Detect'!P23),"—")</f>
        <v>Standardise Security Metrics &amp; KPIs — Detection Domain: formalise all documentation, apply the control consistently across all in-scope assets, close remaining coverage gaps, and ensure evidence is collected routinely. Exceptions must be formally managed with named owners and defined expiry dates.</v>
      </c>
      <c r="E157" s="71" t="s">
        <v>238</v>
      </c>
      <c r="F157" s="71" t="s">
        <v>239</v>
      </c>
      <c r="G157" s="131" t="s">
        <v>299</v>
      </c>
      <c r="H157" s="70" t="s">
        <v>241</v>
      </c>
      <c r="I157" s="71"/>
      <c r="J157" s="143" t="n">
        <v>3000</v>
      </c>
      <c r="K157" s="144"/>
      <c r="L157" s="144"/>
      <c r="M157" s="144"/>
      <c r="N157" s="133" t="n">
        <f aca="false">IFERROR(SUM(J157,K157,M157),0)</f>
        <v>3000</v>
      </c>
      <c r="O157" s="133" t="n">
        <f aca="false">IFERROR(SUM(L157),0)</f>
        <v>0</v>
      </c>
      <c r="P157" s="134" t="s">
        <v>242</v>
      </c>
    </row>
    <row r="158" customFormat="false" ht="21.75" hidden="false" customHeight="true" outlineLevel="0" collapsed="false">
      <c r="A158" s="135" t="n">
        <v>0.28</v>
      </c>
      <c r="B158" s="136" t="s">
        <v>395</v>
      </c>
      <c r="C158" s="137" t="s">
        <v>416</v>
      </c>
      <c r="D158" s="77" t="str">
        <f aca="false">IFERROR(IF('DE Detect'!P24="⏳ Complete rating and target to generate recommendation.","⏳ Rate this control in the domain sheet to auto-generate.",'DE Detect'!P24),"—")</f>
        <v>Standardise Security Dashboard &amp; Visibility: formalise all documentation, apply the control consistently across all in-scope assets, close remaining coverage gaps, and ensure evidence is collected routinely. Exceptions must be formally managed with named owners and defined expiry dates.</v>
      </c>
      <c r="E158" s="77" t="s">
        <v>238</v>
      </c>
      <c r="F158" s="77" t="s">
        <v>239</v>
      </c>
      <c r="G158" s="139" t="s">
        <v>249</v>
      </c>
      <c r="H158" s="76" t="s">
        <v>241</v>
      </c>
      <c r="I158" s="77"/>
      <c r="J158" s="145" t="n">
        <v>3000</v>
      </c>
      <c r="K158" s="146"/>
      <c r="L158" s="146"/>
      <c r="M158" s="146"/>
      <c r="N158" s="141" t="n">
        <f aca="false">IFERROR(SUM(J158,K158,M158),0)</f>
        <v>3000</v>
      </c>
      <c r="O158" s="141" t="n">
        <f aca="false">IFERROR(SUM(L158),0)</f>
        <v>0</v>
      </c>
      <c r="P158" s="142" t="s">
        <v>242</v>
      </c>
    </row>
    <row r="159" customFormat="false" ht="21.75" hidden="false" customHeight="true" outlineLevel="0" collapsed="false">
      <c r="A159" s="127" t="n">
        <v>0.28</v>
      </c>
      <c r="B159" s="128" t="s">
        <v>395</v>
      </c>
      <c r="C159" s="129" t="s">
        <v>417</v>
      </c>
      <c r="D159" s="71" t="str">
        <f aca="false">IFERROR(IF('DE Detect'!P25="⏳ Complete rating and target to generate recommendation.","⏳ Rate this control in the domain sheet to auto-generate.",'DE Detect'!P25),"—")</f>
        <v>Instrument Vulnerability Scanner Integration with measurable KPIs: define performance thresholds (coverage %, SLA adherence, exception count), establish automated telemetry where possible, and integrate reporting into quarterly governance cycles. Evidence must be system-generated and reviewed at each governance cycle.</v>
      </c>
      <c r="E159" s="71" t="s">
        <v>238</v>
      </c>
      <c r="F159" s="71" t="s">
        <v>258</v>
      </c>
      <c r="G159" s="131" t="s">
        <v>299</v>
      </c>
      <c r="H159" s="70" t="s">
        <v>241</v>
      </c>
      <c r="I159" s="71"/>
      <c r="J159" s="143" t="n">
        <v>3000</v>
      </c>
      <c r="K159" s="144"/>
      <c r="L159" s="144"/>
      <c r="M159" s="144"/>
      <c r="N159" s="133" t="n">
        <f aca="false">IFERROR(SUM(J159,K159,M159),0)</f>
        <v>3000</v>
      </c>
      <c r="O159" s="133" t="n">
        <f aca="false">IFERROR(SUM(L159),0)</f>
        <v>0</v>
      </c>
      <c r="P159" s="134" t="s">
        <v>242</v>
      </c>
    </row>
    <row r="160" customFormat="false" ht="21.75" hidden="false" customHeight="true" outlineLevel="0" collapsed="false">
      <c r="A160" s="135" t="n">
        <v>0.11</v>
      </c>
      <c r="B160" s="136" t="s">
        <v>418</v>
      </c>
      <c r="C160" s="137" t="s">
        <v>419</v>
      </c>
      <c r="D160" s="77" t="str">
        <f aca="false">IFERROR(IF('RS Respond'!P4="⏳ Complete rating and target to generate recommendation.","⏳ Rate this control in the domain sheet to auto-generate.",'RS Respond'!P4),"—")</f>
        <v>Standardise Incident Response Plan (IRP): formalise all documentation, apply the control consistently across all in-scope assets, close remaining coverage gaps, and ensure evidence is collected routinely. Exceptions must be formally managed with named owners and defined expiry dates.</v>
      </c>
      <c r="E160" s="77" t="s">
        <v>245</v>
      </c>
      <c r="F160" s="77" t="s">
        <v>246</v>
      </c>
      <c r="G160" s="139" t="s">
        <v>249</v>
      </c>
      <c r="H160" s="76" t="s">
        <v>241</v>
      </c>
      <c r="I160" s="77"/>
      <c r="J160" s="145" t="n">
        <v>1250</v>
      </c>
      <c r="K160" s="146"/>
      <c r="L160" s="146"/>
      <c r="M160" s="146"/>
      <c r="N160" s="141" t="n">
        <f aca="false">IFERROR(SUM(J160,K160,M160),0)</f>
        <v>1250</v>
      </c>
      <c r="O160" s="141" t="n">
        <f aca="false">IFERROR(SUM(L160),0)</f>
        <v>0</v>
      </c>
      <c r="P160" s="142" t="s">
        <v>242</v>
      </c>
    </row>
    <row r="161" customFormat="false" ht="21.75" hidden="false" customHeight="true" outlineLevel="0" collapsed="false">
      <c r="A161" s="127" t="n">
        <v>0.33</v>
      </c>
      <c r="B161" s="128" t="s">
        <v>418</v>
      </c>
      <c r="C161" s="129" t="s">
        <v>420</v>
      </c>
      <c r="D161" s="71" t="str">
        <f aca="false">IFERROR(IF('RS Respond'!P5="⏳ Complete rating and target to generate recommendation.","⏳ Rate this control in the domain sheet to auto-generate.",'RS Respond'!P5),"—")</f>
        <v>Instrument Evidence Preservation &amp; Chain of Custody with measurable KPIs: define performance thresholds (coverage %, SLA adherence, exception count), establish automated telemetry where possible, and integrate reporting into quarterly governance cycles. Evidence must be system-generated and reviewed at each governance cycle.</v>
      </c>
      <c r="E161" s="71" t="s">
        <v>238</v>
      </c>
      <c r="F161" s="71" t="s">
        <v>258</v>
      </c>
      <c r="G161" s="131" t="s">
        <v>299</v>
      </c>
      <c r="H161" s="70" t="s">
        <v>241</v>
      </c>
      <c r="I161" s="71"/>
      <c r="J161" s="143" t="n">
        <v>3000</v>
      </c>
      <c r="K161" s="144"/>
      <c r="L161" s="144"/>
      <c r="M161" s="144"/>
      <c r="N161" s="133" t="n">
        <f aca="false">IFERROR(SUM(J161,K161,M161),0)</f>
        <v>3000</v>
      </c>
      <c r="O161" s="133" t="n">
        <f aca="false">IFERROR(SUM(L161),0)</f>
        <v>0</v>
      </c>
      <c r="P161" s="134" t="s">
        <v>242</v>
      </c>
    </row>
    <row r="162" customFormat="false" ht="21.75" hidden="false" customHeight="true" outlineLevel="0" collapsed="false">
      <c r="A162" s="135" t="n">
        <v>0.22</v>
      </c>
      <c r="B162" s="136" t="s">
        <v>418</v>
      </c>
      <c r="C162" s="137" t="s">
        <v>421</v>
      </c>
      <c r="D162" s="77" t="str">
        <f aca="false">IFERROR(IF('RS Respond'!P6="⏳ Complete rating and target to generate recommendation.","⏳ Rate this control in the domain sheet to auto-generate.",'RS Respond'!P6),"—")</f>
        <v>Instrument Third-Party Incident Coordination with measurable KPIs: define performance thresholds (coverage %, SLA adherence, exception count), establish automated telemetry where possible, and integrate reporting into quarterly governance cycles. Evidence must be system-generated and reviewed at each governance cycle.</v>
      </c>
      <c r="E162" s="77" t="s">
        <v>238</v>
      </c>
      <c r="F162" s="77" t="s">
        <v>258</v>
      </c>
      <c r="G162" s="139" t="s">
        <v>261</v>
      </c>
      <c r="H162" s="76" t="s">
        <v>241</v>
      </c>
      <c r="I162" s="77"/>
      <c r="J162" s="145" t="n">
        <v>3000</v>
      </c>
      <c r="K162" s="146"/>
      <c r="L162" s="146"/>
      <c r="M162" s="146"/>
      <c r="N162" s="141" t="n">
        <f aca="false">IFERROR(SUM(J162,K162,M162),0)</f>
        <v>3000</v>
      </c>
      <c r="O162" s="141" t="n">
        <f aca="false">IFERROR(SUM(L162),0)</f>
        <v>0</v>
      </c>
      <c r="P162" s="142" t="s">
        <v>242</v>
      </c>
    </row>
    <row r="163" customFormat="false" ht="21.75" hidden="false" customHeight="true" outlineLevel="0" collapsed="false">
      <c r="A163" s="127" t="n">
        <v>0.11</v>
      </c>
      <c r="B163" s="128" t="s">
        <v>418</v>
      </c>
      <c r="C163" s="129" t="s">
        <v>422</v>
      </c>
      <c r="D163" s="71" t="str">
        <f aca="false">IFERROR(IF('RS Respond'!P7="⏳ Complete rating and target to generate recommendation.","⏳ Rate this control in the domain sheet to auto-generate.",'RS Respond'!P7),"—")</f>
        <v>Standardise Cyber Insurance Engagement &amp; Claim Management: formalise all documentation, apply the control consistently across all in-scope assets, close remaining coverage gaps, and ensure evidence is collected routinely. Exceptions must be formally managed with named owners and defined expiry dates.</v>
      </c>
      <c r="E163" s="71" t="s">
        <v>245</v>
      </c>
      <c r="F163" s="71" t="s">
        <v>246</v>
      </c>
      <c r="G163" s="131" t="s">
        <v>247</v>
      </c>
      <c r="H163" s="70" t="s">
        <v>241</v>
      </c>
      <c r="I163" s="71"/>
      <c r="J163" s="143" t="n">
        <v>1250</v>
      </c>
      <c r="K163" s="144"/>
      <c r="L163" s="144"/>
      <c r="M163" s="144"/>
      <c r="N163" s="133" t="n">
        <f aca="false">IFERROR(SUM(J163,K163,M163),0)</f>
        <v>1250</v>
      </c>
      <c r="O163" s="133" t="n">
        <f aca="false">IFERROR(SUM(L163),0)</f>
        <v>0</v>
      </c>
      <c r="P163" s="134" t="s">
        <v>242</v>
      </c>
    </row>
    <row r="164" customFormat="false" ht="21.75" hidden="false" customHeight="true" outlineLevel="0" collapsed="false">
      <c r="A164" s="135" t="n">
        <v>0.11</v>
      </c>
      <c r="B164" s="136" t="s">
        <v>418</v>
      </c>
      <c r="C164" s="137" t="s">
        <v>423</v>
      </c>
      <c r="D164" s="77" t="str">
        <f aca="false">IFERROR(IF('RS Respond'!P8="⏳ Complete rating and target to generate recommendation.","⏳ Rate this control in the domain sheet to auto-generate.",'RS Respond'!P8),"—")</f>
        <v>Standardise Incident Playbooks — Ransomware: formalise all documentation, apply the control consistently across all in-scope assets, close remaining coverage gaps, and ensure evidence is collected routinely. Exceptions must be formally managed with named owners and defined expiry dates.</v>
      </c>
      <c r="E164" s="77" t="s">
        <v>238</v>
      </c>
      <c r="F164" s="77" t="s">
        <v>246</v>
      </c>
      <c r="G164" s="139" t="s">
        <v>249</v>
      </c>
      <c r="H164" s="76" t="s">
        <v>241</v>
      </c>
      <c r="I164" s="77"/>
      <c r="J164" s="145" t="n">
        <v>3000</v>
      </c>
      <c r="K164" s="146"/>
      <c r="L164" s="146"/>
      <c r="M164" s="146"/>
      <c r="N164" s="141" t="n">
        <f aca="false">IFERROR(SUM(J164,K164,M164),0)</f>
        <v>3000</v>
      </c>
      <c r="O164" s="141" t="n">
        <f aca="false">IFERROR(SUM(L164),0)</f>
        <v>0</v>
      </c>
      <c r="P164" s="142" t="s">
        <v>242</v>
      </c>
    </row>
    <row r="165" customFormat="false" ht="21.75" hidden="false" customHeight="true" outlineLevel="0" collapsed="false">
      <c r="A165" s="127" t="n">
        <v>0.22</v>
      </c>
      <c r="B165" s="128" t="s">
        <v>418</v>
      </c>
      <c r="C165" s="129" t="s">
        <v>424</v>
      </c>
      <c r="D165" s="71" t="str">
        <f aca="false">IFERROR(IF('RS Respond'!P9="⏳ Complete rating and target to generate recommendation.","⏳ Rate this control in the domain sheet to auto-generate.",'RS Respond'!P9),"—")</f>
        <v>Instrument Incident Playbooks — Data Breach with measurable KPIs: define performance thresholds (coverage %, SLA adherence, exception count), establish automated telemetry where possible, and integrate reporting into quarterly governance cycles. Evidence must be system-generated and reviewed at each governance cycle.</v>
      </c>
      <c r="E165" s="71" t="s">
        <v>238</v>
      </c>
      <c r="F165" s="71" t="s">
        <v>258</v>
      </c>
      <c r="G165" s="131" t="s">
        <v>252</v>
      </c>
      <c r="H165" s="70" t="s">
        <v>241</v>
      </c>
      <c r="I165" s="71"/>
      <c r="J165" s="143" t="n">
        <v>3000</v>
      </c>
      <c r="K165" s="144"/>
      <c r="L165" s="144"/>
      <c r="M165" s="144"/>
      <c r="N165" s="133" t="n">
        <f aca="false">IFERROR(SUM(J165,K165,M165),0)</f>
        <v>3000</v>
      </c>
      <c r="O165" s="133" t="n">
        <f aca="false">IFERROR(SUM(L165),0)</f>
        <v>0</v>
      </c>
      <c r="P165" s="134" t="s">
        <v>242</v>
      </c>
    </row>
    <row r="166" customFormat="false" ht="21.75" hidden="false" customHeight="true" outlineLevel="0" collapsed="false">
      <c r="A166" s="135" t="n">
        <v>0.11</v>
      </c>
      <c r="B166" s="136" t="s">
        <v>418</v>
      </c>
      <c r="C166" s="137" t="s">
        <v>425</v>
      </c>
      <c r="D166" s="77" t="str">
        <f aca="false">IFERROR(IF('RS Respond'!P10="⏳ Complete rating and target to generate recommendation.","⏳ Rate this control in the domain sheet to auto-generate.",'RS Respond'!P10),"—")</f>
        <v>Standardise Incident Playbooks — Business Email Compromise: formalise all documentation, apply the control consistently across all in-scope assets, close remaining coverage gaps, and ensure evidence is collected routinely. Exceptions must be formally managed with named owners and defined expiry dates.</v>
      </c>
      <c r="E166" s="77" t="s">
        <v>245</v>
      </c>
      <c r="F166" s="77" t="s">
        <v>246</v>
      </c>
      <c r="G166" s="139" t="s">
        <v>247</v>
      </c>
      <c r="H166" s="76" t="s">
        <v>241</v>
      </c>
      <c r="I166" s="77"/>
      <c r="J166" s="145" t="n">
        <v>1250</v>
      </c>
      <c r="K166" s="146"/>
      <c r="L166" s="146"/>
      <c r="M166" s="146"/>
      <c r="N166" s="141" t="n">
        <f aca="false">IFERROR(SUM(J166,K166,M166),0)</f>
        <v>1250</v>
      </c>
      <c r="O166" s="141" t="n">
        <f aca="false">IFERROR(SUM(L166),0)</f>
        <v>0</v>
      </c>
      <c r="P166" s="142" t="s">
        <v>242</v>
      </c>
    </row>
    <row r="167" customFormat="false" ht="21.75" hidden="false" customHeight="true" outlineLevel="0" collapsed="false">
      <c r="A167" s="127" t="n">
        <v>0.22</v>
      </c>
      <c r="B167" s="128" t="s">
        <v>418</v>
      </c>
      <c r="C167" s="129" t="s">
        <v>426</v>
      </c>
      <c r="D167" s="71" t="str">
        <f aca="false">IFERROR(IF('RS Respond'!P11="⏳ Complete rating and target to generate recommendation.","⏳ Rate this control in the domain sheet to auto-generate.",'RS Respond'!P11),"—")</f>
        <v>Standardise Incident Playbooks — Cloud Security Incident: formalise all documentation, apply the control consistently across all in-scope assets, close remaining coverage gaps, and ensure evidence is collected routinely. Exceptions must be formally managed with named owners and defined expiry dates.</v>
      </c>
      <c r="E167" s="71" t="s">
        <v>238</v>
      </c>
      <c r="F167" s="71" t="s">
        <v>246</v>
      </c>
      <c r="G167" s="131" t="s">
        <v>287</v>
      </c>
      <c r="H167" s="70" t="s">
        <v>241</v>
      </c>
      <c r="I167" s="71"/>
      <c r="J167" s="143" t="n">
        <v>3000</v>
      </c>
      <c r="K167" s="144"/>
      <c r="L167" s="144"/>
      <c r="M167" s="144"/>
      <c r="N167" s="133" t="n">
        <f aca="false">IFERROR(SUM(J167,K167,M167),0)</f>
        <v>3000</v>
      </c>
      <c r="O167" s="133" t="n">
        <f aca="false">IFERROR(SUM(L167),0)</f>
        <v>0</v>
      </c>
      <c r="P167" s="134" t="s">
        <v>242</v>
      </c>
    </row>
    <row r="168" customFormat="false" ht="21.75" hidden="false" customHeight="true" outlineLevel="0" collapsed="false">
      <c r="A168" s="135" t="n">
        <v>0</v>
      </c>
      <c r="B168" s="136" t="s">
        <v>418</v>
      </c>
      <c r="C168" s="137" t="s">
        <v>427</v>
      </c>
      <c r="D168" s="77" t="str">
        <f aca="false">IFERROR(IF('RS Respond'!P12="⏳ Complete rating and target to generate recommendation.","⏳ Rate this control in the domain sheet to auto-generate.",'RS Respond'!P12),"—")</f>
        <v>⏳ Rate this control in the domain sheet to auto-generate.</v>
      </c>
      <c r="E168" s="77"/>
      <c r="F168" s="77"/>
      <c r="G168" s="139" t="s">
        <v>252</v>
      </c>
      <c r="H168" s="76" t="s">
        <v>272</v>
      </c>
      <c r="I168" s="77"/>
      <c r="J168" s="145"/>
      <c r="K168" s="146"/>
      <c r="L168" s="146"/>
      <c r="M168" s="146"/>
      <c r="N168" s="141" t="n">
        <f aca="false">IFERROR(SUM(J168,K168,M168),0)</f>
        <v>0</v>
      </c>
      <c r="O168" s="141" t="n">
        <f aca="false">IFERROR(SUM(L168),0)</f>
        <v>0</v>
      </c>
      <c r="P168" s="142" t="s">
        <v>273</v>
      </c>
    </row>
    <row r="169" customFormat="false" ht="21.75" hidden="false" customHeight="true" outlineLevel="0" collapsed="false">
      <c r="A169" s="127" t="n">
        <v>0</v>
      </c>
      <c r="B169" s="128" t="s">
        <v>418</v>
      </c>
      <c r="C169" s="129" t="s">
        <v>428</v>
      </c>
      <c r="D169" s="71" t="str">
        <f aca="false">IFERROR(IF('RS Respond'!P13="⏳ Complete rating and target to generate recommendation.","⏳ Rate this control in the domain sheet to auto-generate.",'RS Respond'!P13),"—")</f>
        <v>⏳ Rate this control in the domain sheet to auto-generate.</v>
      </c>
      <c r="E169" s="71"/>
      <c r="F169" s="71"/>
      <c r="G169" s="131" t="s">
        <v>252</v>
      </c>
      <c r="H169" s="70" t="s">
        <v>272</v>
      </c>
      <c r="I169" s="71"/>
      <c r="J169" s="143"/>
      <c r="K169" s="144"/>
      <c r="L169" s="144"/>
      <c r="M169" s="144"/>
      <c r="N169" s="133" t="n">
        <f aca="false">IFERROR(SUM(J169,K169,M169),0)</f>
        <v>0</v>
      </c>
      <c r="O169" s="133" t="n">
        <f aca="false">IFERROR(SUM(L169),0)</f>
        <v>0</v>
      </c>
      <c r="P169" s="134" t="s">
        <v>273</v>
      </c>
    </row>
    <row r="170" customFormat="false" ht="21.75" hidden="false" customHeight="true" outlineLevel="0" collapsed="false">
      <c r="A170" s="135" t="n">
        <v>0.33</v>
      </c>
      <c r="B170" s="136" t="s">
        <v>418</v>
      </c>
      <c r="C170" s="137" t="s">
        <v>429</v>
      </c>
      <c r="D170" s="77" t="str">
        <f aca="false">IFERROR(IF('RS Respond'!P14="⏳ Complete rating and target to generate recommendation.","⏳ Rate this control in the domain sheet to auto-generate.",'RS Respond'!P14),"—")</f>
        <v>Instrument GDPR Breach Notification Process with measurable KPIs: define performance thresholds (coverage %, SLA adherence, exception count), establish automated telemetry where possible, and integrate reporting into quarterly governance cycles. Evidence must be system-generated and reviewed at each governance cycle.</v>
      </c>
      <c r="E170" s="77" t="s">
        <v>238</v>
      </c>
      <c r="F170" s="77" t="s">
        <v>258</v>
      </c>
      <c r="G170" s="139" t="s">
        <v>252</v>
      </c>
      <c r="H170" s="76" t="s">
        <v>241</v>
      </c>
      <c r="I170" s="77"/>
      <c r="J170" s="145" t="n">
        <v>3000</v>
      </c>
      <c r="K170" s="146"/>
      <c r="L170" s="146"/>
      <c r="M170" s="146"/>
      <c r="N170" s="141" t="n">
        <f aca="false">IFERROR(SUM(J170,K170,M170),0)</f>
        <v>3000</v>
      </c>
      <c r="O170" s="141" t="n">
        <f aca="false">IFERROR(SUM(L170),0)</f>
        <v>0</v>
      </c>
      <c r="P170" s="142" t="s">
        <v>242</v>
      </c>
    </row>
    <row r="171" customFormat="false" ht="21.75" hidden="false" customHeight="true" outlineLevel="0" collapsed="false">
      <c r="A171" s="127" t="n">
        <v>0.33</v>
      </c>
      <c r="B171" s="128" t="s">
        <v>418</v>
      </c>
      <c r="C171" s="129" t="s">
        <v>430</v>
      </c>
      <c r="D171" s="71" t="str">
        <f aca="false">IFERROR(IF('RS Respond'!P15="⏳ Complete rating and target to generate recommendation.","⏳ Rate this control in the domain sheet to auto-generate.",'RS Respond'!P15),"—")</f>
        <v>Instrument Breach Materiality &amp; Regulatory Decision Tree with measurable KPIs: define performance thresholds (coverage %, SLA adherence, exception count), establish automated telemetry where possible, and integrate reporting into quarterly governance cycles. Evidence must be system-generated and reviewed at each governance cycle.</v>
      </c>
      <c r="E171" s="71" t="s">
        <v>238</v>
      </c>
      <c r="F171" s="71" t="s">
        <v>239</v>
      </c>
      <c r="G171" s="131" t="s">
        <v>252</v>
      </c>
      <c r="H171" s="70" t="s">
        <v>241</v>
      </c>
      <c r="I171" s="71"/>
      <c r="J171" s="143" t="n">
        <v>3000</v>
      </c>
      <c r="K171" s="144"/>
      <c r="L171" s="144"/>
      <c r="M171" s="144"/>
      <c r="N171" s="133" t="n">
        <f aca="false">IFERROR(SUM(J171,K171,M171),0)</f>
        <v>3000</v>
      </c>
      <c r="O171" s="133" t="n">
        <f aca="false">IFERROR(SUM(L171),0)</f>
        <v>0</v>
      </c>
      <c r="P171" s="134" t="s">
        <v>242</v>
      </c>
    </row>
    <row r="172" customFormat="false" ht="21.75" hidden="false" customHeight="true" outlineLevel="0" collapsed="false">
      <c r="A172" s="135" t="n">
        <v>0.11</v>
      </c>
      <c r="B172" s="136" t="s">
        <v>418</v>
      </c>
      <c r="C172" s="137" t="s">
        <v>431</v>
      </c>
      <c r="D172" s="77" t="str">
        <f aca="false">IFERROR(IF('RS Respond'!P16="⏳ Complete rating and target to generate recommendation.","⏳ Rate this control in the domain sheet to auto-generate.",'RS Respond'!P16),"—")</f>
        <v>Standardise Tabletop Exercises — Technical: formalise all documentation, apply the control consistently across all in-scope assets, close remaining coverage gaps, and ensure evidence is collected routinely. Exceptions must be formally managed with named owners and defined expiry dates.</v>
      </c>
      <c r="E172" s="77" t="s">
        <v>238</v>
      </c>
      <c r="F172" s="77" t="s">
        <v>246</v>
      </c>
      <c r="G172" s="139" t="s">
        <v>249</v>
      </c>
      <c r="H172" s="76" t="s">
        <v>241</v>
      </c>
      <c r="I172" s="77"/>
      <c r="J172" s="145" t="n">
        <v>3000</v>
      </c>
      <c r="K172" s="146"/>
      <c r="L172" s="146"/>
      <c r="M172" s="146"/>
      <c r="N172" s="141" t="n">
        <f aca="false">IFERROR(SUM(J172,K172,M172),0)</f>
        <v>3000</v>
      </c>
      <c r="O172" s="141" t="n">
        <f aca="false">IFERROR(SUM(L172),0)</f>
        <v>0</v>
      </c>
      <c r="P172" s="142" t="s">
        <v>242</v>
      </c>
    </row>
    <row r="173" customFormat="false" ht="21.75" hidden="false" customHeight="true" outlineLevel="0" collapsed="false">
      <c r="A173" s="127" t="n">
        <v>0.22</v>
      </c>
      <c r="B173" s="128" t="s">
        <v>418</v>
      </c>
      <c r="C173" s="129" t="s">
        <v>432</v>
      </c>
      <c r="D173" s="71" t="str">
        <f aca="false">IFERROR(IF('RS Respond'!P17="⏳ Complete rating and target to generate recommendation.","⏳ Rate this control in the domain sheet to auto-generate.",'RS Respond'!P17),"—")</f>
        <v>Standardise Tabletop Exercises — Executive: formalise all documentation, apply the control consistently across all in-scope assets, close remaining coverage gaps, and ensure evidence is collected routinely. Exceptions must be formally managed with named owners and defined expiry dates.</v>
      </c>
      <c r="E173" s="71" t="s">
        <v>238</v>
      </c>
      <c r="F173" s="71" t="s">
        <v>246</v>
      </c>
      <c r="G173" s="131" t="s">
        <v>240</v>
      </c>
      <c r="H173" s="70" t="s">
        <v>241</v>
      </c>
      <c r="I173" s="71"/>
      <c r="J173" s="143" t="n">
        <v>3000</v>
      </c>
      <c r="K173" s="144"/>
      <c r="L173" s="144"/>
      <c r="M173" s="144"/>
      <c r="N173" s="133" t="n">
        <f aca="false">IFERROR(SUM(J173,K173,M173),0)</f>
        <v>3000</v>
      </c>
      <c r="O173" s="133" t="n">
        <f aca="false">IFERROR(SUM(L173),0)</f>
        <v>0</v>
      </c>
      <c r="P173" s="134" t="s">
        <v>242</v>
      </c>
    </row>
    <row r="174" customFormat="false" ht="21.75" hidden="false" customHeight="true" outlineLevel="0" collapsed="false">
      <c r="A174" s="135" t="n">
        <v>0.11</v>
      </c>
      <c r="B174" s="136" t="s">
        <v>418</v>
      </c>
      <c r="C174" s="137" t="s">
        <v>433</v>
      </c>
      <c r="D174" s="77" t="str">
        <f aca="false">IFERROR(IF('RS Respond'!P18="⏳ Complete rating and target to generate recommendation.","⏳ Rate this control in the domain sheet to auto-generate.",'RS Respond'!P18),"—")</f>
        <v>Standardise Post-Incident Review &amp; Lessons Learned: formalise all documentation, apply the control consistently across all in-scope assets, close remaining coverage gaps, and ensure evidence is collected routinely. Exceptions must be formally managed with named owners and defined expiry dates.</v>
      </c>
      <c r="E174" s="77" t="s">
        <v>245</v>
      </c>
      <c r="F174" s="77" t="s">
        <v>246</v>
      </c>
      <c r="G174" s="139" t="s">
        <v>249</v>
      </c>
      <c r="H174" s="76" t="s">
        <v>241</v>
      </c>
      <c r="I174" s="77"/>
      <c r="J174" s="145" t="n">
        <v>1250</v>
      </c>
      <c r="K174" s="146"/>
      <c r="L174" s="146"/>
      <c r="M174" s="146"/>
      <c r="N174" s="141" t="n">
        <f aca="false">IFERROR(SUM(J174,K174,M174),0)</f>
        <v>1250</v>
      </c>
      <c r="O174" s="141" t="n">
        <f aca="false">IFERROR(SUM(L174),0)</f>
        <v>0</v>
      </c>
      <c r="P174" s="142" t="s">
        <v>242</v>
      </c>
    </row>
    <row r="175" customFormat="false" ht="21.75" hidden="false" customHeight="true" outlineLevel="0" collapsed="false">
      <c r="A175" s="127" t="n">
        <v>0.22</v>
      </c>
      <c r="B175" s="128" t="s">
        <v>418</v>
      </c>
      <c r="C175" s="129" t="s">
        <v>434</v>
      </c>
      <c r="D175" s="71" t="str">
        <f aca="false">IFERROR(IF('RS Respond'!P19="⏳ Complete rating and target to generate recommendation.","⏳ Rate this control in the domain sheet to auto-generate.",'RS Respond'!P19),"—")</f>
        <v>Instrument Regulatory Investigation Management with measurable KPIs: define performance thresholds (coverage %, SLA adherence, exception count), establish automated telemetry where possible, and integrate reporting into quarterly governance cycles. Evidence must be system-generated and reviewed at each governance cycle.</v>
      </c>
      <c r="E175" s="71" t="s">
        <v>238</v>
      </c>
      <c r="F175" s="71" t="s">
        <v>239</v>
      </c>
      <c r="G175" s="131" t="s">
        <v>252</v>
      </c>
      <c r="H175" s="70" t="s">
        <v>241</v>
      </c>
      <c r="I175" s="71"/>
      <c r="J175" s="143" t="n">
        <v>3000</v>
      </c>
      <c r="K175" s="144"/>
      <c r="L175" s="144"/>
      <c r="M175" s="144"/>
      <c r="N175" s="133" t="n">
        <f aca="false">IFERROR(SUM(J175,K175,M175),0)</f>
        <v>3000</v>
      </c>
      <c r="O175" s="133" t="n">
        <f aca="false">IFERROR(SUM(L175),0)</f>
        <v>0</v>
      </c>
      <c r="P175" s="134" t="s">
        <v>242</v>
      </c>
    </row>
    <row r="176" customFormat="false" ht="21.75" hidden="false" customHeight="true" outlineLevel="0" collapsed="false">
      <c r="A176" s="135" t="n">
        <v>0.1</v>
      </c>
      <c r="B176" s="136" t="s">
        <v>435</v>
      </c>
      <c r="C176" s="137" t="s">
        <v>436</v>
      </c>
      <c r="D176" s="77" t="str">
        <f aca="false">IFERROR(IF('RC Recover'!P4="⏳ Complete rating and target to generate recommendation.","⏳ Rate this control in the domain sheet to auto-generate.",'RC Recover'!P4),"—")</f>
        <v>Standardise Business Continuity Plan (BCP): formalise all documentation, apply the control consistently across all in-scope assets, close remaining coverage gaps, and ensure evidence is collected routinely. Exceptions must be formally managed with named owners and defined expiry dates.</v>
      </c>
      <c r="E176" s="77" t="s">
        <v>238</v>
      </c>
      <c r="F176" s="77" t="s">
        <v>246</v>
      </c>
      <c r="G176" s="139" t="s">
        <v>284</v>
      </c>
      <c r="H176" s="76" t="s">
        <v>241</v>
      </c>
      <c r="I176" s="77"/>
      <c r="J176" s="145" t="n">
        <v>3000</v>
      </c>
      <c r="K176" s="146"/>
      <c r="L176" s="146"/>
      <c r="M176" s="146"/>
      <c r="N176" s="141" t="n">
        <f aca="false">IFERROR(SUM(J176,K176,M176),0)</f>
        <v>3000</v>
      </c>
      <c r="O176" s="141" t="n">
        <f aca="false">IFERROR(SUM(L176),0)</f>
        <v>0</v>
      </c>
      <c r="P176" s="142" t="s">
        <v>242</v>
      </c>
    </row>
    <row r="177" customFormat="false" ht="21.75" hidden="false" customHeight="true" outlineLevel="0" collapsed="false">
      <c r="A177" s="127" t="n">
        <v>0.2</v>
      </c>
      <c r="B177" s="128" t="s">
        <v>435</v>
      </c>
      <c r="C177" s="129" t="s">
        <v>437</v>
      </c>
      <c r="D177" s="71" t="str">
        <f aca="false">IFERROR(IF('RC Recover'!P5="⏳ Complete rating and target to generate recommendation.","⏳ Rate this control in the domain sheet to auto-generate.",'RC Recover'!P5),"—")</f>
        <v>Standardise Disaster Recovery Plan (DRP): formalise all documentation, apply the control consistently across all in-scope assets, close remaining coverage gaps, and ensure evidence is collected routinely. Exceptions must be formally managed with named owners and defined expiry dates.</v>
      </c>
      <c r="E177" s="71" t="s">
        <v>267</v>
      </c>
      <c r="F177" s="71" t="s">
        <v>246</v>
      </c>
      <c r="G177" s="131" t="s">
        <v>284</v>
      </c>
      <c r="H177" s="70" t="s">
        <v>241</v>
      </c>
      <c r="I177" s="71"/>
      <c r="J177" s="143" t="n">
        <v>7500</v>
      </c>
      <c r="K177" s="144" t="n">
        <v>28000</v>
      </c>
      <c r="L177" s="144" t="n">
        <v>0</v>
      </c>
      <c r="M177" s="144" t="n">
        <v>0</v>
      </c>
      <c r="N177" s="133" t="n">
        <f aca="false">IFERROR(SUM(J177,K177,M177),0)</f>
        <v>35500</v>
      </c>
      <c r="O177" s="133" t="n">
        <f aca="false">IFERROR(SUM(L177),0)</f>
        <v>0</v>
      </c>
      <c r="P177" s="134" t="s">
        <v>242</v>
      </c>
    </row>
    <row r="178" customFormat="false" ht="21.75" hidden="false" customHeight="true" outlineLevel="0" collapsed="false">
      <c r="A178" s="135" t="n">
        <v>0.2</v>
      </c>
      <c r="B178" s="136" t="s">
        <v>435</v>
      </c>
      <c r="C178" s="137" t="s">
        <v>438</v>
      </c>
      <c r="D178" s="77" t="str">
        <f aca="false">IFERROR(IF('RC Recover'!P6="⏳ Complete rating and target to generate recommendation.","⏳ Rate this control in the domain sheet to auto-generate.",'RC Recover'!P6),"—")</f>
        <v>Standardise Recovery Time Objective (RTO) Validation: formalise all documentation, apply the control consistently across all in-scope assets, close remaining coverage gaps, and ensure evidence is collected routinely. Exceptions must be formally managed with named owners and defined expiry dates.</v>
      </c>
      <c r="E178" s="77" t="s">
        <v>238</v>
      </c>
      <c r="F178" s="77" t="s">
        <v>246</v>
      </c>
      <c r="G178" s="139" t="s">
        <v>284</v>
      </c>
      <c r="H178" s="76" t="s">
        <v>241</v>
      </c>
      <c r="I178" s="77"/>
      <c r="J178" s="145" t="n">
        <v>3000</v>
      </c>
      <c r="K178" s="146"/>
      <c r="L178" s="146"/>
      <c r="M178" s="146"/>
      <c r="N178" s="141" t="n">
        <f aca="false">IFERROR(SUM(J178,K178,M178),0)</f>
        <v>3000</v>
      </c>
      <c r="O178" s="141" t="n">
        <f aca="false">IFERROR(SUM(L178),0)</f>
        <v>0</v>
      </c>
      <c r="P178" s="142" t="s">
        <v>242</v>
      </c>
    </row>
    <row r="179" customFormat="false" ht="21.75" hidden="false" customHeight="true" outlineLevel="0" collapsed="false">
      <c r="A179" s="127" t="n">
        <v>0.1</v>
      </c>
      <c r="B179" s="128" t="s">
        <v>435</v>
      </c>
      <c r="C179" s="129" t="s">
        <v>439</v>
      </c>
      <c r="D179" s="71" t="str">
        <f aca="false">IFERROR(IF('RC Recover'!P7="⏳ Complete rating and target to generate recommendation.","⏳ Rate this control in the domain sheet to auto-generate.",'RC Recover'!P7),"—")</f>
        <v>Standardise Recovery Point Objective (RPO) Validation: formalise all documentation, apply the control consistently across all in-scope assets, close remaining coverage gaps, and ensure evidence is collected routinely. Exceptions must be formally managed with named owners and defined expiry dates.</v>
      </c>
      <c r="E179" s="71" t="s">
        <v>245</v>
      </c>
      <c r="F179" s="71" t="s">
        <v>246</v>
      </c>
      <c r="G179" s="131" t="s">
        <v>284</v>
      </c>
      <c r="H179" s="70" t="s">
        <v>241</v>
      </c>
      <c r="I179" s="71"/>
      <c r="J179" s="143" t="n">
        <v>1250</v>
      </c>
      <c r="K179" s="144"/>
      <c r="L179" s="144"/>
      <c r="M179" s="144"/>
      <c r="N179" s="133" t="n">
        <f aca="false">IFERROR(SUM(J179,K179,M179),0)</f>
        <v>1250</v>
      </c>
      <c r="O179" s="133" t="n">
        <f aca="false">IFERROR(SUM(L179),0)</f>
        <v>0</v>
      </c>
      <c r="P179" s="134" t="s">
        <v>242</v>
      </c>
    </row>
    <row r="180" customFormat="false" ht="21.75" hidden="false" customHeight="true" outlineLevel="0" collapsed="false">
      <c r="A180" s="135" t="n">
        <v>0.2</v>
      </c>
      <c r="B180" s="136" t="s">
        <v>435</v>
      </c>
      <c r="C180" s="137" t="s">
        <v>440</v>
      </c>
      <c r="D180" s="77" t="str">
        <f aca="false">IFERROR(IF('RC Recover'!P8="⏳ Complete rating and target to generate recommendation.","⏳ Rate this control in the domain sheet to auto-generate.",'RC Recover'!P8),"—")</f>
        <v>Standardise Crisis Communications Plan: formalise all documentation, apply the control consistently across all in-scope assets, close remaining coverage gaps, and ensure evidence is collected routinely. Exceptions must be formally managed with named owners and defined expiry dates.</v>
      </c>
      <c r="E180" s="77" t="s">
        <v>238</v>
      </c>
      <c r="F180" s="77" t="s">
        <v>246</v>
      </c>
      <c r="G180" s="139" t="s">
        <v>240</v>
      </c>
      <c r="H180" s="76" t="s">
        <v>241</v>
      </c>
      <c r="I180" s="77"/>
      <c r="J180" s="145" t="n">
        <v>3000</v>
      </c>
      <c r="K180" s="146"/>
      <c r="L180" s="146"/>
      <c r="M180" s="146"/>
      <c r="N180" s="141" t="n">
        <f aca="false">IFERROR(SUM(J180,K180,M180),0)</f>
        <v>3000</v>
      </c>
      <c r="O180" s="141" t="n">
        <f aca="false">IFERROR(SUM(L180),0)</f>
        <v>0</v>
      </c>
      <c r="P180" s="142" t="s">
        <v>242</v>
      </c>
    </row>
    <row r="181" customFormat="false" ht="21.75" hidden="false" customHeight="true" outlineLevel="0" collapsed="false">
      <c r="A181" s="127" t="n">
        <v>0.2</v>
      </c>
      <c r="B181" s="128" t="s">
        <v>435</v>
      </c>
      <c r="C181" s="129" t="s">
        <v>441</v>
      </c>
      <c r="D181" s="71" t="str">
        <f aca="false">IFERROR(IF('RC Recover'!P9="⏳ Complete rating and target to generate recommendation.","⏳ Rate this control in the domain sheet to auto-generate.",'RC Recover'!P9),"—")</f>
        <v>Standardise Recovery Testing — Full System Failover: formalise all documentation, apply the control consistently across all in-scope assets, close remaining coverage gaps, and ensure evidence is collected routinely. Exceptions must be formally managed with named owners and defined expiry dates.</v>
      </c>
      <c r="E181" s="71" t="s">
        <v>267</v>
      </c>
      <c r="F181" s="71" t="s">
        <v>246</v>
      </c>
      <c r="G181" s="131" t="s">
        <v>284</v>
      </c>
      <c r="H181" s="70" t="s">
        <v>241</v>
      </c>
      <c r="I181" s="71"/>
      <c r="J181" s="143" t="n">
        <v>7500</v>
      </c>
      <c r="K181" s="144"/>
      <c r="L181" s="144"/>
      <c r="M181" s="144"/>
      <c r="N181" s="133" t="n">
        <f aca="false">IFERROR(SUM(J181,K181,M181),0)</f>
        <v>7500</v>
      </c>
      <c r="O181" s="133" t="n">
        <f aca="false">IFERROR(SUM(L181),0)</f>
        <v>0</v>
      </c>
      <c r="P181" s="134" t="s">
        <v>242</v>
      </c>
    </row>
    <row r="182" customFormat="false" ht="21.75" hidden="false" customHeight="true" outlineLevel="0" collapsed="false">
      <c r="A182" s="135" t="n">
        <v>0</v>
      </c>
      <c r="B182" s="136" t="s">
        <v>435</v>
      </c>
      <c r="C182" s="137" t="s">
        <v>442</v>
      </c>
      <c r="D182" s="77" t="str">
        <f aca="false">IFERROR(IF('RC Recover'!P10="⏳ Complete rating and target to generate recommendation.","⏳ Rate this control in the domain sheet to auto-generate.",'RC Recover'!P10),"—")</f>
        <v>⏳ Rate this control in the domain sheet to auto-generate.</v>
      </c>
      <c r="E182" s="77"/>
      <c r="F182" s="77"/>
      <c r="G182" s="139" t="s">
        <v>299</v>
      </c>
      <c r="H182" s="76" t="s">
        <v>272</v>
      </c>
      <c r="I182" s="77"/>
      <c r="J182" s="145"/>
      <c r="K182" s="146"/>
      <c r="L182" s="146"/>
      <c r="M182" s="146"/>
      <c r="N182" s="141" t="n">
        <f aca="false">IFERROR(SUM(J182,K182,M182),0)</f>
        <v>0</v>
      </c>
      <c r="O182" s="141" t="n">
        <f aca="false">IFERROR(SUM(L182),0)</f>
        <v>0</v>
      </c>
      <c r="P182" s="142" t="s">
        <v>273</v>
      </c>
    </row>
    <row r="183" customFormat="false" ht="21.75" hidden="false" customHeight="true" outlineLevel="0" collapsed="false">
      <c r="A183" s="127" t="n">
        <v>0.3</v>
      </c>
      <c r="B183" s="128" t="s">
        <v>435</v>
      </c>
      <c r="C183" s="129" t="s">
        <v>443</v>
      </c>
      <c r="D183" s="71" t="str">
        <f aca="false">IFERROR(IF('RC Recover'!P11="⏳ Complete rating and target to generate recommendation.","⏳ Rate this control in the domain sheet to auto-generate.",'RC Recover'!P11),"—")</f>
        <v>Instrument Post-Recovery Control Validation with measurable KPIs: define performance thresholds (coverage %, SLA adherence, exception count), establish automated telemetry where possible, and integrate reporting into quarterly governance cycles. Evidence must be system-generated and reviewed at each governance cycle.</v>
      </c>
      <c r="E183" s="71" t="s">
        <v>238</v>
      </c>
      <c r="F183" s="71" t="s">
        <v>239</v>
      </c>
      <c r="G183" s="131" t="s">
        <v>284</v>
      </c>
      <c r="H183" s="70" t="s">
        <v>241</v>
      </c>
      <c r="I183" s="71"/>
      <c r="J183" s="143" t="n">
        <v>3000</v>
      </c>
      <c r="K183" s="144"/>
      <c r="L183" s="144"/>
      <c r="M183" s="144"/>
      <c r="N183" s="133" t="n">
        <f aca="false">IFERROR(SUM(J183,K183,M183),0)</f>
        <v>3000</v>
      </c>
      <c r="O183" s="133" t="n">
        <f aca="false">IFERROR(SUM(L183),0)</f>
        <v>0</v>
      </c>
      <c r="P183" s="134" t="s">
        <v>242</v>
      </c>
    </row>
    <row r="184" customFormat="false" ht="21.75" hidden="false" customHeight="true" outlineLevel="0" collapsed="false">
      <c r="A184" s="135" t="n">
        <v>0.3</v>
      </c>
      <c r="B184" s="136" t="s">
        <v>435</v>
      </c>
      <c r="C184" s="137" t="s">
        <v>444</v>
      </c>
      <c r="D184" s="77" t="str">
        <f aca="false">IFERROR(IF('RC Recover'!P12="⏳ Complete rating and target to generate recommendation.","⏳ Rate this control in the domain sheet to auto-generate.",'RC Recover'!P12),"—")</f>
        <v>Instrument Privacy Capability Restoration with measurable KPIs: define performance thresholds (coverage %, SLA adherence, exception count), establish automated telemetry where possible, and integrate reporting into quarterly governance cycles. Evidence must be system-generated and reviewed at each governance cycle.</v>
      </c>
      <c r="E184" s="77" t="s">
        <v>238</v>
      </c>
      <c r="F184" s="77" t="s">
        <v>239</v>
      </c>
      <c r="G184" s="139" t="s">
        <v>252</v>
      </c>
      <c r="H184" s="76" t="s">
        <v>241</v>
      </c>
      <c r="I184" s="77"/>
      <c r="J184" s="145" t="n">
        <v>3000</v>
      </c>
      <c r="K184" s="146"/>
      <c r="L184" s="146"/>
      <c r="M184" s="146"/>
      <c r="N184" s="141" t="n">
        <f aca="false">IFERROR(SUM(J184,K184,M184),0)</f>
        <v>3000</v>
      </c>
      <c r="O184" s="141" t="n">
        <f aca="false">IFERROR(SUM(L184),0)</f>
        <v>0</v>
      </c>
      <c r="P184" s="142" t="s">
        <v>242</v>
      </c>
    </row>
    <row r="185" customFormat="false" ht="21.75" hidden="false" customHeight="true" outlineLevel="0" collapsed="false">
      <c r="A185" s="127" t="n">
        <v>0</v>
      </c>
      <c r="B185" s="128" t="s">
        <v>435</v>
      </c>
      <c r="C185" s="129" t="s">
        <v>445</v>
      </c>
      <c r="D185" s="71" t="str">
        <f aca="false">IFERROR(IF('RC Recover'!P13="⏳ Complete rating and target to generate recommendation.","⏳ Rate this control in the domain sheet to auto-generate.",'RC Recover'!P13),"—")</f>
        <v>⏳ Rate this control in the domain sheet to auto-generate.</v>
      </c>
      <c r="E185" s="71"/>
      <c r="F185" s="71"/>
      <c r="G185" s="131" t="s">
        <v>275</v>
      </c>
      <c r="H185" s="70" t="s">
        <v>272</v>
      </c>
      <c r="I185" s="71"/>
      <c r="J185" s="143"/>
      <c r="K185" s="144"/>
      <c r="L185" s="144"/>
      <c r="M185" s="144"/>
      <c r="N185" s="133" t="n">
        <f aca="false">IFERROR(SUM(J185,K185,M185),0)</f>
        <v>0</v>
      </c>
      <c r="O185" s="133" t="n">
        <f aca="false">IFERROR(SUM(L185),0)</f>
        <v>0</v>
      </c>
      <c r="P185" s="134" t="s">
        <v>273</v>
      </c>
    </row>
    <row r="186" customFormat="false" ht="21.75" hidden="false" customHeight="true" outlineLevel="0" collapsed="false">
      <c r="A186" s="135" t="n">
        <v>0.3</v>
      </c>
      <c r="B186" s="136" t="s">
        <v>435</v>
      </c>
      <c r="C186" s="137" t="s">
        <v>446</v>
      </c>
      <c r="D186" s="77" t="str">
        <f aca="false">IFERROR(IF('RC Recover'!P14="⏳ Complete rating and target to generate recommendation.","⏳ Rate this control in the domain sheet to auto-generate.",'RC Recover'!P14),"—")</f>
        <v>Instrument CDE Recovery &amp; PCI Compliance Re-validation with measurable KPIs: define performance thresholds (coverage %, SLA adherence, exception count), establish automated telemetry where possible, and integrate reporting into quarterly governance cycles. Evidence must be system-generated and reviewed at each governance cycle.</v>
      </c>
      <c r="E186" s="77" t="s">
        <v>238</v>
      </c>
      <c r="F186" s="77" t="s">
        <v>239</v>
      </c>
      <c r="G186" s="139" t="s">
        <v>287</v>
      </c>
      <c r="H186" s="76" t="s">
        <v>241</v>
      </c>
      <c r="I186" s="77"/>
      <c r="J186" s="145" t="n">
        <v>3000</v>
      </c>
      <c r="K186" s="146"/>
      <c r="L186" s="146"/>
      <c r="M186" s="146"/>
      <c r="N186" s="141" t="n">
        <f aca="false">IFERROR(SUM(J186,K186,M186),0)</f>
        <v>3000</v>
      </c>
      <c r="O186" s="141" t="n">
        <f aca="false">IFERROR(SUM(L186),0)</f>
        <v>0</v>
      </c>
      <c r="P186" s="142" t="s">
        <v>242</v>
      </c>
    </row>
    <row r="187" customFormat="false" ht="21.75" hidden="false" customHeight="true" outlineLevel="0" collapsed="false">
      <c r="A187" s="127" t="n">
        <v>0.2</v>
      </c>
      <c r="B187" s="128" t="s">
        <v>435</v>
      </c>
      <c r="C187" s="129" t="s">
        <v>447</v>
      </c>
      <c r="D187" s="71" t="str">
        <f aca="false">IFERROR(IF('RC Recover'!P15="⏳ Complete rating and target to generate recommendation.","⏳ Rate this control in the domain sheet to auto-generate.",'RC Recover'!P15),"—")</f>
        <v>Standardise Continuity Testing — Tabletop &amp; Simulation: formalise all documentation, apply the control consistently across all in-scope assets, close remaining coverage gaps, and ensure evidence is collected routinely. Exceptions must be formally managed with named owners and defined expiry dates.</v>
      </c>
      <c r="E187" s="71" t="s">
        <v>238</v>
      </c>
      <c r="F187" s="71" t="s">
        <v>246</v>
      </c>
      <c r="G187" s="131" t="s">
        <v>284</v>
      </c>
      <c r="H187" s="70" t="s">
        <v>241</v>
      </c>
      <c r="I187" s="71"/>
      <c r="J187" s="143" t="n">
        <v>3000</v>
      </c>
      <c r="K187" s="144"/>
      <c r="L187" s="144"/>
      <c r="M187" s="144"/>
      <c r="N187" s="133" t="n">
        <f aca="false">IFERROR(SUM(J187,K187,M187),0)</f>
        <v>3000</v>
      </c>
      <c r="O187" s="133" t="n">
        <f aca="false">IFERROR(SUM(L187),0)</f>
        <v>0</v>
      </c>
      <c r="P187" s="134" t="s">
        <v>242</v>
      </c>
    </row>
    <row r="188" customFormat="false" ht="21.75" hidden="false" customHeight="true" outlineLevel="0" collapsed="false">
      <c r="A188" s="135" t="n">
        <v>0.1</v>
      </c>
      <c r="B188" s="136" t="s">
        <v>435</v>
      </c>
      <c r="C188" s="137" t="s">
        <v>448</v>
      </c>
      <c r="D188" s="77" t="str">
        <f aca="false">IFERROR(IF('RC Recover'!P16="⏳ Complete rating and target to generate recommendation.","⏳ Rate this control in the domain sheet to auto-generate.",'RC Recover'!P16),"—")</f>
        <v>Standardise Lessons Learned — Continuity Programme Integration: formalise all documentation, apply the control consistently across all in-scope assets, close remaining coverage gaps, and ensure evidence is collected routinely. Exceptions must be formally managed with named owners and defined expiry dates.</v>
      </c>
      <c r="E188" s="77" t="s">
        <v>238</v>
      </c>
      <c r="F188" s="77" t="s">
        <v>246</v>
      </c>
      <c r="G188" s="139" t="s">
        <v>284</v>
      </c>
      <c r="H188" s="76" t="s">
        <v>241</v>
      </c>
      <c r="I188" s="77"/>
      <c r="J188" s="145" t="n">
        <v>3000</v>
      </c>
      <c r="K188" s="146"/>
      <c r="L188" s="146"/>
      <c r="M188" s="146"/>
      <c r="N188" s="141" t="n">
        <f aca="false">IFERROR(SUM(J188,K188,M188),0)</f>
        <v>3000</v>
      </c>
      <c r="O188" s="141" t="n">
        <f aca="false">IFERROR(SUM(L188),0)</f>
        <v>0</v>
      </c>
      <c r="P188" s="142" t="s">
        <v>242</v>
      </c>
    </row>
    <row r="189" customFormat="false" ht="21.75" hidden="false" customHeight="true" outlineLevel="0" collapsed="false">
      <c r="A189" s="127" t="n">
        <v>0.2</v>
      </c>
      <c r="B189" s="128" t="s">
        <v>435</v>
      </c>
      <c r="C189" s="129" t="s">
        <v>449</v>
      </c>
      <c r="D189" s="71" t="str">
        <f aca="false">IFERROR(IF('RC Recover'!P17="⏳ Complete rating and target to generate recommendation.","⏳ Rate this control in the domain sheet to auto-generate.",'RC Recover'!P17),"—")</f>
        <v>Standardise Business Service Recovery Validation: formalise all documentation, apply the control consistently across all in-scope assets, close remaining coverage gaps, and ensure evidence is collected routinely. Exceptions must be formally managed with named owners and defined expiry dates.</v>
      </c>
      <c r="E189" s="71" t="s">
        <v>238</v>
      </c>
      <c r="F189" s="71" t="s">
        <v>246</v>
      </c>
      <c r="G189" s="131" t="s">
        <v>284</v>
      </c>
      <c r="H189" s="70" t="s">
        <v>241</v>
      </c>
      <c r="I189" s="71"/>
      <c r="J189" s="143" t="n">
        <v>3000</v>
      </c>
      <c r="K189" s="144"/>
      <c r="L189" s="144"/>
      <c r="M189" s="144"/>
      <c r="N189" s="133" t="n">
        <f aca="false">IFERROR(SUM(J189,K189,M189),0)</f>
        <v>3000</v>
      </c>
      <c r="O189" s="133" t="n">
        <f aca="false">IFERROR(SUM(L189),0)</f>
        <v>0</v>
      </c>
      <c r="P189" s="134" t="s">
        <v>242</v>
      </c>
    </row>
    <row r="190" customFormat="false" ht="21.75" hidden="false" customHeight="true" outlineLevel="0" collapsed="false">
      <c r="A190" s="135" t="n">
        <v>0.2</v>
      </c>
      <c r="B190" s="136" t="s">
        <v>435</v>
      </c>
      <c r="C190" s="137" t="s">
        <v>450</v>
      </c>
      <c r="D190" s="77" t="str">
        <f aca="false">IFERROR(IF('RC Recover'!P18="⏳ Complete rating and target to generate recommendation.","⏳ Rate this control in the domain sheet to auto-generate.",'RC Recover'!P18),"—")</f>
        <v>Standardise Recovery Metrics — RTO/RPO Achievement Tracking: formalise all documentation, apply the control consistently across all in-scope assets, close remaining coverage gaps, and ensure evidence is collected routinely. Exceptions must be formally managed with named owners and defined expiry dates.</v>
      </c>
      <c r="E190" s="77" t="s">
        <v>238</v>
      </c>
      <c r="F190" s="77" t="s">
        <v>246</v>
      </c>
      <c r="G190" s="139" t="s">
        <v>284</v>
      </c>
      <c r="H190" s="76" t="s">
        <v>241</v>
      </c>
      <c r="I190" s="77"/>
      <c r="J190" s="145" t="n">
        <v>3000</v>
      </c>
      <c r="K190" s="146"/>
      <c r="L190" s="146"/>
      <c r="M190" s="146"/>
      <c r="N190" s="141" t="n">
        <f aca="false">IFERROR(SUM(J190,K190,M190),0)</f>
        <v>3000</v>
      </c>
      <c r="O190" s="141" t="n">
        <f aca="false">IFERROR(SUM(L190),0)</f>
        <v>0</v>
      </c>
      <c r="P190" s="142" t="s">
        <v>242</v>
      </c>
    </row>
    <row r="191" customFormat="false" ht="21.75" hidden="false" customHeight="true" outlineLevel="0" collapsed="false">
      <c r="A191" s="127" t="n">
        <v>0</v>
      </c>
      <c r="B191" s="128" t="s">
        <v>435</v>
      </c>
      <c r="C191" s="129" t="s">
        <v>451</v>
      </c>
      <c r="D191" s="71" t="str">
        <f aca="false">IFERROR(IF('RC Recover'!P19="⏳ Complete rating and target to generate recommendation.","⏳ Rate this control in the domain sheet to auto-generate.",'RC Recover'!P19),"—")</f>
        <v>⏳ Rate this control in the domain sheet to auto-generate.</v>
      </c>
      <c r="E191" s="71"/>
      <c r="F191" s="71"/>
      <c r="G191" s="131" t="s">
        <v>284</v>
      </c>
      <c r="H191" s="70" t="s">
        <v>272</v>
      </c>
      <c r="I191" s="71"/>
      <c r="J191" s="143"/>
      <c r="K191" s="144"/>
      <c r="L191" s="144"/>
      <c r="M191" s="144"/>
      <c r="N191" s="133" t="n">
        <f aca="false">IFERROR(SUM(J191,K191,M191),0)</f>
        <v>0</v>
      </c>
      <c r="O191" s="133" t="n">
        <f aca="false">IFERROR(SUM(L191),0)</f>
        <v>0</v>
      </c>
      <c r="P191" s="134" t="s">
        <v>273</v>
      </c>
    </row>
    <row r="192" customFormat="false" ht="21.75" hidden="false" customHeight="true" outlineLevel="0" collapsed="false">
      <c r="A192" s="135" t="n">
        <v>0.2</v>
      </c>
      <c r="B192" s="136" t="s">
        <v>435</v>
      </c>
      <c r="C192" s="137" t="s">
        <v>452</v>
      </c>
      <c r="D192" s="77" t="str">
        <f aca="false">IFERROR(IF('RC Recover'!P20="⏳ Complete rating and target to generate recommendation.","⏳ Rate this control in the domain sheet to auto-generate.",'RC Recover'!P20),"—")</f>
        <v>Standardise Supplier Resilience Assessment: formalise all documentation, apply the control consistently across all in-scope assets, close remaining coverage gaps, and ensure evidence is collected routinely. Exceptions must be formally managed with named owners and defined expiry dates.</v>
      </c>
      <c r="E192" s="77" t="s">
        <v>238</v>
      </c>
      <c r="F192" s="77" t="s">
        <v>246</v>
      </c>
      <c r="G192" s="139" t="s">
        <v>261</v>
      </c>
      <c r="H192" s="76" t="s">
        <v>241</v>
      </c>
      <c r="I192" s="77"/>
      <c r="J192" s="145" t="n">
        <v>3000</v>
      </c>
      <c r="K192" s="146"/>
      <c r="L192" s="146"/>
      <c r="M192" s="146"/>
      <c r="N192" s="141" t="n">
        <f aca="false">IFERROR(SUM(J192,K192,M192),0)</f>
        <v>3000</v>
      </c>
      <c r="O192" s="141" t="n">
        <f aca="false">IFERROR(SUM(L192),0)</f>
        <v>0</v>
      </c>
      <c r="P192" s="142" t="s">
        <v>242</v>
      </c>
    </row>
    <row r="194" customFormat="false" ht="21.75" hidden="false" customHeight="true" outlineLevel="0" collapsed="false">
      <c r="A194" s="148" t="s">
        <v>453</v>
      </c>
      <c r="B194" s="148"/>
      <c r="C194" s="148"/>
      <c r="D194" s="149" t="s">
        <v>454</v>
      </c>
      <c r="E194" s="149" t="s">
        <v>455</v>
      </c>
      <c r="F194" s="149" t="s">
        <v>456</v>
      </c>
      <c r="G194" s="149" t="s">
        <v>457</v>
      </c>
      <c r="H194" s="150" t="n">
        <f aca="false">SUM(J5:J32)</f>
        <v>80250</v>
      </c>
      <c r="I194" s="150" t="n">
        <f aca="false">SUM(K5:K32)</f>
        <v>45000</v>
      </c>
      <c r="J194" s="150" t="n">
        <f aca="false">SUM(L5:L32)</f>
        <v>0</v>
      </c>
      <c r="K194" s="150" t="n">
        <f aca="false">SUM(M5:M32)</f>
        <v>0</v>
      </c>
      <c r="L194" s="150" t="n">
        <f aca="false">SUM(N5:N32)</f>
        <v>125250</v>
      </c>
      <c r="M194" s="150" t="n">
        <f aca="false">SUM(O5:O32)</f>
        <v>0</v>
      </c>
      <c r="N194" s="151"/>
      <c r="O194" s="151"/>
      <c r="P194" s="151"/>
    </row>
    <row r="195" customFormat="false" ht="21.75" hidden="false" customHeight="true" outlineLevel="0" collapsed="false">
      <c r="A195" s="148" t="s">
        <v>458</v>
      </c>
      <c r="B195" s="148"/>
      <c r="C195" s="148"/>
      <c r="D195" s="149" t="s">
        <v>454</v>
      </c>
      <c r="E195" s="149" t="s">
        <v>455</v>
      </c>
      <c r="F195" s="149" t="s">
        <v>456</v>
      </c>
      <c r="G195" s="149" t="s">
        <v>457</v>
      </c>
      <c r="H195" s="150" t="n">
        <f aca="false">SUM(J33:J54)</f>
        <v>59250</v>
      </c>
      <c r="I195" s="150" t="n">
        <f aca="false">SUM(K33:K54)</f>
        <v>95000</v>
      </c>
      <c r="J195" s="150" t="n">
        <f aca="false">SUM(L33:L54)</f>
        <v>0</v>
      </c>
      <c r="K195" s="150" t="n">
        <f aca="false">SUM(M33:M54)</f>
        <v>18000</v>
      </c>
      <c r="L195" s="150" t="n">
        <f aca="false">SUM(N33:N54)</f>
        <v>172250</v>
      </c>
      <c r="M195" s="150" t="n">
        <f aca="false">SUM(O33:O54)</f>
        <v>0</v>
      </c>
      <c r="N195" s="151"/>
      <c r="O195" s="151"/>
      <c r="P195" s="151"/>
    </row>
    <row r="196" customFormat="false" ht="21.75" hidden="false" customHeight="true" outlineLevel="0" collapsed="false">
      <c r="A196" s="148" t="s">
        <v>459</v>
      </c>
      <c r="B196" s="148"/>
      <c r="C196" s="148"/>
      <c r="D196" s="149" t="s">
        <v>454</v>
      </c>
      <c r="E196" s="149" t="s">
        <v>455</v>
      </c>
      <c r="F196" s="149" t="s">
        <v>456</v>
      </c>
      <c r="G196" s="149" t="s">
        <v>457</v>
      </c>
      <c r="H196" s="150" t="n">
        <f aca="false">SUM(J55:J137)</f>
        <v>226750</v>
      </c>
      <c r="I196" s="150" t="n">
        <f aca="false">SUM(K55:K137)</f>
        <v>55000</v>
      </c>
      <c r="J196" s="150" t="n">
        <f aca="false">SUM(L55:L137)</f>
        <v>0</v>
      </c>
      <c r="K196" s="150" t="n">
        <f aca="false">SUM(M55:M137)</f>
        <v>112000</v>
      </c>
      <c r="L196" s="150" t="n">
        <f aca="false">SUM(N55:N137)</f>
        <v>393750</v>
      </c>
      <c r="M196" s="150" t="n">
        <f aca="false">SUM(O55:O137)</f>
        <v>0</v>
      </c>
      <c r="N196" s="151"/>
      <c r="O196" s="151"/>
      <c r="P196" s="151"/>
    </row>
    <row r="197" customFormat="false" ht="21.75" hidden="false" customHeight="true" outlineLevel="0" collapsed="false">
      <c r="A197" s="148" t="s">
        <v>460</v>
      </c>
      <c r="B197" s="148"/>
      <c r="C197" s="148"/>
      <c r="D197" s="149" t="s">
        <v>454</v>
      </c>
      <c r="E197" s="149" t="s">
        <v>455</v>
      </c>
      <c r="F197" s="149" t="s">
        <v>456</v>
      </c>
      <c r="G197" s="149" t="s">
        <v>457</v>
      </c>
      <c r="H197" s="150" t="n">
        <f aca="false">SUM(J138:J159)</f>
        <v>64250</v>
      </c>
      <c r="I197" s="150" t="n">
        <f aca="false">SUM(K138:K159)</f>
        <v>0</v>
      </c>
      <c r="J197" s="150" t="n">
        <f aca="false">SUM(L138:L159)</f>
        <v>36000</v>
      </c>
      <c r="K197" s="150" t="n">
        <f aca="false">SUM(M138:M159)</f>
        <v>138000</v>
      </c>
      <c r="L197" s="150" t="n">
        <f aca="false">SUM(N138:N159)</f>
        <v>202250</v>
      </c>
      <c r="M197" s="150" t="n">
        <f aca="false">SUM(O138:O159)</f>
        <v>36000</v>
      </c>
      <c r="N197" s="151"/>
      <c r="O197" s="151"/>
      <c r="P197" s="151"/>
    </row>
    <row r="198" customFormat="false" ht="21.75" hidden="false" customHeight="true" outlineLevel="0" collapsed="false">
      <c r="A198" s="148" t="s">
        <v>461</v>
      </c>
      <c r="B198" s="148"/>
      <c r="C198" s="148"/>
      <c r="D198" s="149" t="s">
        <v>454</v>
      </c>
      <c r="E198" s="149" t="s">
        <v>455</v>
      </c>
      <c r="F198" s="149" t="s">
        <v>456</v>
      </c>
      <c r="G198" s="149" t="s">
        <v>457</v>
      </c>
      <c r="H198" s="150" t="n">
        <f aca="false">SUM(J160:J175)</f>
        <v>35000</v>
      </c>
      <c r="I198" s="150" t="n">
        <f aca="false">SUM(K160:K175)</f>
        <v>0</v>
      </c>
      <c r="J198" s="150" t="n">
        <f aca="false">SUM(L160:L175)</f>
        <v>0</v>
      </c>
      <c r="K198" s="150" t="n">
        <f aca="false">SUM(M160:M175)</f>
        <v>0</v>
      </c>
      <c r="L198" s="150" t="n">
        <f aca="false">SUM(N160:N175)</f>
        <v>35000</v>
      </c>
      <c r="M198" s="150" t="n">
        <f aca="false">SUM(O160:O175)</f>
        <v>0</v>
      </c>
      <c r="N198" s="151"/>
      <c r="O198" s="151"/>
      <c r="P198" s="151"/>
    </row>
    <row r="199" customFormat="false" ht="21.75" hidden="false" customHeight="true" outlineLevel="0" collapsed="false">
      <c r="A199" s="148" t="s">
        <v>462</v>
      </c>
      <c r="B199" s="148"/>
      <c r="C199" s="148"/>
      <c r="D199" s="149" t="s">
        <v>454</v>
      </c>
      <c r="E199" s="149" t="s">
        <v>455</v>
      </c>
      <c r="F199" s="149" t="s">
        <v>456</v>
      </c>
      <c r="G199" s="149" t="s">
        <v>457</v>
      </c>
      <c r="H199" s="150" t="n">
        <f aca="false">SUM(J176:J192)</f>
        <v>49250</v>
      </c>
      <c r="I199" s="150" t="n">
        <f aca="false">SUM(K176:K192)</f>
        <v>28000</v>
      </c>
      <c r="J199" s="150" t="n">
        <f aca="false">SUM(L176:L192)</f>
        <v>0</v>
      </c>
      <c r="K199" s="150" t="n">
        <f aca="false">SUM(M176:M192)</f>
        <v>0</v>
      </c>
      <c r="L199" s="150" t="n">
        <f aca="false">SUM(N176:N192)</f>
        <v>77250</v>
      </c>
      <c r="M199" s="150" t="n">
        <f aca="false">SUM(O176:O192)</f>
        <v>0</v>
      </c>
      <c r="N199" s="151"/>
      <c r="O199" s="151"/>
      <c r="P199" s="151"/>
    </row>
    <row r="201" customFormat="false" ht="27.75" hidden="false" customHeight="true" outlineLevel="0" collapsed="false">
      <c r="A201" s="62" t="s">
        <v>463</v>
      </c>
      <c r="B201" s="62"/>
      <c r="C201" s="62"/>
      <c r="D201" s="152" t="s">
        <v>464</v>
      </c>
      <c r="E201" s="152" t="s">
        <v>465</v>
      </c>
      <c r="F201" s="152" t="s">
        <v>466</v>
      </c>
      <c r="G201" s="152" t="s">
        <v>467</v>
      </c>
      <c r="H201" s="153" t="n">
        <f aca="false">SUM(J5:J192)</f>
        <v>514750</v>
      </c>
      <c r="I201" s="153" t="n">
        <f aca="false">SUM(K5:K192)</f>
        <v>223000</v>
      </c>
      <c r="J201" s="153" t="n">
        <f aca="false">SUM(L5:L192)</f>
        <v>36000</v>
      </c>
      <c r="K201" s="153" t="n">
        <f aca="false">SUM(M5:M192)</f>
        <v>268000</v>
      </c>
      <c r="L201" s="153" t="n">
        <f aca="false">SUM(N5:N192)</f>
        <v>1005750</v>
      </c>
      <c r="M201" s="153" t="n">
        <f aca="false">SUM(O5:O192)</f>
        <v>36000</v>
      </c>
      <c r="N201" s="88"/>
      <c r="O201" s="88"/>
      <c r="P201" s="88"/>
    </row>
  </sheetData>
  <mergeCells count="12">
    <mergeCell ref="A1:P1"/>
    <mergeCell ref="A2:P2"/>
    <mergeCell ref="A3:H3"/>
    <mergeCell ref="J3:M3"/>
    <mergeCell ref="N3:O3"/>
    <mergeCell ref="A194:C194"/>
    <mergeCell ref="A195:C195"/>
    <mergeCell ref="A196:C196"/>
    <mergeCell ref="A197:C197"/>
    <mergeCell ref="A198:C198"/>
    <mergeCell ref="A199:C199"/>
    <mergeCell ref="A201:C201"/>
  </mergeCells>
  <dataValidations count="3">
    <dataValidation allowBlank="true" errorStyle="stop" operator="between" prompt="Select the target quarter for completing this improvement action." promptTitle="Target Quarter" showDropDown="false" showErrorMessage="false" showInputMessage="true" sqref="F5:F192" type="list">
      <formula1>"Q1 2026,Q2 2026,Q3 2026,Q4 2026,Q1 2027,Q2 2027,Q3 2027,Q4 2027"</formula1>
      <formula2>0</formula2>
    </dataValidation>
    <dataValidation allowBlank="true" errorStyle="stop" operator="between" prompt="Select the estimated implementation effort for this control improvement." promptTitle="Effort Estimate" showDropDown="false" showErrorMessage="false" showInputMessage="true" sqref="E5:E192" type="list">
      <formula1>"Low (&lt; 1 week),Medium (1-4 weeks),High (1-3 months),Very High (3+ months)"</formula1>
      <formula2>0</formula2>
    </dataValidation>
    <dataValidation allowBlank="true" errorStyle="stop" operator="between" prompt="Select the current implementation status." promptTitle="Status" showDropDown="false" showErrorMessage="false" showInputMessage="true" sqref="H5:H192" type="list">
      <formula1>"Not Started,In Progress,Completed,Deferred"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6B"/>
    <pageSetUpPr fitToPage="false"/>
  </sheetPr>
  <dimension ref="A1:T43"/>
  <sheetViews>
    <sheetView showFormulas="false" showGridLines="false" showRowColHeaders="true" showZeros="true" rightToLeft="false" tabSelected="false" showOutlineSymbols="true" defaultGridColor="true" view="normal" topLeftCell="G1" colorId="64" zoomScale="88" zoomScaleNormal="88" zoomScalePageLayoutView="100" workbookViewId="0">
      <pane xSplit="0" ySplit="3" topLeftCell="A31" activePane="bottomLeft" state="frozen"/>
      <selection pane="topLeft" activeCell="G1" activeCellId="0" sqref="G1"/>
      <selection pane="bottomLeft" activeCell="Q25" activeCellId="0" sqref="Q25"/>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36"/>
    <col collapsed="false" customWidth="true" hidden="false" outlineLevel="0" max="4" min="4" style="1" width="46"/>
    <col collapsed="false" customWidth="true" hidden="false" outlineLevel="0" max="5" min="5" style="1" width="48"/>
    <col collapsed="false" customWidth="true" hidden="false" outlineLevel="0" max="6" min="6" style="1" width="36"/>
    <col collapsed="false" customWidth="true" hidden="false" outlineLevel="0" max="7" min="7" style="1" width="14"/>
    <col collapsed="false" customWidth="true" hidden="false" outlineLevel="0" max="9" min="8" style="1" width="13"/>
    <col collapsed="false" customWidth="true" hidden="false" outlineLevel="0" max="10" min="10" style="1" width="8"/>
    <col collapsed="false" customWidth="true" hidden="false" outlineLevel="0" max="11" min="11" style="1" width="30"/>
    <col collapsed="false" customWidth="true" hidden="false" outlineLevel="0" max="12" min="12" style="1" width="10"/>
    <col collapsed="false" customWidth="true" hidden="false" outlineLevel="0" max="13" min="13" style="1" width="8"/>
    <col collapsed="false" customWidth="true" hidden="false" outlineLevel="0" max="14" min="14" style="1" width="52"/>
    <col collapsed="false" customWidth="true" hidden="false" outlineLevel="0" max="15" min="15" style="1" width="16"/>
    <col collapsed="false" customWidth="true" hidden="false" outlineLevel="0" max="16" min="16" style="1" width="50"/>
    <col collapsed="false" customWidth="true" hidden="false" outlineLevel="0" max="17" min="17" style="1" width="38"/>
    <col collapsed="false" customWidth="true" hidden="false" outlineLevel="0" max="18" min="18" style="1" width="14"/>
    <col collapsed="false" customWidth="true" hidden="false" outlineLevel="0" max="19" min="19" style="1" width="12"/>
    <col collapsed="false" customWidth="true" hidden="true" outlineLevel="0" max="20" min="20" style="1" width="4"/>
  </cols>
  <sheetData>
    <row r="1" customFormat="false" ht="49.5" hidden="false" customHeight="true" outlineLevel="0" collapsed="false">
      <c r="A1" s="154" t="s">
        <v>468</v>
      </c>
      <c r="B1" s="154"/>
      <c r="C1" s="154"/>
      <c r="D1" s="154"/>
      <c r="E1" s="154"/>
      <c r="F1" s="154"/>
      <c r="G1" s="154"/>
      <c r="H1" s="154"/>
      <c r="I1" s="154"/>
      <c r="J1" s="154"/>
      <c r="K1" s="154"/>
      <c r="L1" s="154"/>
      <c r="M1" s="154"/>
      <c r="N1" s="154"/>
      <c r="O1" s="154"/>
      <c r="P1" s="154"/>
      <c r="Q1" s="154"/>
      <c r="R1" s="154"/>
      <c r="S1" s="154"/>
      <c r="T1" s="155"/>
    </row>
    <row r="2" customFormat="false" ht="24" hidden="false" customHeight="true" outlineLevel="0" collapsed="false">
      <c r="A2" s="156"/>
      <c r="B2" s="157" t="s">
        <v>469</v>
      </c>
      <c r="C2" s="157"/>
      <c r="D2" s="157"/>
      <c r="E2" s="157"/>
      <c r="F2" s="157"/>
      <c r="G2" s="157"/>
      <c r="H2" s="156"/>
      <c r="I2" s="158" t="s">
        <v>470</v>
      </c>
      <c r="J2" s="159" t="n">
        <f aca="false">IFERROR(AVERAGEIFS(J4:J31,T4:T31,"✅ Applicable"),"—")</f>
        <v>1.14814814814815</v>
      </c>
      <c r="K2" s="158" t="s">
        <v>471</v>
      </c>
      <c r="L2" s="160" t="n">
        <f aca="false">IFERROR(AVERAGEIFS(L4:L31,T4:T31,"✅ Applicable"),"—")</f>
        <v>3.37037037037037</v>
      </c>
      <c r="M2" s="158" t="s">
        <v>472</v>
      </c>
      <c r="N2" s="161" t="str">
        <f aca="false">IFERROR(COUNTIFS(J4:J31,"&lt;&gt;",T4:T31,"✅ Applicable")&amp;" / "&amp;COUNTIF(T4:T31,"✅ Applicable")&amp;" applicable","—")</f>
        <v>27 / 27 applicable</v>
      </c>
      <c r="O2" s="161"/>
      <c r="P2" s="158" t="s">
        <v>473</v>
      </c>
      <c r="Q2" s="162" t="str">
        <f aca="false">COUNTIF(T4:T31,"⬛ Auto-Excluded")&amp;" controls (scoping)"</f>
        <v>0 controls (scoping)</v>
      </c>
      <c r="R2" s="162"/>
      <c r="S2" s="162"/>
      <c r="T2" s="155"/>
    </row>
    <row r="3" customFormat="false" ht="45" hidden="false" customHeight="true" outlineLevel="0" collapsed="false">
      <c r="A3" s="163" t="s">
        <v>474</v>
      </c>
      <c r="B3" s="163" t="s">
        <v>23</v>
      </c>
      <c r="C3" s="163" t="s">
        <v>229</v>
      </c>
      <c r="D3" s="163" t="s">
        <v>475</v>
      </c>
      <c r="E3" s="163" t="s">
        <v>476</v>
      </c>
      <c r="F3" s="163" t="s">
        <v>477</v>
      </c>
      <c r="G3" s="163" t="s">
        <v>478</v>
      </c>
      <c r="H3" s="163" t="s">
        <v>479</v>
      </c>
      <c r="I3" s="163" t="s">
        <v>480</v>
      </c>
      <c r="J3" s="163" t="s">
        <v>481</v>
      </c>
      <c r="K3" s="163" t="s">
        <v>482</v>
      </c>
      <c r="L3" s="163" t="s">
        <v>483</v>
      </c>
      <c r="M3" s="163" t="s">
        <v>142</v>
      </c>
      <c r="N3" s="163" t="s">
        <v>484</v>
      </c>
      <c r="O3" s="163" t="s">
        <v>485</v>
      </c>
      <c r="P3" s="163" t="s">
        <v>486</v>
      </c>
      <c r="Q3" s="163" t="s">
        <v>487</v>
      </c>
      <c r="R3" s="163" t="s">
        <v>233</v>
      </c>
      <c r="S3" s="163" t="s">
        <v>488</v>
      </c>
      <c r="T3" s="163" t="s">
        <v>489</v>
      </c>
    </row>
    <row r="4" customFormat="false" ht="69.75" hidden="false" customHeight="true" outlineLevel="0" collapsed="false">
      <c r="A4" s="104" t="n">
        <v>1</v>
      </c>
      <c r="B4" s="164" t="s">
        <v>490</v>
      </c>
      <c r="C4" s="165" t="s">
        <v>237</v>
      </c>
      <c r="D4" s="165" t="s">
        <v>491</v>
      </c>
      <c r="E4" s="165" t="s">
        <v>492</v>
      </c>
      <c r="F4" s="166" t="s">
        <v>493</v>
      </c>
      <c r="G4" s="167" t="s">
        <v>494</v>
      </c>
      <c r="H4" s="168" t="str">
        <f aca="false">HYPERLINK("#'📎 Evidence Register'!C6","ER-001  →  Row 6")</f>
        <v>ER-001  →  Row 6</v>
      </c>
      <c r="I4" s="169" t="s">
        <v>495</v>
      </c>
      <c r="J4" s="170" t="n">
        <f aca="false">IF(I4="","",IF(LEFT(I4,2)="L1",1,IF(LEFT(I4,2)="L2",2,IF(LEFT(I4,2)="L3",3,IF(LEFT(I4,2)="L4",4,IF(LEFT(I4,2)="L5",5,""))))))</f>
        <v>1</v>
      </c>
      <c r="K4" s="171" t="s">
        <v>496</v>
      </c>
      <c r="L4" s="172" t="n">
        <f aca="false">IF(K4="","",IF(LEFT(K4,2)="L1",1,IF(LEFT(K4,2)="L2",2,IF(LEFT(K4,2)="L3",3,IF(LEFT(K4,2)="L4",4,IF(LEFT(K4,2)="L5",5,""))))))</f>
        <v>3</v>
      </c>
      <c r="M4" s="173" t="n">
        <f aca="false">IFERROR(IF(OR(J4="",L4=""),"—",L4-J4),"—")</f>
        <v>2</v>
      </c>
      <c r="N4" s="174" t="str">
        <f aca="false">IFERROR(IF(I4="","⏳ Select a maturity rating to see the level description for this specific control.",INDEX(_DV!$1:$5,MATCH(LEFT(I4,2),{"L1","L2","L3","L4","L5"},0),1)),"⏳ Select a maturity rating.")</f>
        <v>L1 — Initial: CISO / Security Leadership is absent or ad hoc. No formal process, no documentation, no named owner. Controls exist only reactively after incidents.</v>
      </c>
      <c r="O4" s="108" t="str">
        <f aca="false">IF(S4="Exclude","⬛ Not Applicable",IF(T4="⬛ Auto-Excluded","⬛ Not Applicable",IF(I4="","✅ Applicable",IF(J4=1,"🔴 Critical",IF(J4=2,"🟠 Developing",IF(J4=3,"🟡 Defined",IF(J4&gt;=4,"🟢 Managed","✅ Applicable")))))))</f>
        <v>🔴 Critical</v>
      </c>
      <c r="P4" s="164" t="str">
        <f aca="false">IF(OR(J4="",L4=""),"⏳ Complete rating and target to generate recommendation.",IF(L4&lt;=J4,"✅ Target met — sustain evidence and raise target when programme allows.",IFERROR(INDEX(_REC!$B:$B,MATCH(A4&amp;"|"&amp;IF(L4="","",LEFT(TEXT(L4,"0"),1)),_REC!$A:$A,0)),"Recommendation pending — check _REC data.")))</f>
        <v>Standardise CISO / Security Leadership: formalise all documentation, apply the control consistently across all in-scope assets, close remaining coverage gaps, and ensure evidence is collected routinely. Exceptions must be formally managed with named owners and defined expiry dates.</v>
      </c>
      <c r="Q4" s="175" t="s">
        <v>497</v>
      </c>
      <c r="R4" s="176" t="s">
        <v>240</v>
      </c>
      <c r="S4" s="177" t="s">
        <v>498</v>
      </c>
      <c r="T4" s="178" t="str">
        <f aca="false">IF(S4="Exclude","⬛ Excluded",IF(S4="Apply","✅ Applicable","✅ Applicable"))</f>
        <v>✅ Applicable</v>
      </c>
    </row>
    <row r="5" customFormat="false" ht="69.75" hidden="false" customHeight="true" outlineLevel="0" collapsed="false">
      <c r="A5" s="104" t="n">
        <v>2</v>
      </c>
      <c r="B5" s="179" t="s">
        <v>490</v>
      </c>
      <c r="C5" s="180" t="s">
        <v>243</v>
      </c>
      <c r="D5" s="180" t="s">
        <v>499</v>
      </c>
      <c r="E5" s="180" t="s">
        <v>500</v>
      </c>
      <c r="F5" s="181" t="s">
        <v>501</v>
      </c>
      <c r="G5" s="182" t="s">
        <v>502</v>
      </c>
      <c r="H5" s="183" t="str">
        <f aca="false">HYPERLINK("#'📎 Evidence Register'!C7","ER-002  →  Row 7")</f>
        <v>ER-002  →  Row 7</v>
      </c>
      <c r="I5" s="169" t="s">
        <v>495</v>
      </c>
      <c r="J5" s="184" t="n">
        <f aca="false">IF(I5="","",IF(LEFT(I5,2)="L1",1,IF(LEFT(I5,2)="L2",2,IF(LEFT(I5,2)="L3",3,IF(LEFT(I5,2)="L4",4,IF(LEFT(I5,2)="L5",5,""))))))</f>
        <v>1</v>
      </c>
      <c r="K5" s="185" t="s">
        <v>496</v>
      </c>
      <c r="L5" s="186" t="n">
        <f aca="false">IF(K5="","",IF(LEFT(K5,2)="L1",1,IF(LEFT(K5,2)="L2",2,IF(LEFT(K5,2)="L3",3,IF(LEFT(K5,2)="L4",4,IF(LEFT(K5,2)="L5",5,""))))))</f>
        <v>3</v>
      </c>
      <c r="M5" s="187" t="n">
        <f aca="false">IFERROR(IF(OR(J5="",L5=""),"—",L5-J5),"—")</f>
        <v>2</v>
      </c>
      <c r="N5" s="188" t="str">
        <f aca="false">IFERROR(IF(I5="","⏳ Select a maturity rating to see the level description for this specific control.",INDEX(_DV!$1:$5,MATCH(LEFT(I5,2),{"L1","L2","L3","L4","L5"},0),2)),"⏳ Select a maturity rating.")</f>
        <v>L1 — Initial: Cybersecurity Strategy &amp; Programme is absent or ad hoc. No formal process, no documentation, no named owner. Controls exist only reactively after incidents.</v>
      </c>
      <c r="O5" s="113" t="str">
        <f aca="false">IF(S5="Exclude","⬛ Not Applicable",IF(T5="⬛ Auto-Excluded","⬛ Not Applicable",IF(I5="","✅ Applicable",IF(J5=1,"🔴 Critical",IF(J5=2,"🟠 Developing",IF(J5=3,"🟡 Defined",IF(J5&gt;=4,"🟢 Managed","✅ Applicable")))))))</f>
        <v>🔴 Critical</v>
      </c>
      <c r="P5" s="179" t="str">
        <f aca="false">IF(OR(J5="",L5=""),"⏳ Complete rating and target to generate recommendation.",IF(L5&lt;=J5,"✅ Target met — sustain evidence and raise target when programme allows.",IFERROR(INDEX(_REC!$B:$B,MATCH(A5&amp;"|"&amp;IF(L5="","",LEFT(TEXT(L5,"0"),1)),_REC!$A:$A,0)),"Recommendation pending — check _REC data.")))</f>
        <v>Standardise Cybersecurity Strategy &amp; Programme: formalise all documentation, apply the control consistently across all in-scope assets, close remaining coverage gaps, and ensure evidence is collected routinely. Exceptions must be formally managed with named owners and defined expiry dates.</v>
      </c>
      <c r="Q5" s="189" t="s">
        <v>503</v>
      </c>
      <c r="R5" s="190" t="s">
        <v>240</v>
      </c>
      <c r="S5" s="177"/>
      <c r="T5" s="191" t="str">
        <f aca="false">IF(S5="Exclude","⬛ Excluded",IF(S5="Apply","✅ Applicable","✅ Applicable"))</f>
        <v>✅ Applicable</v>
      </c>
    </row>
    <row r="6" customFormat="false" ht="69.75" hidden="false" customHeight="true" outlineLevel="0" collapsed="false">
      <c r="A6" s="104" t="n">
        <v>3</v>
      </c>
      <c r="B6" s="164" t="s">
        <v>490</v>
      </c>
      <c r="C6" s="165" t="s">
        <v>244</v>
      </c>
      <c r="D6" s="165" t="s">
        <v>504</v>
      </c>
      <c r="E6" s="165" t="s">
        <v>505</v>
      </c>
      <c r="F6" s="166" t="s">
        <v>506</v>
      </c>
      <c r="G6" s="167" t="s">
        <v>507</v>
      </c>
      <c r="H6" s="168" t="str">
        <f aca="false">HYPERLINK("#'📎 Evidence Register'!C8","ER-003  →  Row 8")</f>
        <v>ER-003  →  Row 8</v>
      </c>
      <c r="I6" s="169" t="s">
        <v>508</v>
      </c>
      <c r="J6" s="170" t="n">
        <f aca="false">IF(I6="","",IF(LEFT(I6,2)="L1",1,IF(LEFT(I6,2)="L2",2,IF(LEFT(I6,2)="L3",3,IF(LEFT(I6,2)="L4",4,IF(LEFT(I6,2)="L5",5,""))))))</f>
        <v>2</v>
      </c>
      <c r="K6" s="171" t="s">
        <v>496</v>
      </c>
      <c r="L6" s="172" t="n">
        <f aca="false">IF(K6="","",IF(LEFT(K6,2)="L1",1,IF(LEFT(K6,2)="L2",2,IF(LEFT(K6,2)="L3",3,IF(LEFT(K6,2)="L4",4,IF(LEFT(K6,2)="L5",5,""))))))</f>
        <v>3</v>
      </c>
      <c r="M6" s="173" t="n">
        <f aca="false">IFERROR(IF(OR(J6="",L6=""),"—",L6-J6),"—")</f>
        <v>1</v>
      </c>
      <c r="N6" s="174" t="str">
        <f aca="false">IFERROR(IF(I6="","⏳ Select a maturity rating to see the level description for this specific control.",INDEX(_DV!$1:$5,MATCH(LEFT(I6,2),{"L1","L2","L3","L4","L5"},0),3)),"⏳ Select a maturity rating.")</f>
        <v>L2 — Developing: Cyber Budget &amp; Investment Model has basic controls in place but coverage is incomplete and execution is manual. Not consistently applied across all in-scope assets. Formal governance is absent.</v>
      </c>
      <c r="O6" s="108" t="str">
        <f aca="false">IF(S6="Exclude","⬛ Not Applicable",IF(T6="⬛ Auto-Excluded","⬛ Not Applicable",IF(I6="","✅ Applicable",IF(J6=1,"🔴 Critical",IF(J6=2,"🟠 Developing",IF(J6=3,"🟡 Defined",IF(J6&gt;=4,"🟢 Managed","✅ Applicable")))))))</f>
        <v>🟠 Developing</v>
      </c>
      <c r="P6" s="164" t="str">
        <f aca="false">IF(OR(J6="",L6=""),"⏳ Complete rating and target to generate recommendation.",IF(L6&lt;=J6,"✅ Target met — sustain evidence and raise target when programme allows.",IFERROR(INDEX(_REC!$B:$B,MATCH(A6&amp;"|"&amp;IF(L6="","",LEFT(TEXT(L6,"0"),1)),_REC!$A:$A,0)),"Recommendation pending — check _REC data.")))</f>
        <v>Standardise Cyber Budget &amp; Investment Model: formalise all documentation, apply the control consistently across all in-scope assets, close remaining coverage gaps, and ensure evidence is collected routinely. Exceptions must be formally managed with named owners and defined expiry dates.</v>
      </c>
      <c r="Q6" s="175" t="s">
        <v>509</v>
      </c>
      <c r="R6" s="176" t="s">
        <v>247</v>
      </c>
      <c r="S6" s="177"/>
      <c r="T6" s="178" t="str">
        <f aca="false">IF(S6="Exclude","⬛ Excluded",IF(S6="Apply","✅ Applicable","✅ Applicable"))</f>
        <v>✅ Applicable</v>
      </c>
    </row>
    <row r="7" customFormat="false" ht="69.75" hidden="false" customHeight="true" outlineLevel="0" collapsed="false">
      <c r="A7" s="104" t="n">
        <v>4</v>
      </c>
      <c r="B7" s="179" t="s">
        <v>490</v>
      </c>
      <c r="C7" s="180" t="s">
        <v>248</v>
      </c>
      <c r="D7" s="180" t="s">
        <v>510</v>
      </c>
      <c r="E7" s="180" t="s">
        <v>511</v>
      </c>
      <c r="F7" s="181" t="s">
        <v>512</v>
      </c>
      <c r="G7" s="182" t="s">
        <v>513</v>
      </c>
      <c r="H7" s="183" t="str">
        <f aca="false">HYPERLINK("#'📎 Evidence Register'!C9","ER-004  →  Row 9")</f>
        <v>ER-004  →  Row 9</v>
      </c>
      <c r="I7" s="169" t="s">
        <v>495</v>
      </c>
      <c r="J7" s="184" t="n">
        <f aca="false">IF(I7="","",IF(LEFT(I7,2)="L1",1,IF(LEFT(I7,2)="L2",2,IF(LEFT(I7,2)="L3",3,IF(LEFT(I7,2)="L4",4,IF(LEFT(I7,2)="L5",5,""))))))</f>
        <v>1</v>
      </c>
      <c r="K7" s="185" t="s">
        <v>496</v>
      </c>
      <c r="L7" s="186" t="n">
        <f aca="false">IF(K7="","",IF(LEFT(K7,2)="L1",1,IF(LEFT(K7,2)="L2",2,IF(LEFT(K7,2)="L3",3,IF(LEFT(K7,2)="L4",4,IF(LEFT(K7,2)="L5",5,""))))))</f>
        <v>3</v>
      </c>
      <c r="M7" s="187" t="n">
        <f aca="false">IFERROR(IF(OR(J7="",L7=""),"—",L7-J7),"—")</f>
        <v>2</v>
      </c>
      <c r="N7" s="188" t="str">
        <f aca="false">IFERROR(IF(I7="","⏳ Select a maturity rating to see the level description for this specific control.",INDEX(_DV!$1:$5,MATCH(LEFT(I7,2),{"L1","L2","L3","L4","L5"},0),4)),"⏳ Select a maturity rating.")</f>
        <v>L1 — Initial: Security Organisational Structure is absent or ad hoc. No formal process, no documentation, no named owner. Controls exist only reactively after incidents.</v>
      </c>
      <c r="O7" s="113" t="str">
        <f aca="false">IF(S7="Exclude","⬛ Not Applicable",IF(T7="⬛ Auto-Excluded","⬛ Not Applicable",IF(I7="","✅ Applicable",IF(J7=1,"🔴 Critical",IF(J7=2,"🟠 Developing",IF(J7=3,"🟡 Defined",IF(J7&gt;=4,"🟢 Managed","✅ Applicable")))))))</f>
        <v>🔴 Critical</v>
      </c>
      <c r="P7" s="179" t="str">
        <f aca="false">IF(OR(J7="",L7=""),"⏳ Complete rating and target to generate recommendation.",IF(L7&lt;=J7,"✅ Target met — sustain evidence and raise target when programme allows.",IFERROR(INDEX(_REC!$B:$B,MATCH(A7&amp;"|"&amp;IF(L7="","",LEFT(TEXT(L7,"0"),1)),_REC!$A:$A,0)),"Recommendation pending — check _REC data.")))</f>
        <v>Standardise Security Organisational Structure: formalise all documentation, apply the control consistently across all in-scope assets, close remaining coverage gaps, and ensure evidence is collected routinely. Exceptions must be formally managed with named owners and defined expiry dates.</v>
      </c>
      <c r="Q7" s="189" t="s">
        <v>514</v>
      </c>
      <c r="R7" s="190" t="s">
        <v>249</v>
      </c>
      <c r="S7" s="177"/>
      <c r="T7" s="191" t="str">
        <f aca="false">IF(S7="Exclude","⬛ Excluded",IF(S7="Apply","✅ Applicable","✅ Applicable"))</f>
        <v>✅ Applicable</v>
      </c>
    </row>
    <row r="8" customFormat="false" ht="69.75" hidden="false" customHeight="true" outlineLevel="0" collapsed="false">
      <c r="A8" s="104" t="n">
        <v>5</v>
      </c>
      <c r="B8" s="164" t="s">
        <v>490</v>
      </c>
      <c r="C8" s="165" t="s">
        <v>250</v>
      </c>
      <c r="D8" s="165" t="s">
        <v>515</v>
      </c>
      <c r="E8" s="165" t="s">
        <v>516</v>
      </c>
      <c r="F8" s="166" t="s">
        <v>517</v>
      </c>
      <c r="G8" s="167" t="s">
        <v>518</v>
      </c>
      <c r="H8" s="168" t="str">
        <f aca="false">HYPERLINK("#'📎 Evidence Register'!C10","ER-005  →  Row 10")</f>
        <v>ER-005  →  Row 10</v>
      </c>
      <c r="I8" s="169" t="s">
        <v>495</v>
      </c>
      <c r="J8" s="170" t="n">
        <f aca="false">IF(I8="","",IF(LEFT(I8,2)="L1",1,IF(LEFT(I8,2)="L2",2,IF(LEFT(I8,2)="L3",3,IF(LEFT(I8,2)="L4",4,IF(LEFT(I8,2)="L5",5,""))))))</f>
        <v>1</v>
      </c>
      <c r="K8" s="171" t="s">
        <v>496</v>
      </c>
      <c r="L8" s="172" t="n">
        <f aca="false">IF(K8="","",IF(LEFT(K8,2)="L1",1,IF(LEFT(K8,2)="L2",2,IF(LEFT(K8,2)="L3",3,IF(LEFT(K8,2)="L4",4,IF(LEFT(K8,2)="L5",5,""))))))</f>
        <v>3</v>
      </c>
      <c r="M8" s="173" t="n">
        <f aca="false">IFERROR(IF(OR(J8="",L8=""),"—",L8-J8),"—")</f>
        <v>2</v>
      </c>
      <c r="N8" s="174" t="str">
        <f aca="false">IFERROR(IF(I8="","⏳ Select a maturity rating to see the level description for this specific control.",INDEX(_DV!$1:$5,MATCH(LEFT(I8,2),{"L1","L2","L3","L4","L5"},0),5)),"⏳ Select a maturity rating.")</f>
        <v>L1 — Initial: Board-Level Cybersecurity Oversight is absent or ad hoc. No formal process, no documentation, no named owner. Controls exist only reactively after incidents.</v>
      </c>
      <c r="O8" s="108" t="str">
        <f aca="false">IF(S8="Exclude","⬛ Not Applicable",IF(T8="⬛ Auto-Excluded","⬛ Not Applicable",IF(I8="","✅ Applicable",IF(J8=1,"🔴 Critical",IF(J8=2,"🟠 Developing",IF(J8=3,"🟡 Defined",IF(J8&gt;=4,"🟢 Managed","✅ Applicable")))))))</f>
        <v>🔴 Critical</v>
      </c>
      <c r="P8" s="164" t="str">
        <f aca="false">IF(OR(J8="",L8=""),"⏳ Complete rating and target to generate recommendation.",IF(L8&lt;=J8,"✅ Target met — sustain evidence and raise target when programme allows.",IFERROR(INDEX(_REC!$B:$B,MATCH(A8&amp;"|"&amp;IF(L8="","",LEFT(TEXT(L8,"0"),1)),_REC!$A:$A,0)),"Recommendation pending — check _REC data.")))</f>
        <v>Standardise Board-Level Cybersecurity Oversight: formalise all documentation, apply the control consistently across all in-scope assets, close remaining coverage gaps, and ensure evidence is collected routinely. Exceptions must be formally managed with named owners and defined expiry dates.</v>
      </c>
      <c r="Q8" s="175" t="s">
        <v>519</v>
      </c>
      <c r="R8" s="176" t="s">
        <v>240</v>
      </c>
      <c r="S8" s="177"/>
      <c r="T8" s="178" t="str">
        <f aca="false">IF(S8="Exclude","⬛ Excluded",IF(S8="Apply","✅ Applicable","✅ Applicable"))</f>
        <v>✅ Applicable</v>
      </c>
    </row>
    <row r="9" customFormat="false" ht="69.75" hidden="false" customHeight="true" outlineLevel="0" collapsed="false">
      <c r="A9" s="104" t="n">
        <v>6</v>
      </c>
      <c r="B9" s="179" t="s">
        <v>520</v>
      </c>
      <c r="C9" s="180" t="s">
        <v>251</v>
      </c>
      <c r="D9" s="180" t="s">
        <v>521</v>
      </c>
      <c r="E9" s="180" t="s">
        <v>522</v>
      </c>
      <c r="F9" s="181" t="s">
        <v>523</v>
      </c>
      <c r="G9" s="182" t="s">
        <v>524</v>
      </c>
      <c r="H9" s="183" t="str">
        <f aca="false">HYPERLINK("#'📎 Evidence Register'!C11","ER-006  →  Row 11")</f>
        <v>ER-006  →  Row 11</v>
      </c>
      <c r="I9" s="169" t="s">
        <v>508</v>
      </c>
      <c r="J9" s="184" t="n">
        <f aca="false">IF(I9="","",IF(LEFT(I9,2)="L1",1,IF(LEFT(I9,2)="L2",2,IF(LEFT(I9,2)="L3",3,IF(LEFT(I9,2)="L4",4,IF(LEFT(I9,2)="L5",5,""))))))</f>
        <v>2</v>
      </c>
      <c r="K9" s="185" t="s">
        <v>496</v>
      </c>
      <c r="L9" s="186" t="n">
        <f aca="false">IF(K9="","",IF(LEFT(K9,2)="L1",1,IF(LEFT(K9,2)="L2",2,IF(LEFT(K9,2)="L3",3,IF(LEFT(K9,2)="L4",4,IF(LEFT(K9,2)="L5",5,""))))))</f>
        <v>3</v>
      </c>
      <c r="M9" s="187" t="n">
        <f aca="false">IFERROR(IF(OR(J9="",L9=""),"—",L9-J9),"—")</f>
        <v>1</v>
      </c>
      <c r="N9" s="188" t="str">
        <f aca="false">IFERROR(IF(I9="","⏳ Select a maturity rating to see the level description for this specific control.",INDEX(_DV!$1:$5,MATCH(LEFT(I9,2),{"L1","L2","L3","L4","L5"},0),6)),"⏳ Select a maturity rating.")</f>
        <v>L2 — Developing: Security Policy Framework &amp; Hierarchy has basic controls in place but coverage is incomplete and execution is manual. Not consistently applied across all in-scope assets. Formal governance is absent.</v>
      </c>
      <c r="O9" s="113" t="str">
        <f aca="false">IF(S9="Exclude","⬛ Not Applicable",IF(T9="⬛ Auto-Excluded","⬛ Not Applicable",IF(I9="","✅ Applicable",IF(J9=1,"🔴 Critical",IF(J9=2,"🟠 Developing",IF(J9=3,"🟡 Defined",IF(J9&gt;=4,"🟢 Managed","✅ Applicable")))))))</f>
        <v>🟠 Developing</v>
      </c>
      <c r="P9" s="179" t="str">
        <f aca="false">IF(OR(J9="",L9=""),"⏳ Complete rating and target to generate recommendation.",IF(L9&lt;=J9,"✅ Target met — sustain evidence and raise target when programme allows.",IFERROR(INDEX(_REC!$B:$B,MATCH(A9&amp;"|"&amp;IF(L9="","",LEFT(TEXT(L9,"0"),1)),_REC!$A:$A,0)),"Recommendation pending — check _REC data.")))</f>
        <v>Standardise Security Policy Framework &amp; Hierarchy: formalise all documentation, apply the control consistently across all in-scope assets, close remaining coverage gaps, and ensure evidence is collected routinely. Exceptions must be formally managed with named owners and defined expiry dates.</v>
      </c>
      <c r="Q9" s="189" t="s">
        <v>525</v>
      </c>
      <c r="R9" s="190" t="s">
        <v>252</v>
      </c>
      <c r="S9" s="177"/>
      <c r="T9" s="191" t="str">
        <f aca="false">IF(S9="Exclude","⬛ Excluded",IF(S9="Apply","✅ Applicable","✅ Applicable"))</f>
        <v>✅ Applicable</v>
      </c>
    </row>
    <row r="10" customFormat="false" ht="69.75" hidden="false" customHeight="true" outlineLevel="0" collapsed="false">
      <c r="A10" s="104" t="n">
        <v>7</v>
      </c>
      <c r="B10" s="164" t="s">
        <v>520</v>
      </c>
      <c r="C10" s="165" t="s">
        <v>253</v>
      </c>
      <c r="D10" s="165" t="s">
        <v>526</v>
      </c>
      <c r="E10" s="165" t="s">
        <v>527</v>
      </c>
      <c r="F10" s="166" t="s">
        <v>528</v>
      </c>
      <c r="G10" s="167" t="s">
        <v>529</v>
      </c>
      <c r="H10" s="168" t="str">
        <f aca="false">HYPERLINK("#'📎 Evidence Register'!C12","ER-007  →  Row 12")</f>
        <v>ER-007  →  Row 12</v>
      </c>
      <c r="I10" s="169" t="s">
        <v>508</v>
      </c>
      <c r="J10" s="170" t="n">
        <f aca="false">IF(I10="","",IF(LEFT(I10,2)="L1",1,IF(LEFT(I10,2)="L2",2,IF(LEFT(I10,2)="L3",3,IF(LEFT(I10,2)="L4",4,IF(LEFT(I10,2)="L5",5,""))))))</f>
        <v>2</v>
      </c>
      <c r="K10" s="171" t="s">
        <v>496</v>
      </c>
      <c r="L10" s="172" t="n">
        <f aca="false">IF(K10="","",IF(LEFT(K10,2)="L1",1,IF(LEFT(K10,2)="L2",2,IF(LEFT(K10,2)="L3",3,IF(LEFT(K10,2)="L4",4,IF(LEFT(K10,2)="L5",5,""))))))</f>
        <v>3</v>
      </c>
      <c r="M10" s="173" t="n">
        <f aca="false">IFERROR(IF(OR(J10="",L10=""),"—",L10-J10),"—")</f>
        <v>1</v>
      </c>
      <c r="N10" s="174" t="str">
        <f aca="false">IFERROR(IF(I10="","⏳ Select a maturity rating to see the level description for this specific control.",INDEX(_DV!$1:$5,MATCH(LEFT(I10,2),{"L1","L2","L3","L4","L5"},0),7)),"⏳ Select a maturity rating.")</f>
        <v>L2 — Developing: Policy Attestation &amp; Enforcement has basic controls in place but coverage is incomplete and execution is manual. Not consistently applied across all in-scope assets. Formal governance is absent.</v>
      </c>
      <c r="O10" s="108" t="str">
        <f aca="false">IF(S10="Exclude","⬛ Not Applicable",IF(T10="⬛ Auto-Excluded","⬛ Not Applicable",IF(I10="","✅ Applicable",IF(J10=1,"🔴 Critical",IF(J10=2,"🟠 Developing",IF(J10=3,"🟡 Defined",IF(J10&gt;=4,"🟢 Managed","✅ Applicable")))))))</f>
        <v>🟠 Developing</v>
      </c>
      <c r="P10" s="164" t="str">
        <f aca="false">IF(OR(J10="",L10=""),"⏳ Complete rating and target to generate recommendation.",IF(L10&lt;=J10,"✅ Target met — sustain evidence and raise target when programme allows.",IFERROR(INDEX(_REC!$B:$B,MATCH(A10&amp;"|"&amp;IF(L10="","",LEFT(TEXT(L10,"0"),1)),_REC!$A:$A,0)),"Recommendation pending — check _REC data.")))</f>
        <v>Standardise Policy Attestation &amp; Enforcement: formalise all documentation, apply the control consistently across all in-scope assets, close remaining coverage gaps, and ensure evidence is collected routinely. Exceptions must be formally managed with named owners and defined expiry dates.</v>
      </c>
      <c r="Q10" s="175" t="s">
        <v>530</v>
      </c>
      <c r="R10" s="176" t="s">
        <v>254</v>
      </c>
      <c r="S10" s="177"/>
      <c r="T10" s="178" t="str">
        <f aca="false">IF(S10="Exclude","⬛ Excluded",IF(S10="Apply","✅ Applicable","✅ Applicable"))</f>
        <v>✅ Applicable</v>
      </c>
    </row>
    <row r="11" customFormat="false" ht="69.75" hidden="false" customHeight="true" outlineLevel="0" collapsed="false">
      <c r="A11" s="104" t="n">
        <v>8</v>
      </c>
      <c r="B11" s="179" t="s">
        <v>520</v>
      </c>
      <c r="C11" s="180" t="s">
        <v>255</v>
      </c>
      <c r="D11" s="180" t="s">
        <v>531</v>
      </c>
      <c r="E11" s="180" t="s">
        <v>532</v>
      </c>
      <c r="F11" s="181" t="s">
        <v>533</v>
      </c>
      <c r="G11" s="182" t="s">
        <v>534</v>
      </c>
      <c r="H11" s="183" t="str">
        <f aca="false">HYPERLINK("#'📎 Evidence Register'!C13","ER-008  →  Row 13")</f>
        <v>ER-008  →  Row 13</v>
      </c>
      <c r="I11" s="169" t="s">
        <v>495</v>
      </c>
      <c r="J11" s="184" t="n">
        <f aca="false">IF(I11="","",IF(LEFT(I11,2)="L1",1,IF(LEFT(I11,2)="L2",2,IF(LEFT(I11,2)="L3",3,IF(LEFT(I11,2)="L4",4,IF(LEFT(I11,2)="L5",5,""))))))</f>
        <v>1</v>
      </c>
      <c r="K11" s="185" t="s">
        <v>496</v>
      </c>
      <c r="L11" s="186" t="n">
        <f aca="false">IF(K11="","",IF(LEFT(K11,2)="L1",1,IF(LEFT(K11,2)="L2",2,IF(LEFT(K11,2)="L3",3,IF(LEFT(K11,2)="L4",4,IF(LEFT(K11,2)="L5",5,""))))))</f>
        <v>3</v>
      </c>
      <c r="M11" s="187" t="n">
        <f aca="false">IFERROR(IF(OR(J11="",L11=""),"—",L11-J11),"—")</f>
        <v>2</v>
      </c>
      <c r="N11" s="188" t="str">
        <f aca="false">IFERROR(IF(I11="","⏳ Select a maturity rating to see the level description for this specific control.",INDEX(_DV!$1:$5,MATCH(LEFT(I11,2),{"L1","L2","L3","L4","L5"},0),8)),"⏳ Select a maturity rating.")</f>
        <v>L1 — Initial: Policy Exception Governance is absent or ad hoc. No formal process, no documentation, no named owner. Controls exist only reactively after incidents.</v>
      </c>
      <c r="O11" s="113" t="str">
        <f aca="false">IF(S11="Exclude","⬛ Not Applicable",IF(T11="⬛ Auto-Excluded","⬛ Not Applicable",IF(I11="","✅ Applicable",IF(J11=1,"🔴 Critical",IF(J11=2,"🟠 Developing",IF(J11=3,"🟡 Defined",IF(J11&gt;=4,"🟢 Managed","✅ Applicable")))))))</f>
        <v>🔴 Critical</v>
      </c>
      <c r="P11" s="179" t="str">
        <f aca="false">IF(OR(J11="",L11=""),"⏳ Complete rating and target to generate recommendation.",IF(L11&lt;=J11,"✅ Target met — sustain evidence and raise target when programme allows.",IFERROR(INDEX(_REC!$B:$B,MATCH(A11&amp;"|"&amp;IF(L11="","",LEFT(TEXT(L11,"0"),1)),_REC!$A:$A,0)),"Recommendation pending — check _REC data.")))</f>
        <v>Standardise Policy Exception Governance: formalise all documentation, apply the control consistently across all in-scope assets, close remaining coverage gaps, and ensure evidence is collected routinely. Exceptions must be formally managed with named owners and defined expiry dates.</v>
      </c>
      <c r="Q11" s="189" t="s">
        <v>535</v>
      </c>
      <c r="R11" s="190" t="s">
        <v>249</v>
      </c>
      <c r="S11" s="177"/>
      <c r="T11" s="191" t="str">
        <f aca="false">IF(S11="Exclude","⬛ Excluded",IF(S11="Apply","✅ Applicable","✅ Applicable"))</f>
        <v>✅ Applicable</v>
      </c>
    </row>
    <row r="12" customFormat="false" ht="69.75" hidden="false" customHeight="true" outlineLevel="0" collapsed="false">
      <c r="A12" s="104" t="n">
        <v>9</v>
      </c>
      <c r="B12" s="164" t="s">
        <v>520</v>
      </c>
      <c r="C12" s="165" t="s">
        <v>256</v>
      </c>
      <c r="D12" s="165" t="s">
        <v>536</v>
      </c>
      <c r="E12" s="165" t="s">
        <v>537</v>
      </c>
      <c r="F12" s="166" t="s">
        <v>538</v>
      </c>
      <c r="G12" s="167" t="s">
        <v>539</v>
      </c>
      <c r="H12" s="168" t="str">
        <f aca="false">HYPERLINK("#'📎 Evidence Register'!C14","ER-009  →  Row 14")</f>
        <v>ER-009  →  Row 14</v>
      </c>
      <c r="I12" s="169" t="s">
        <v>495</v>
      </c>
      <c r="J12" s="170" t="n">
        <f aca="false">IF(I12="","",IF(LEFT(I12,2)="L1",1,IF(LEFT(I12,2)="L2",2,IF(LEFT(I12,2)="L3",3,IF(LEFT(I12,2)="L4",4,IF(LEFT(I12,2)="L5",5,""))))))</f>
        <v>1</v>
      </c>
      <c r="K12" s="171" t="s">
        <v>496</v>
      </c>
      <c r="L12" s="172" t="n">
        <f aca="false">IF(K12="","",IF(LEFT(K12,2)="L1",1,IF(LEFT(K12,2)="L2",2,IF(LEFT(K12,2)="L3",3,IF(LEFT(K12,2)="L4",4,IF(LEFT(K12,2)="L5",5,""))))))</f>
        <v>3</v>
      </c>
      <c r="M12" s="173" t="n">
        <f aca="false">IFERROR(IF(OR(J12="",L12=""),"—",L12-J12),"—")</f>
        <v>2</v>
      </c>
      <c r="N12" s="174" t="str">
        <f aca="false">IFERROR(IF(I12="","⏳ Select a maturity rating to see the level description for this specific control.",INDEX(_DV!$1:$5,MATCH(LEFT(I12,2),{"L1","L2","L3","L4","L5"},0),9)),"⏳ Select a maturity rating.")</f>
        <v>L1 — Initial: Control Standards Management is absent or ad hoc. No formal process, no documentation, no named owner. Controls exist only reactively after incidents.</v>
      </c>
      <c r="O12" s="108" t="str">
        <f aca="false">IF(S12="Exclude","⬛ Not Applicable",IF(T12="⬛ Auto-Excluded","⬛ Not Applicable",IF(I12="","✅ Applicable",IF(J12=1,"🔴 Critical",IF(J12=2,"🟠 Developing",IF(J12=3,"🟡 Defined",IF(J12&gt;=4,"🟢 Managed","✅ Applicable")))))))</f>
        <v>🔴 Critical</v>
      </c>
      <c r="P12" s="164" t="str">
        <f aca="false">IF(OR(J12="",L12=""),"⏳ Complete rating and target to generate recommendation.",IF(L12&lt;=J12,"✅ Target met — sustain evidence and raise target when programme allows.",IFERROR(INDEX(_REC!$B:$B,MATCH(A12&amp;"|"&amp;IF(L12="","",LEFT(TEXT(L12,"0"),1)),_REC!$A:$A,0)),"Recommendation pending — check _REC data.")))</f>
        <v>Standardise Control Standards Management: formalise all documentation, apply the control consistently across all in-scope assets, close remaining coverage gaps, and ensure evidence is collected routinely. Exceptions must be formally managed with named owners and defined expiry dates.</v>
      </c>
      <c r="Q12" s="175" t="s">
        <v>540</v>
      </c>
      <c r="R12" s="176" t="s">
        <v>249</v>
      </c>
      <c r="S12" s="177"/>
      <c r="T12" s="178" t="str">
        <f aca="false">IF(S12="Exclude","⬛ Excluded",IF(S12="Apply","✅ Applicable","✅ Applicable"))</f>
        <v>✅ Applicable</v>
      </c>
    </row>
    <row r="13" customFormat="false" ht="69.75" hidden="false" customHeight="true" outlineLevel="0" collapsed="false">
      <c r="A13" s="104" t="n">
        <v>10</v>
      </c>
      <c r="B13" s="179" t="s">
        <v>520</v>
      </c>
      <c r="C13" s="180" t="s">
        <v>257</v>
      </c>
      <c r="D13" s="180" t="s">
        <v>541</v>
      </c>
      <c r="E13" s="180" t="s">
        <v>542</v>
      </c>
      <c r="F13" s="181" t="s">
        <v>543</v>
      </c>
      <c r="G13" s="182" t="s">
        <v>544</v>
      </c>
      <c r="H13" s="183" t="str">
        <f aca="false">HYPERLINK("#'📎 Evidence Register'!C15","ER-010  →  Row 15")</f>
        <v>ER-010  →  Row 15</v>
      </c>
      <c r="I13" s="169" t="s">
        <v>495</v>
      </c>
      <c r="J13" s="184" t="n">
        <f aca="false">IF(I13="","",IF(LEFT(I13,2)="L1",1,IF(LEFT(I13,2)="L2",2,IF(LEFT(I13,2)="L3",3,IF(LEFT(I13,2)="L4",4,IF(LEFT(I13,2)="L5",5,""))))))</f>
        <v>1</v>
      </c>
      <c r="K13" s="185" t="s">
        <v>545</v>
      </c>
      <c r="L13" s="186" t="n">
        <f aca="false">IF(K13="","",IF(LEFT(K13,2)="L1",1,IF(LEFT(K13,2)="L2",2,IF(LEFT(K13,2)="L3",3,IF(LEFT(K13,2)="L4",4,IF(LEFT(K13,2)="L5",5,""))))))</f>
        <v>4</v>
      </c>
      <c r="M13" s="187" t="n">
        <f aca="false">IFERROR(IF(OR(J13="",L13=""),"—",L13-J13),"—")</f>
        <v>3</v>
      </c>
      <c r="N13" s="188" t="str">
        <f aca="false">IFERROR(IF(I13="","⏳ Select a maturity rating to see the level description for this specific control.",INDEX(_DV!$1:$5,MATCH(LEFT(I13,2),{"L1","L2","L3","L4","L5"},0),10)),"⏳ Select a maturity rating.")</f>
        <v>L1 — Initial: Regulatory Obligation Register &amp; Mapping is absent or ad hoc. No formal process, no documentation, no named owner. Controls exist only reactively after incidents.</v>
      </c>
      <c r="O13" s="113" t="str">
        <f aca="false">IF(S13="Exclude","⬛ Not Applicable",IF(T13="⬛ Auto-Excluded","⬛ Not Applicable",IF(I13="","✅ Applicable",IF(J13=1,"🔴 Critical",IF(J13=2,"🟠 Developing",IF(J13=3,"🟡 Defined",IF(J13&gt;=4,"🟢 Managed","✅ Applicable")))))))</f>
        <v>🔴 Critical</v>
      </c>
      <c r="P13" s="179" t="str">
        <f aca="false">IF(OR(J13="",L13=""),"⏳ Complete rating and target to generate recommendation.",IF(L13&lt;=J13,"✅ Target met — sustain evidence and raise target when programme allows.",IFERROR(INDEX(_REC!$B:$B,MATCH(A13&amp;"|"&amp;IF(L13="","",LEFT(TEXT(L13,"0"),1)),_REC!$A:$A,0)),"Recommendation pending — check _REC data.")))</f>
        <v>Instrument Regulatory Obligation Register &amp; Mapping with measurable KPIs: define performance thresholds (coverage %, SLA adherence, exception count), establish automated telemetry where possible, and integrate reporting into quarterly governance cycles. Evidence must be system-generated and reviewed at each governance cycle.</v>
      </c>
      <c r="Q13" s="189" t="s">
        <v>546</v>
      </c>
      <c r="R13" s="190" t="s">
        <v>252</v>
      </c>
      <c r="S13" s="177"/>
      <c r="T13" s="191" t="str">
        <f aca="false">IF(S13="Exclude","⬛ Excluded",IF(S13="Apply","✅ Applicable","✅ Applicable"))</f>
        <v>✅ Applicable</v>
      </c>
    </row>
    <row r="14" customFormat="false" ht="69.75" hidden="false" customHeight="true" outlineLevel="0" collapsed="false">
      <c r="A14" s="104" t="n">
        <v>11</v>
      </c>
      <c r="B14" s="164" t="s">
        <v>520</v>
      </c>
      <c r="C14" s="165" t="s">
        <v>259</v>
      </c>
      <c r="D14" s="165" t="s">
        <v>547</v>
      </c>
      <c r="E14" s="165" t="s">
        <v>548</v>
      </c>
      <c r="F14" s="166" t="s">
        <v>549</v>
      </c>
      <c r="G14" s="167" t="s">
        <v>550</v>
      </c>
      <c r="H14" s="168" t="str">
        <f aca="false">HYPERLINK("#'📎 Evidence Register'!C16","ER-011  →  Row 16")</f>
        <v>ER-011  →  Row 16</v>
      </c>
      <c r="I14" s="169" t="s">
        <v>495</v>
      </c>
      <c r="J14" s="170" t="n">
        <f aca="false">IF(I14="","",IF(LEFT(I14,2)="L1",1,IF(LEFT(I14,2)="L2",2,IF(LEFT(I14,2)="L3",3,IF(LEFT(I14,2)="L4",4,IF(LEFT(I14,2)="L5",5,""))))))</f>
        <v>1</v>
      </c>
      <c r="K14" s="171" t="s">
        <v>545</v>
      </c>
      <c r="L14" s="172" t="n">
        <f aca="false">IF(K14="","",IF(LEFT(K14,2)="L1",1,IF(LEFT(K14,2)="L2",2,IF(LEFT(K14,2)="L3",3,IF(LEFT(K14,2)="L4",4,IF(LEFT(K14,2)="L5",5,""))))))</f>
        <v>4</v>
      </c>
      <c r="M14" s="173" t="n">
        <f aca="false">IFERROR(IF(OR(J14="",L14=""),"—",L14-J14),"—")</f>
        <v>3</v>
      </c>
      <c r="N14" s="174" t="str">
        <f aca="false">IFERROR(IF(I14="","⏳ Select a maturity rating to see the level description for this specific control.",INDEX(_DV!$1:$5,MATCH(LEFT(I14,2),{"L1","L2","L3","L4","L5"},0),11)),"⏳ Select a maturity rating.")</f>
        <v>L1 — Initial: Regulatory Change Management is absent or ad hoc. No formal process, no documentation, no named owner. Controls exist only reactively after incidents.</v>
      </c>
      <c r="O14" s="108" t="str">
        <f aca="false">IF(S14="Exclude","⬛ Not Applicable",IF(T14="⬛ Auto-Excluded","⬛ Not Applicable",IF(I14="","✅ Applicable",IF(J14=1,"🔴 Critical",IF(J14=2,"🟠 Developing",IF(J14=3,"🟡 Defined",IF(J14&gt;=4,"🟢 Managed","✅ Applicable")))))))</f>
        <v>🔴 Critical</v>
      </c>
      <c r="P14" s="164" t="str">
        <f aca="false">IF(OR(J14="",L14=""),"⏳ Complete rating and target to generate recommendation.",IF(L14&lt;=J14,"✅ Target met — sustain evidence and raise target when programme allows.",IFERROR(INDEX(_REC!$B:$B,MATCH(A14&amp;"|"&amp;IF(L14="","",LEFT(TEXT(L14,"0"),1)),_REC!$A:$A,0)),"Recommendation pending — check _REC data.")))</f>
        <v>Instrument Regulatory Change Management with measurable KPIs: define performance thresholds (coverage %, SLA adherence, exception count), establish automated telemetry where possible, and integrate reporting into quarterly governance cycles. Evidence must be system-generated and reviewed at each governance cycle.</v>
      </c>
      <c r="Q14" s="175" t="s">
        <v>551</v>
      </c>
      <c r="R14" s="176" t="s">
        <v>252</v>
      </c>
      <c r="S14" s="177"/>
      <c r="T14" s="178" t="str">
        <f aca="false">IF(S14="Exclude","⬛ Excluded",IF(S14="Apply","✅ Applicable","✅ Applicable"))</f>
        <v>✅ Applicable</v>
      </c>
    </row>
    <row r="15" customFormat="false" ht="69.75" hidden="false" customHeight="true" outlineLevel="0" collapsed="false">
      <c r="A15" s="104" t="n">
        <v>12</v>
      </c>
      <c r="B15" s="179" t="s">
        <v>520</v>
      </c>
      <c r="C15" s="180" t="s">
        <v>260</v>
      </c>
      <c r="D15" s="180" t="s">
        <v>552</v>
      </c>
      <c r="E15" s="180" t="s">
        <v>553</v>
      </c>
      <c r="F15" s="181" t="s">
        <v>554</v>
      </c>
      <c r="G15" s="182" t="s">
        <v>555</v>
      </c>
      <c r="H15" s="183" t="str">
        <f aca="false">HYPERLINK("#'📎 Evidence Register'!C17","ER-012  →  Row 17")</f>
        <v>ER-012  →  Row 17</v>
      </c>
      <c r="I15" s="169" t="s">
        <v>495</v>
      </c>
      <c r="J15" s="184" t="n">
        <f aca="false">IF(I15="","",IF(LEFT(I15,2)="L1",1,IF(LEFT(I15,2)="L2",2,IF(LEFT(I15,2)="L3",3,IF(LEFT(I15,2)="L4",4,IF(LEFT(I15,2)="L5",5,""))))))</f>
        <v>1</v>
      </c>
      <c r="K15" s="185" t="s">
        <v>545</v>
      </c>
      <c r="L15" s="186" t="n">
        <f aca="false">IF(K15="","",IF(LEFT(K15,2)="L1",1,IF(LEFT(K15,2)="L2",2,IF(LEFT(K15,2)="L3",3,IF(LEFT(K15,2)="L4",4,IF(LEFT(K15,2)="L5",5,""))))))</f>
        <v>4</v>
      </c>
      <c r="M15" s="187" t="n">
        <f aca="false">IFERROR(IF(OR(J15="",L15=""),"—",L15-J15),"—")</f>
        <v>3</v>
      </c>
      <c r="N15" s="188" t="str">
        <f aca="false">IFERROR(IF(I15="","⏳ Select a maturity rating to see the level description for this specific control.",INDEX(_DV!$1:$5,MATCH(LEFT(I15,2),{"L1","L2","L3","L4","L5"},0),12)),"⏳ Select a maturity rating.")</f>
        <v>L1 — Initial: Security Standards for Third Parties is absent or ad hoc. No formal process, no documentation, no named owner. Controls exist only reactively after incidents.</v>
      </c>
      <c r="O15" s="113" t="str">
        <f aca="false">IF(S15="Exclude","⬛ Not Applicable",IF(T15="⬛ Auto-Excluded","⬛ Not Applicable",IF(I15="","✅ Applicable",IF(J15=1,"🔴 Critical",IF(J15=2,"🟠 Developing",IF(J15=3,"🟡 Defined",IF(J15&gt;=4,"🟢 Managed","✅ Applicable")))))))</f>
        <v>🔴 Critical</v>
      </c>
      <c r="P15" s="179" t="str">
        <f aca="false">IF(OR(J15="",L15=""),"⏳ Complete rating and target to generate recommendation.",IF(L15&lt;=J15,"✅ Target met — sustain evidence and raise target when programme allows.",IFERROR(INDEX(_REC!$B:$B,MATCH(A15&amp;"|"&amp;IF(L15="","",LEFT(TEXT(L15,"0"),1)),_REC!$A:$A,0)),"Recommendation pending — check _REC data.")))</f>
        <v>Instrument Security Standards for Third Parties with measurable KPIs: define performance thresholds (coverage %, SLA adherence, exception count), establish automated telemetry where possible, and integrate reporting into quarterly governance cycles. Evidence must be system-generated and reviewed at each governance cycle.</v>
      </c>
      <c r="Q15" s="189" t="s">
        <v>556</v>
      </c>
      <c r="R15" s="190" t="s">
        <v>261</v>
      </c>
      <c r="S15" s="177"/>
      <c r="T15" s="191" t="str">
        <f aca="false">IF(S15="Exclude","⬛ Excluded",IF(S15="Apply","✅ Applicable","✅ Applicable"))</f>
        <v>✅ Applicable</v>
      </c>
    </row>
    <row r="16" customFormat="false" ht="69.75" hidden="false" customHeight="true" outlineLevel="0" collapsed="false">
      <c r="A16" s="104" t="n">
        <v>13</v>
      </c>
      <c r="B16" s="164" t="s">
        <v>557</v>
      </c>
      <c r="C16" s="165" t="s">
        <v>262</v>
      </c>
      <c r="D16" s="165" t="s">
        <v>558</v>
      </c>
      <c r="E16" s="165" t="s">
        <v>559</v>
      </c>
      <c r="F16" s="166" t="s">
        <v>560</v>
      </c>
      <c r="G16" s="167" t="s">
        <v>561</v>
      </c>
      <c r="H16" s="168" t="str">
        <f aca="false">HYPERLINK("#'📎 Evidence Register'!C18","ER-013  →  Row 18")</f>
        <v>ER-013  →  Row 18</v>
      </c>
      <c r="I16" s="169" t="s">
        <v>495</v>
      </c>
      <c r="J16" s="170" t="n">
        <f aca="false">IF(I16="","",IF(LEFT(I16,2)="L1",1,IF(LEFT(I16,2)="L2",2,IF(LEFT(I16,2)="L3",3,IF(LEFT(I16,2)="L4",4,IF(LEFT(I16,2)="L5",5,""))))))</f>
        <v>1</v>
      </c>
      <c r="K16" s="171" t="s">
        <v>496</v>
      </c>
      <c r="L16" s="172" t="n">
        <f aca="false">IF(K16="","",IF(LEFT(K16,2)="L1",1,IF(LEFT(K16,2)="L2",2,IF(LEFT(K16,2)="L3",3,IF(LEFT(K16,2)="L4",4,IF(LEFT(K16,2)="L5",5,""))))))</f>
        <v>3</v>
      </c>
      <c r="M16" s="173" t="n">
        <f aca="false">IFERROR(IF(OR(J16="",L16=""),"—",L16-J16),"—")</f>
        <v>2</v>
      </c>
      <c r="N16" s="174" t="str">
        <f aca="false">IFERROR(IF(I16="","⏳ Select a maturity rating to see the level description for this specific control.",INDEX(_DV!$1:$5,MATCH(LEFT(I16,2),{"L1","L2","L3","L4","L5"},0),13)),"⏳ Select a maturity rating.")</f>
        <v>L1 — Initial: Enterprise Risk Framework Integration is absent or ad hoc. No formal process, no documentation, no named owner. Controls exist only reactively after incidents.</v>
      </c>
      <c r="O16" s="108" t="str">
        <f aca="false">IF(S16="Exclude","⬛ Not Applicable",IF(T16="⬛ Auto-Excluded","⬛ Not Applicable",IF(I16="","✅ Applicable",IF(J16=1,"🔴 Critical",IF(J16=2,"🟠 Developing",IF(J16=3,"🟡 Defined",IF(J16&gt;=4,"🟢 Managed","✅ Applicable")))))))</f>
        <v>🔴 Critical</v>
      </c>
      <c r="P16" s="164" t="str">
        <f aca="false">IF(OR(J16="",L16=""),"⏳ Complete rating and target to generate recommendation.",IF(L16&lt;=J16,"✅ Target met — sustain evidence and raise target when programme allows.",IFERROR(INDEX(_REC!$B:$B,MATCH(A16&amp;"|"&amp;IF(L16="","",LEFT(TEXT(L16,"0"),1)),_REC!$A:$A,0)),"Recommendation pending — check _REC data.")))</f>
        <v>Standardise Enterprise Risk Framework Integration: formalise all documentation, apply the control consistently across all in-scope assets, close remaining coverage gaps, and ensure evidence is collected routinely. Exceptions must be formally managed with named owners and defined expiry dates.</v>
      </c>
      <c r="Q16" s="175" t="s">
        <v>562</v>
      </c>
      <c r="R16" s="176" t="s">
        <v>249</v>
      </c>
      <c r="S16" s="177"/>
      <c r="T16" s="178" t="str">
        <f aca="false">IF(S16="Exclude","⬛ Excluded",IF(S16="Apply","✅ Applicable","✅ Applicable"))</f>
        <v>✅ Applicable</v>
      </c>
    </row>
    <row r="17" customFormat="false" ht="69.75" hidden="false" customHeight="true" outlineLevel="0" collapsed="false">
      <c r="A17" s="104" t="n">
        <v>14</v>
      </c>
      <c r="B17" s="179" t="s">
        <v>557</v>
      </c>
      <c r="C17" s="180" t="s">
        <v>263</v>
      </c>
      <c r="D17" s="180" t="s">
        <v>563</v>
      </c>
      <c r="E17" s="180" t="s">
        <v>564</v>
      </c>
      <c r="F17" s="181" t="s">
        <v>565</v>
      </c>
      <c r="G17" s="182" t="s">
        <v>566</v>
      </c>
      <c r="H17" s="183" t="str">
        <f aca="false">HYPERLINK("#'📎 Evidence Register'!C19","ER-014  →  Row 19")</f>
        <v>ER-014  →  Row 19</v>
      </c>
      <c r="I17" s="169" t="s">
        <v>495</v>
      </c>
      <c r="J17" s="184" t="n">
        <f aca="false">IF(I17="","",IF(LEFT(I17,2)="L1",1,IF(LEFT(I17,2)="L2",2,IF(LEFT(I17,2)="L3",3,IF(LEFT(I17,2)="L4",4,IF(LEFT(I17,2)="L5",5,""))))))</f>
        <v>1</v>
      </c>
      <c r="K17" s="185" t="s">
        <v>496</v>
      </c>
      <c r="L17" s="186" t="n">
        <f aca="false">IF(K17="","",IF(LEFT(K17,2)="L1",1,IF(LEFT(K17,2)="L2",2,IF(LEFT(K17,2)="L3",3,IF(LEFT(K17,2)="L4",4,IF(LEFT(K17,2)="L5",5,""))))))</f>
        <v>3</v>
      </c>
      <c r="M17" s="187" t="n">
        <f aca="false">IFERROR(IF(OR(J17="",L17=""),"—",L17-J17),"—")</f>
        <v>2</v>
      </c>
      <c r="N17" s="188" t="str">
        <f aca="false">IFERROR(IF(I17="","⏳ Select a maturity rating to see the level description for this specific control.",INDEX(_DV!$1:$5,MATCH(LEFT(I17,2),{"L1","L2","L3","L4","L5"},0),14)),"⏳ Select a maturity rating.")</f>
        <v>L1 — Initial: Risk Appetite &amp; Tolerance Thresholds is absent or ad hoc. No formal process, no documentation, no named owner. Controls exist only reactively after incidents.</v>
      </c>
      <c r="O17" s="113" t="str">
        <f aca="false">IF(S17="Exclude","⬛ Not Applicable",IF(T17="⬛ Auto-Excluded","⬛ Not Applicable",IF(I17="","✅ Applicable",IF(J17=1,"🔴 Critical",IF(J17=2,"🟠 Developing",IF(J17=3,"🟡 Defined",IF(J17&gt;=4,"🟢 Managed","✅ Applicable")))))))</f>
        <v>🔴 Critical</v>
      </c>
      <c r="P17" s="179" t="str">
        <f aca="false">IF(OR(J17="",L17=""),"⏳ Complete rating and target to generate recommendation.",IF(L17&lt;=J17,"✅ Target met — sustain evidence and raise target when programme allows.",IFERROR(INDEX(_REC!$B:$B,MATCH(A17&amp;"|"&amp;IF(L17="","",LEFT(TEXT(L17,"0"),1)),_REC!$A:$A,0)),"Recommendation pending — check _REC data.")))</f>
        <v>Standardise Risk Appetite &amp; Tolerance Thresholds: formalise all documentation, apply the control consistently across all in-scope assets, close remaining coverage gaps, and ensure evidence is collected routinely. Exceptions must be formally managed with named owners and defined expiry dates.</v>
      </c>
      <c r="Q17" s="189" t="s">
        <v>567</v>
      </c>
      <c r="R17" s="190" t="s">
        <v>240</v>
      </c>
      <c r="S17" s="177"/>
      <c r="T17" s="191" t="str">
        <f aca="false">IF(S17="Exclude","⬛ Excluded",IF(S17="Apply","✅ Applicable","✅ Applicable"))</f>
        <v>✅ Applicable</v>
      </c>
    </row>
    <row r="18" customFormat="false" ht="69.75" hidden="false" customHeight="true" outlineLevel="0" collapsed="false">
      <c r="A18" s="104" t="n">
        <v>15</v>
      </c>
      <c r="B18" s="164" t="s">
        <v>557</v>
      </c>
      <c r="C18" s="165" t="s">
        <v>264</v>
      </c>
      <c r="D18" s="165" t="s">
        <v>568</v>
      </c>
      <c r="E18" s="165" t="s">
        <v>569</v>
      </c>
      <c r="F18" s="166" t="s">
        <v>570</v>
      </c>
      <c r="G18" s="167" t="s">
        <v>571</v>
      </c>
      <c r="H18" s="168" t="str">
        <f aca="false">HYPERLINK("#'📎 Evidence Register'!C20","ER-015  →  Row 20")</f>
        <v>ER-015  →  Row 20</v>
      </c>
      <c r="I18" s="169" t="s">
        <v>495</v>
      </c>
      <c r="J18" s="170" t="n">
        <f aca="false">IF(I18="","",IF(LEFT(I18,2)="L1",1,IF(LEFT(I18,2)="L2",2,IF(LEFT(I18,2)="L3",3,IF(LEFT(I18,2)="L4",4,IF(LEFT(I18,2)="L5",5,""))))))</f>
        <v>1</v>
      </c>
      <c r="K18" s="171" t="s">
        <v>496</v>
      </c>
      <c r="L18" s="172" t="n">
        <f aca="false">IF(K18="","",IF(LEFT(K18,2)="L1",1,IF(LEFT(K18,2)="L2",2,IF(LEFT(K18,2)="L3",3,IF(LEFT(K18,2)="L4",4,IF(LEFT(K18,2)="L5",5,""))))))</f>
        <v>3</v>
      </c>
      <c r="M18" s="173" t="n">
        <f aca="false">IFERROR(IF(OR(J18="",L18=""),"—",L18-J18),"—")</f>
        <v>2</v>
      </c>
      <c r="N18" s="174" t="str">
        <f aca="false">IFERROR(IF(I18="","⏳ Select a maturity rating to see the level description for this specific control.",INDEX(_DV!$1:$5,MATCH(LEFT(I18,2),{"L1","L2","L3","L4","L5"},0),15)),"⏳ Select a maturity rating.")</f>
        <v>L1 — Initial: Risk Register Management &amp; Reporting is absent or ad hoc. No formal process, no documentation, no named owner. Controls exist only reactively after incidents.</v>
      </c>
      <c r="O18" s="108" t="str">
        <f aca="false">IF(S18="Exclude","⬛ Not Applicable",IF(T18="⬛ Auto-Excluded","⬛ Not Applicable",IF(I18="","✅ Applicable",IF(J18=1,"🔴 Critical",IF(J18=2,"🟠 Developing",IF(J18=3,"🟡 Defined",IF(J18&gt;=4,"🟢 Managed","✅ Applicable")))))))</f>
        <v>🔴 Critical</v>
      </c>
      <c r="P18" s="164" t="str">
        <f aca="false">IF(OR(J18="",L18=""),"⏳ Complete rating and target to generate recommendation.",IF(L18&lt;=J18,"✅ Target met — sustain evidence and raise target when programme allows.",IFERROR(INDEX(_REC!$B:$B,MATCH(A18&amp;"|"&amp;IF(L18="","",LEFT(TEXT(L18,"0"),1)),_REC!$A:$A,0)),"Recommendation pending — check _REC data.")))</f>
        <v>Standardise Risk Register Management &amp; Reporting: formalise all documentation, apply the control consistently across all in-scope assets, close remaining coverage gaps, and ensure evidence is collected routinely. Exceptions must be formally managed with named owners and defined expiry dates.</v>
      </c>
      <c r="Q18" s="175" t="s">
        <v>572</v>
      </c>
      <c r="R18" s="176" t="s">
        <v>249</v>
      </c>
      <c r="S18" s="177"/>
      <c r="T18" s="178" t="str">
        <f aca="false">IF(S18="Exclude","⬛ Excluded",IF(S18="Apply","✅ Applicable","✅ Applicable"))</f>
        <v>✅ Applicable</v>
      </c>
    </row>
    <row r="19" customFormat="false" ht="69.75" hidden="false" customHeight="true" outlineLevel="0" collapsed="false">
      <c r="A19" s="104" t="n">
        <v>16</v>
      </c>
      <c r="B19" s="179" t="s">
        <v>557</v>
      </c>
      <c r="C19" s="180" t="s">
        <v>265</v>
      </c>
      <c r="D19" s="180" t="s">
        <v>573</v>
      </c>
      <c r="E19" s="180" t="s">
        <v>574</v>
      </c>
      <c r="F19" s="181" t="s">
        <v>575</v>
      </c>
      <c r="G19" s="182" t="s">
        <v>566</v>
      </c>
      <c r="H19" s="183" t="str">
        <f aca="false">HYPERLINK("#'📎 Evidence Register'!C21","ER-016  →  Row 21")</f>
        <v>ER-016  →  Row 21</v>
      </c>
      <c r="I19" s="169" t="s">
        <v>495</v>
      </c>
      <c r="J19" s="184" t="n">
        <f aca="false">IF(I19="","",IF(LEFT(I19,2)="L1",1,IF(LEFT(I19,2)="L2",2,IF(LEFT(I19,2)="L3",3,IF(LEFT(I19,2)="L4",4,IF(LEFT(I19,2)="L5",5,""))))))</f>
        <v>1</v>
      </c>
      <c r="K19" s="185" t="s">
        <v>496</v>
      </c>
      <c r="L19" s="186" t="n">
        <f aca="false">IF(K19="","",IF(LEFT(K19,2)="L1",1,IF(LEFT(K19,2)="L2",2,IF(LEFT(K19,2)="L3",3,IF(LEFT(K19,2)="L4",4,IF(LEFT(K19,2)="L5",5,""))))))</f>
        <v>3</v>
      </c>
      <c r="M19" s="187" t="n">
        <f aca="false">IFERROR(IF(OR(J19="",L19=""),"—",L19-J19),"—")</f>
        <v>2</v>
      </c>
      <c r="N19" s="188" t="str">
        <f aca="false">IFERROR(IF(I19="","⏳ Select a maturity rating to see the level description for this specific control.",INDEX(_DV!$1:$5,MATCH(LEFT(I19,2),{"L1","L2","L3","L4","L5"},0),16)),"⏳ Select a maturity rating.")</f>
        <v>L1 — Initial: Cyber Risk Quantification is absent or ad hoc. No formal process, no documentation, no named owner. Controls exist only reactively after incidents.</v>
      </c>
      <c r="O19" s="113" t="str">
        <f aca="false">IF(S19="Exclude","⬛ Not Applicable",IF(T19="⬛ Auto-Excluded","⬛ Not Applicable",IF(I19="","✅ Applicable",IF(J19=1,"🔴 Critical",IF(J19=2,"🟠 Developing",IF(J19=3,"🟡 Defined",IF(J19&gt;=4,"🟢 Managed","✅ Applicable")))))))</f>
        <v>🔴 Critical</v>
      </c>
      <c r="P19" s="179" t="str">
        <f aca="false">IF(OR(J19="",L19=""),"⏳ Complete rating and target to generate recommendation.",IF(L19&lt;=J19,"✅ Target met — sustain evidence and raise target when programme allows.",IFERROR(INDEX(_REC!$B:$B,MATCH(A19&amp;"|"&amp;IF(L19="","",LEFT(TEXT(L19,"0"),1)),_REC!$A:$A,0)),"Recommendation pending — check _REC data.")))</f>
        <v>Standardise Cyber Risk Quantification: formalise all documentation, apply the control consistently across all in-scope assets, close remaining coverage gaps, and ensure evidence is collected routinely. Exceptions must be formally managed with named owners and defined expiry dates.</v>
      </c>
      <c r="Q19" s="189" t="s">
        <v>576</v>
      </c>
      <c r="R19" s="190" t="s">
        <v>247</v>
      </c>
      <c r="S19" s="177"/>
      <c r="T19" s="191" t="str">
        <f aca="false">IF(S19="Exclude","⬛ Excluded",IF(S19="Apply","✅ Applicable","✅ Applicable"))</f>
        <v>✅ Applicable</v>
      </c>
    </row>
    <row r="20" customFormat="false" ht="69.75" hidden="false" customHeight="true" outlineLevel="0" collapsed="false">
      <c r="A20" s="104" t="n">
        <v>17</v>
      </c>
      <c r="B20" s="164" t="s">
        <v>577</v>
      </c>
      <c r="C20" s="165" t="s">
        <v>266</v>
      </c>
      <c r="D20" s="165" t="s">
        <v>578</v>
      </c>
      <c r="E20" s="165" t="s">
        <v>579</v>
      </c>
      <c r="F20" s="166" t="s">
        <v>580</v>
      </c>
      <c r="G20" s="167" t="s">
        <v>581</v>
      </c>
      <c r="H20" s="168" t="str">
        <f aca="false">HYPERLINK("#'📎 Evidence Register'!C22","ER-017  →  Row 22")</f>
        <v>ER-017  →  Row 22</v>
      </c>
      <c r="I20" s="169" t="s">
        <v>495</v>
      </c>
      <c r="J20" s="170" t="n">
        <f aca="false">IF(I20="","",IF(LEFT(I20,2)="L1",1,IF(LEFT(I20,2)="L2",2,IF(LEFT(I20,2)="L3",3,IF(LEFT(I20,2)="L4",4,IF(LEFT(I20,2)="L5",5,""))))))</f>
        <v>1</v>
      </c>
      <c r="K20" s="171" t="s">
        <v>545</v>
      </c>
      <c r="L20" s="172" t="n">
        <f aca="false">IF(K20="","",IF(LEFT(K20,2)="L1",1,IF(LEFT(K20,2)="L2",2,IF(LEFT(K20,2)="L3",3,IF(LEFT(K20,2)="L4",4,IF(LEFT(K20,2)="L5",5,""))))))</f>
        <v>4</v>
      </c>
      <c r="M20" s="173" t="n">
        <f aca="false">IFERROR(IF(OR(J20="",L20=""),"—",L20-J20),"—")</f>
        <v>3</v>
      </c>
      <c r="N20" s="174" t="str">
        <f aca="false">IFERROR(IF(I20="","⏳ Select a maturity rating to see the level description for this specific control.",INDEX(_DV!$1:$5,MATCH(LEFT(I20,2),{"L1","L2","L3","L4","L5"},0),17)),"⏳ Select a maturity rating.")</f>
        <v>L1 — Initial: Third-Party Risk Management (TPRM) Programme is absent or ad hoc. No formal process, no documentation, no named owner. Controls exist only reactively after incidents.</v>
      </c>
      <c r="O20" s="192" t="s">
        <v>582</v>
      </c>
      <c r="P20" s="164" t="str">
        <f aca="false">IF(OR(J20="",L20=""),"⏳ Complete rating and target to generate recommendation.",IF(L20&lt;=J20,"✅ Target met — sustain evidence and raise target when programme allows.",IFERROR(INDEX(_REC!$B:$B,MATCH(A20&amp;"|"&amp;IF(L20="","",LEFT(TEXT(L20,"0"),1)),_REC!$A:$A,0)),"Recommendation pending — check _REC data.")))</f>
        <v>Instrument Third-Party Risk Management (TPRM) Programme with measurable KPIs: define performance thresholds (coverage %, SLA adherence, exception count), establish automated telemetry where possible, and integrate reporting into quarterly governance cycles. Evidence must be system-generated and reviewed at each governance cycle.</v>
      </c>
      <c r="Q20" s="175" t="s">
        <v>583</v>
      </c>
      <c r="R20" s="176" t="s">
        <v>261</v>
      </c>
      <c r="S20" s="177"/>
      <c r="T20" s="178" t="str">
        <f aca="false">IF(S20="Exclude","⬛ Excluded",IF(S20="Apply","✅ Applicable",IF((('🔍 Scoping'!$E$30="No"))&gt;0,"⬛ Auto-Excluded","✅ Applicable")))</f>
        <v>✅ Applicable</v>
      </c>
    </row>
    <row r="21" customFormat="false" ht="69.75" hidden="false" customHeight="true" outlineLevel="0" collapsed="false">
      <c r="A21" s="104" t="n">
        <v>18</v>
      </c>
      <c r="B21" s="179" t="s">
        <v>577</v>
      </c>
      <c r="C21" s="180" t="s">
        <v>268</v>
      </c>
      <c r="D21" s="180" t="s">
        <v>584</v>
      </c>
      <c r="E21" s="180" t="s">
        <v>585</v>
      </c>
      <c r="F21" s="181" t="s">
        <v>586</v>
      </c>
      <c r="G21" s="182" t="s">
        <v>587</v>
      </c>
      <c r="H21" s="183" t="str">
        <f aca="false">HYPERLINK("#'📎 Evidence Register'!C23","ER-018  →  Row 23")</f>
        <v>ER-018  →  Row 23</v>
      </c>
      <c r="I21" s="169" t="s">
        <v>495</v>
      </c>
      <c r="J21" s="184" t="n">
        <f aca="false">IF(I21="","",IF(LEFT(I21,2)="L1",1,IF(LEFT(I21,2)="L2",2,IF(LEFT(I21,2)="L3",3,IF(LEFT(I21,2)="L4",4,IF(LEFT(I21,2)="L5",5,""))))))</f>
        <v>1</v>
      </c>
      <c r="K21" s="185" t="s">
        <v>496</v>
      </c>
      <c r="L21" s="186" t="n">
        <f aca="false">IF(K21="","",IF(LEFT(K21,2)="L1",1,IF(LEFT(K21,2)="L2",2,IF(LEFT(K21,2)="L3",3,IF(LEFT(K21,2)="L4",4,IF(LEFT(K21,2)="L5",5,""))))))</f>
        <v>3</v>
      </c>
      <c r="M21" s="187" t="n">
        <f aca="false">IFERROR(IF(OR(J21="",L21=""),"—",L21-J21),"—")</f>
        <v>2</v>
      </c>
      <c r="N21" s="188" t="str">
        <f aca="false">IFERROR(IF(I21="","⏳ Select a maturity rating to see the level description for this specific control.",INDEX(_DV!$1:$5,MATCH(LEFT(I21,2),{"L1","L2","L3","L4","L5"},0),18)),"⏳ Select a maturity rating.")</f>
        <v>L1 — Initial: Vendor Security Assessment Process is absent or ad hoc. No formal process, no documentation, no named owner. Controls exist only reactively after incidents.</v>
      </c>
      <c r="O21" s="193" t="s">
        <v>588</v>
      </c>
      <c r="P21" s="179" t="str">
        <f aca="false">IF(OR(J21="",L21=""),"⏳ Complete rating and target to generate recommendation.",IF(L21&lt;=J21,"✅ Target met — sustain evidence and raise target when programme allows.",IFERROR(INDEX(_REC!$B:$B,MATCH(A21&amp;"|"&amp;IF(L21="","",LEFT(TEXT(L21,"0"),1)),_REC!$A:$A,0)),"Recommendation pending — check _REC data.")))</f>
        <v>Standardise Vendor Security Assessment Process: formalise all documentation, apply the control consistently across all in-scope assets, close remaining coverage gaps, and ensure evidence is collected routinely. Exceptions must be formally managed with named owners and defined expiry dates.</v>
      </c>
      <c r="Q21" s="189" t="s">
        <v>589</v>
      </c>
      <c r="R21" s="190" t="s">
        <v>261</v>
      </c>
      <c r="S21" s="177"/>
      <c r="T21" s="191" t="str">
        <f aca="false">IF(S21="Exclude","⬛ Excluded",IF(S21="Apply","✅ Applicable",IF((('🔍 Scoping'!$E$30="No"))&gt;0,"⬛ Auto-Excluded","✅ Applicable")))</f>
        <v>✅ Applicable</v>
      </c>
    </row>
    <row r="22" customFormat="false" ht="69.75" hidden="false" customHeight="true" outlineLevel="0" collapsed="false">
      <c r="A22" s="104" t="n">
        <v>19</v>
      </c>
      <c r="B22" s="164" t="s">
        <v>577</v>
      </c>
      <c r="C22" s="165" t="s">
        <v>269</v>
      </c>
      <c r="D22" s="165" t="s">
        <v>590</v>
      </c>
      <c r="E22" s="165" t="s">
        <v>591</v>
      </c>
      <c r="F22" s="166" t="s">
        <v>592</v>
      </c>
      <c r="G22" s="167" t="s">
        <v>593</v>
      </c>
      <c r="H22" s="168" t="str">
        <f aca="false">HYPERLINK("#'📎 Evidence Register'!C24","ER-019  →  Row 24")</f>
        <v>ER-019  →  Row 24</v>
      </c>
      <c r="I22" s="169" t="s">
        <v>495</v>
      </c>
      <c r="J22" s="170" t="n">
        <f aca="false">IF(I22="","",IF(LEFT(I22,2)="L1",1,IF(LEFT(I22,2)="L2",2,IF(LEFT(I22,2)="L3",3,IF(LEFT(I22,2)="L4",4,IF(LEFT(I22,2)="L5",5,""))))))</f>
        <v>1</v>
      </c>
      <c r="K22" s="171" t="s">
        <v>545</v>
      </c>
      <c r="L22" s="172" t="n">
        <f aca="false">IF(K22="","",IF(LEFT(K22,2)="L1",1,IF(LEFT(K22,2)="L2",2,IF(LEFT(K22,2)="L3",3,IF(LEFT(K22,2)="L4",4,IF(LEFT(K22,2)="L5",5,""))))))</f>
        <v>4</v>
      </c>
      <c r="M22" s="173" t="n">
        <f aca="false">IFERROR(IF(OR(J22="",L22=""),"—",L22-J22),"—")</f>
        <v>3</v>
      </c>
      <c r="N22" s="174" t="str">
        <f aca="false">IFERROR(IF(I22="","⏳ Select a maturity rating to see the level description for this specific control.",INDEX(_DV!$1:$5,MATCH(LEFT(I22,2),{"L1","L2","L3","L4","L5"},0),19)),"⏳ Select a maturity rating.")</f>
        <v>L1 — Initial: Vendor Contractual Security Obligations is absent or ad hoc. No formal process, no documentation, no named owner. Controls exist only reactively after incidents.</v>
      </c>
      <c r="O22" s="192" t="s">
        <v>588</v>
      </c>
      <c r="P22" s="164" t="str">
        <f aca="false">IF(OR(J22="",L22=""),"⏳ Complete rating and target to generate recommendation.",IF(L22&lt;=J22,"✅ Target met — sustain evidence and raise target when programme allows.",IFERROR(INDEX(_REC!$B:$B,MATCH(A22&amp;"|"&amp;IF(L22="","",LEFT(TEXT(L22,"0"),1)),_REC!$A:$A,0)),"Recommendation pending — check _REC data.")))</f>
        <v>Instrument Vendor Contractual Security Obligations with measurable KPIs: define performance thresholds (coverage %, SLA adherence, exception count), establish automated telemetry where possible, and integrate reporting into quarterly governance cycles. Evidence must be system-generated and reviewed at each governance cycle.</v>
      </c>
      <c r="Q22" s="175" t="s">
        <v>594</v>
      </c>
      <c r="R22" s="176" t="s">
        <v>252</v>
      </c>
      <c r="S22" s="177"/>
      <c r="T22" s="178" t="str">
        <f aca="false">IF(S22="Exclude","⬛ Excluded",IF(S22="Apply","✅ Applicable",IF((('🔍 Scoping'!$E$30="No"))&gt;0,"⬛ Auto-Excluded","✅ Applicable")))</f>
        <v>✅ Applicable</v>
      </c>
    </row>
    <row r="23" customFormat="false" ht="69.75" hidden="false" customHeight="true" outlineLevel="0" collapsed="false">
      <c r="A23" s="104" t="n">
        <v>20</v>
      </c>
      <c r="B23" s="179" t="s">
        <v>577</v>
      </c>
      <c r="C23" s="180" t="s">
        <v>270</v>
      </c>
      <c r="D23" s="180" t="s">
        <v>595</v>
      </c>
      <c r="E23" s="180" t="s">
        <v>596</v>
      </c>
      <c r="F23" s="181" t="s">
        <v>597</v>
      </c>
      <c r="G23" s="182" t="s">
        <v>566</v>
      </c>
      <c r="H23" s="183" t="str">
        <f aca="false">HYPERLINK("#'📎 Evidence Register'!C25","ER-020  →  Row 25")</f>
        <v>ER-020  →  Row 25</v>
      </c>
      <c r="I23" s="169" t="s">
        <v>495</v>
      </c>
      <c r="J23" s="184" t="n">
        <f aca="false">IF(I23="","",IF(LEFT(I23,2)="L1",1,IF(LEFT(I23,2)="L2",2,IF(LEFT(I23,2)="L3",3,IF(LEFT(I23,2)="L4",4,IF(LEFT(I23,2)="L5",5,""))))))</f>
        <v>1</v>
      </c>
      <c r="K23" s="185" t="s">
        <v>545</v>
      </c>
      <c r="L23" s="186" t="n">
        <f aca="false">IF(K23="","",IF(LEFT(K23,2)="L1",1,IF(LEFT(K23,2)="L2",2,IF(LEFT(K23,2)="L3",3,IF(LEFT(K23,2)="L4",4,IF(LEFT(K23,2)="L5",5,""))))))</f>
        <v>4</v>
      </c>
      <c r="M23" s="187" t="n">
        <f aca="false">IFERROR(IF(OR(J23="",L23=""),"—",L23-J23),"—")</f>
        <v>3</v>
      </c>
      <c r="N23" s="188" t="str">
        <f aca="false">IFERROR(IF(I23="","⏳ Select a maturity rating to see the level description for this specific control.",INDEX(_DV!$1:$5,MATCH(LEFT(I23,2),{"L1","L2","L3","L4","L5"},0),20)),"⏳ Select a maturity rating.")</f>
        <v>L1 — Initial: Fourth-Party &amp; Sub-Processor Mapping is absent or ad hoc. No formal process, no documentation, no named owner. Controls exist only reactively after incidents.</v>
      </c>
      <c r="O23" s="193" t="s">
        <v>582</v>
      </c>
      <c r="P23" s="179" t="str">
        <f aca="false">IF(OR(J23="",L23=""),"⏳ Complete rating and target to generate recommendation.",IF(L23&lt;=J23,"✅ Target met — sustain evidence and raise target when programme allows.",IFERROR(INDEX(_REC!$B:$B,MATCH(A23&amp;"|"&amp;IF(L23="","",LEFT(TEXT(L23,"0"),1)),_REC!$A:$A,0)),"Recommendation pending — check _REC data.")))</f>
        <v>Instrument Fourth-Party &amp; Sub-Processor Mapping with measurable KPIs: define performance thresholds (coverage %, SLA adherence, exception count), establish automated telemetry where possible, and integrate reporting into quarterly governance cycles. Evidence must be system-generated and reviewed at each governance cycle.</v>
      </c>
      <c r="Q23" s="189" t="s">
        <v>598</v>
      </c>
      <c r="R23" s="190" t="s">
        <v>261</v>
      </c>
      <c r="S23" s="177"/>
      <c r="T23" s="191" t="str">
        <f aca="false">IF(S23="Exclude","⬛ Excluded",IF(S23="Apply","✅ Applicable",IF((('🔍 Scoping'!$E$30="No"))&gt;0,"⬛ Auto-Excluded","✅ Applicable")))</f>
        <v>✅ Applicable</v>
      </c>
    </row>
    <row r="24" customFormat="false" ht="69.75" hidden="false" customHeight="true" outlineLevel="0" collapsed="false">
      <c r="A24" s="104" t="n">
        <v>21</v>
      </c>
      <c r="B24" s="164" t="s">
        <v>577</v>
      </c>
      <c r="C24" s="165" t="s">
        <v>271</v>
      </c>
      <c r="D24" s="165" t="s">
        <v>599</v>
      </c>
      <c r="E24" s="165" t="s">
        <v>600</v>
      </c>
      <c r="F24" s="166"/>
      <c r="G24" s="167"/>
      <c r="H24" s="168" t="str">
        <f aca="false">HYPERLINK("#'📎 Evidence Register'!C26","ER-021  →  Row 26")</f>
        <v>ER-021  →  Row 26</v>
      </c>
      <c r="I24" s="169"/>
      <c r="J24" s="170" t="str">
        <f aca="false">IF(I24="","",IF(LEFT(I24,2)="L1",1,IF(LEFT(I24,2)="L2",2,IF(LEFT(I24,2)="L3",3,IF(LEFT(I24,2)="L4",4,IF(LEFT(I24,2)="L5",5,""))))))</f>
        <v/>
      </c>
      <c r="K24" s="171"/>
      <c r="L24" s="172" t="str">
        <f aca="false">IF(K24="","",IF(LEFT(K24,2)="L1",1,IF(LEFT(K24,2)="L2",2,IF(LEFT(K24,2)="L3",3,IF(LEFT(K24,2)="L4",4,IF(LEFT(K24,2)="L5",5,""))))))</f>
        <v/>
      </c>
      <c r="M24" s="173" t="str">
        <f aca="false">IFERROR(IF(OR(J24="",L24=""),"—",L24-J24),"—")</f>
        <v>—</v>
      </c>
      <c r="N24" s="174" t="str">
        <f aca="false">IFERROR(IF(I24="","⏳ Select a maturity rating to see the level description for this specific control.",INDEX(_DV!$1:$5,MATCH(LEFT(I24,2),{"L1","L2","L3","L4","L5"},0),21)),"⏳ Select a maturity rating.")</f>
        <v>⏳ Select a maturity rating to see the level description for this specific control.</v>
      </c>
      <c r="O24" s="192" t="s">
        <v>601</v>
      </c>
      <c r="P24" s="164" t="str">
        <f aca="false">IF(OR(J24="",L24=""),"⏳ Complete rating and target to generate recommendation.",IF(L24&lt;=J24,"✅ Target met — sustain evidence and raise target when programme allows.",IFERROR(INDEX(_REC!$B:$B,MATCH(A24&amp;"|"&amp;IF(L24="","",LEFT(TEXT(L24,"0"),1)),_REC!$A:$A,0)),"Recommendation pending — check _REC data.")))</f>
        <v>⏳ Complete rating and target to generate recommendation.</v>
      </c>
      <c r="Q24" s="175" t="s">
        <v>602</v>
      </c>
      <c r="R24" s="176"/>
      <c r="S24" s="177" t="s">
        <v>603</v>
      </c>
      <c r="T24" s="178" t="str">
        <f aca="false">IF(S24="Exclude","⬛ Excluded",IF(S24="Apply","✅ Applicable",IF((('🔍 Scoping'!$E$8="No"))&gt;0,"⬛ Auto-Excluded","✅ Applicable")))</f>
        <v>⬛ Excluded</v>
      </c>
    </row>
    <row r="25" customFormat="false" ht="69.75" hidden="false" customHeight="true" outlineLevel="0" collapsed="false">
      <c r="A25" s="104" t="n">
        <v>22</v>
      </c>
      <c r="B25" s="179" t="s">
        <v>577</v>
      </c>
      <c r="C25" s="180" t="s">
        <v>274</v>
      </c>
      <c r="D25" s="180" t="s">
        <v>604</v>
      </c>
      <c r="E25" s="180" t="s">
        <v>605</v>
      </c>
      <c r="F25" s="181" t="s">
        <v>606</v>
      </c>
      <c r="G25" s="182" t="s">
        <v>607</v>
      </c>
      <c r="H25" s="183" t="str">
        <f aca="false">HYPERLINK("#'📎 Evidence Register'!C27","ER-022  →  Row 27")</f>
        <v>ER-022  →  Row 27</v>
      </c>
      <c r="I25" s="169" t="s">
        <v>495</v>
      </c>
      <c r="J25" s="184" t="n">
        <f aca="false">IF(I25="","",IF(LEFT(I25,2)="L1",1,IF(LEFT(I25,2)="L2",2,IF(LEFT(I25,2)="L3",3,IF(LEFT(I25,2)="L4",4,IF(LEFT(I25,2)="L5",5,""))))))</f>
        <v>1</v>
      </c>
      <c r="K25" s="185" t="s">
        <v>496</v>
      </c>
      <c r="L25" s="186" t="n">
        <f aca="false">IF(K25="","",IF(LEFT(K25,2)="L1",1,IF(LEFT(K25,2)="L2",2,IF(LEFT(K25,2)="L3",3,IF(LEFT(K25,2)="L4",4,IF(LEFT(K25,2)="L5",5,""))))))</f>
        <v>3</v>
      </c>
      <c r="M25" s="187" t="n">
        <f aca="false">IFERROR(IF(OR(J25="",L25=""),"—",L25-J25),"—")</f>
        <v>2</v>
      </c>
      <c r="N25" s="188" t="str">
        <f aca="false">IFERROR(IF(I25="","⏳ Select a maturity rating to see the level description for this specific control.",INDEX(_DV!$1:$5,MATCH(LEFT(I25,2),{"L1","L2","L3","L4","L5"},0),22)),"⏳ Select a maturity rating.")</f>
        <v>L1 — Initial: Software Supply Chain Security Governance is absent or ad hoc. No formal process, no documentation, no named owner. Controls exist only reactively after incidents.</v>
      </c>
      <c r="O25" s="193" t="s">
        <v>588</v>
      </c>
      <c r="P25" s="179" t="str">
        <f aca="false">IF(OR(J25="",L25=""),"⏳ Complete rating and target to generate recommendation.",IF(L25&lt;=J25,"✅ Target met — sustain evidence and raise target when programme allows.",IFERROR(INDEX(_REC!$B:$B,MATCH(A25&amp;"|"&amp;IF(L25="","",LEFT(TEXT(L25,"0"),1)),_REC!$A:$A,0)),"Recommendation pending — check _REC data.")))</f>
        <v>Standardise Software Supply Chain Security Governance: formalise all documentation, apply the control consistently across all in-scope assets, close remaining coverage gaps, and ensure evidence is collected routinely. Exceptions must be formally managed with named owners and defined expiry dates.</v>
      </c>
      <c r="Q25" s="189" t="s">
        <v>608</v>
      </c>
      <c r="R25" s="190" t="s">
        <v>275</v>
      </c>
      <c r="S25" s="177"/>
      <c r="T25" s="191" t="str">
        <f aca="false">IF(S25="Exclude","⬛ Excluded",IF(S25="Apply","✅ Applicable",IF((('🔍 Scoping'!$E$30="No"))&gt;0,"⬛ Auto-Excluded","✅ Applicable")))</f>
        <v>✅ Applicable</v>
      </c>
    </row>
    <row r="26" customFormat="false" ht="69.75" hidden="false" customHeight="true" outlineLevel="0" collapsed="false">
      <c r="A26" s="104" t="n">
        <v>23</v>
      </c>
      <c r="B26" s="164" t="s">
        <v>577</v>
      </c>
      <c r="C26" s="165" t="s">
        <v>276</v>
      </c>
      <c r="D26" s="165" t="s">
        <v>609</v>
      </c>
      <c r="E26" s="165" t="s">
        <v>610</v>
      </c>
      <c r="F26" s="166" t="s">
        <v>611</v>
      </c>
      <c r="G26" s="167" t="s">
        <v>566</v>
      </c>
      <c r="H26" s="168" t="str">
        <f aca="false">HYPERLINK("#'📎 Evidence Register'!C28","ER-023  →  Row 28")</f>
        <v>ER-023  →  Row 28</v>
      </c>
      <c r="I26" s="169" t="s">
        <v>495</v>
      </c>
      <c r="J26" s="170" t="n">
        <f aca="false">IF(I26="","",IF(LEFT(I26,2)="L1",1,IF(LEFT(I26,2)="L2",2,IF(LEFT(I26,2)="L3",3,IF(LEFT(I26,2)="L4",4,IF(LEFT(I26,2)="L5",5,""))))))</f>
        <v>1</v>
      </c>
      <c r="K26" s="171" t="s">
        <v>496</v>
      </c>
      <c r="L26" s="172" t="n">
        <f aca="false">IF(K26="","",IF(LEFT(K26,2)="L1",1,IF(LEFT(K26,2)="L2",2,IF(LEFT(K26,2)="L3",3,IF(LEFT(K26,2)="L4",4,IF(LEFT(K26,2)="L5",5,""))))))</f>
        <v>3</v>
      </c>
      <c r="M26" s="173" t="n">
        <f aca="false">IFERROR(IF(OR(J26="",L26=""),"—",L26-J26),"—")</f>
        <v>2</v>
      </c>
      <c r="N26" s="174" t="str">
        <f aca="false">IFERROR(IF(I26="","⏳ Select a maturity rating to see the level description for this specific control.",INDEX(_DV!$1:$5,MATCH(LEFT(I26,2),{"L1","L2","L3","L4","L5"},0),23)),"⏳ Select a maturity rating.")</f>
        <v>L1 — Initial: Supplier Resilience Requirements is absent or ad hoc. No formal process, no documentation, no named owner. Controls exist only reactively after incidents.</v>
      </c>
      <c r="O26" s="192" t="s">
        <v>582</v>
      </c>
      <c r="P26" s="164" t="str">
        <f aca="false">IF(OR(J26="",L26=""),"⏳ Complete rating and target to generate recommendation.",IF(L26&lt;=J26,"✅ Target met — sustain evidence and raise target when programme allows.",IFERROR(INDEX(_REC!$B:$B,MATCH(A26&amp;"|"&amp;IF(L26="","",LEFT(TEXT(L26,"0"),1)),_REC!$A:$A,0)),"Recommendation pending — check _REC data.")))</f>
        <v>Standardise Supplier Resilience Requirements: formalise all documentation, apply the control consistently across all in-scope assets, close remaining coverage gaps, and ensure evidence is collected routinely. Exceptions must be formally managed with named owners and defined expiry dates.</v>
      </c>
      <c r="Q26" s="175" t="s">
        <v>612</v>
      </c>
      <c r="R26" s="176" t="s">
        <v>261</v>
      </c>
      <c r="S26" s="177"/>
      <c r="T26" s="178" t="str">
        <f aca="false">IF(S26="Exclude","⬛ Excluded",IF(S26="Apply","✅ Applicable",IF((('🔍 Scoping'!$E$30="No"))&gt;0,"⬛ Auto-Excluded","✅ Applicable")))</f>
        <v>✅ Applicable</v>
      </c>
    </row>
    <row r="27" customFormat="false" ht="69.75" hidden="false" customHeight="true" outlineLevel="0" collapsed="false">
      <c r="A27" s="104" t="n">
        <v>24</v>
      </c>
      <c r="B27" s="179" t="s">
        <v>613</v>
      </c>
      <c r="C27" s="180" t="s">
        <v>277</v>
      </c>
      <c r="D27" s="180" t="s">
        <v>614</v>
      </c>
      <c r="E27" s="180" t="s">
        <v>615</v>
      </c>
      <c r="F27" s="181" t="s">
        <v>616</v>
      </c>
      <c r="G27" s="182" t="s">
        <v>617</v>
      </c>
      <c r="H27" s="183" t="str">
        <f aca="false">HYPERLINK("#'📎 Evidence Register'!C29","ER-024  →  Row 29")</f>
        <v>ER-024  →  Row 29</v>
      </c>
      <c r="I27" s="169" t="s">
        <v>508</v>
      </c>
      <c r="J27" s="184" t="n">
        <f aca="false">IF(I27="","",IF(LEFT(I27,2)="L1",1,IF(LEFT(I27,2)="L2",2,IF(LEFT(I27,2)="L3",3,IF(LEFT(I27,2)="L4",4,IF(LEFT(I27,2)="L5",5,""))))))</f>
        <v>2</v>
      </c>
      <c r="K27" s="185" t="s">
        <v>545</v>
      </c>
      <c r="L27" s="186" t="n">
        <f aca="false">IF(K27="","",IF(LEFT(K27,2)="L1",1,IF(LEFT(K27,2)="L2",2,IF(LEFT(K27,2)="L3",3,IF(LEFT(K27,2)="L4",4,IF(LEFT(K27,2)="L5",5,""))))))</f>
        <v>4</v>
      </c>
      <c r="M27" s="187" t="n">
        <f aca="false">IFERROR(IF(OR(J27="",L27=""),"—",L27-J27),"—")</f>
        <v>2</v>
      </c>
      <c r="N27" s="188" t="str">
        <f aca="false">IFERROR(IF(I27="","⏳ Select a maturity rating to see the level description for this specific control.",INDEX(_DV!$1:$5,MATCH(LEFT(I27,2),{"L1","L2","L3","L4","L5"},0),24)),"⏳ Select a maturity rating.")</f>
        <v>L2 — Developing: Privacy Governance &amp; DPO/Privacy Lead has basic controls in place but coverage is incomplete and execution is manual. Not consistently applied across all in-scope assets. Formal governance is absent.</v>
      </c>
      <c r="O27" s="193" t="s">
        <v>582</v>
      </c>
      <c r="P27" s="179" t="str">
        <f aca="false">IF(OR(J27="",L27=""),"⏳ Complete rating and target to generate recommendation.",IF(L27&lt;=J27,"✅ Target met — sustain evidence and raise target when programme allows.",IFERROR(INDEX(_REC!$B:$B,MATCH(A27&amp;"|"&amp;IF(L27="","",LEFT(TEXT(L27,"0"),1)),_REC!$A:$A,0)),"Recommendation pending — check _REC data.")))</f>
        <v>Instrument Privacy Governance &amp; DPO/Privacy Lead with measurable KPIs: define performance thresholds (coverage %, SLA adherence, exception count), establish automated telemetry where possible, and integrate reporting into quarterly governance cycles. Evidence must be system-generated and reviewed at each governance cycle.</v>
      </c>
      <c r="Q27" s="189" t="s">
        <v>618</v>
      </c>
      <c r="R27" s="190" t="s">
        <v>252</v>
      </c>
      <c r="S27" s="177"/>
      <c r="T27" s="191" t="str">
        <f aca="false">IF(S27="Exclude","⬛ Excluded",IF(S27="Apply","✅ Applicable",IF((('🔍 Scoping'!$E$6="No"))&gt;0,"⬛ Auto-Excluded","✅ Applicable")))</f>
        <v>✅ Applicable</v>
      </c>
    </row>
    <row r="28" customFormat="false" ht="69.75" hidden="false" customHeight="true" outlineLevel="0" collapsed="false">
      <c r="A28" s="104" t="n">
        <v>25</v>
      </c>
      <c r="B28" s="164" t="s">
        <v>613</v>
      </c>
      <c r="C28" s="165" t="s">
        <v>278</v>
      </c>
      <c r="D28" s="165" t="s">
        <v>619</v>
      </c>
      <c r="E28" s="165" t="s">
        <v>620</v>
      </c>
      <c r="F28" s="166" t="s">
        <v>621</v>
      </c>
      <c r="G28" s="167" t="s">
        <v>622</v>
      </c>
      <c r="H28" s="168" t="str">
        <f aca="false">HYPERLINK("#'📎 Evidence Register'!C30","ER-025  →  Row 30")</f>
        <v>ER-025  →  Row 30</v>
      </c>
      <c r="I28" s="169" t="s">
        <v>495</v>
      </c>
      <c r="J28" s="170" t="n">
        <f aca="false">IF(I28="","",IF(LEFT(I28,2)="L1",1,IF(LEFT(I28,2)="L2",2,IF(LEFT(I28,2)="L3",3,IF(LEFT(I28,2)="L4",4,IF(LEFT(I28,2)="L5",5,""))))))</f>
        <v>1</v>
      </c>
      <c r="K28" s="171" t="s">
        <v>545</v>
      </c>
      <c r="L28" s="172" t="n">
        <f aca="false">IF(K28="","",IF(LEFT(K28,2)="L1",1,IF(LEFT(K28,2)="L2",2,IF(LEFT(K28,2)="L3",3,IF(LEFT(K28,2)="L4",4,IF(LEFT(K28,2)="L5",5,""))))))</f>
        <v>4</v>
      </c>
      <c r="M28" s="173" t="n">
        <f aca="false">IFERROR(IF(OR(J28="",L28=""),"—",L28-J28),"—")</f>
        <v>3</v>
      </c>
      <c r="N28" s="174" t="str">
        <f aca="false">IFERROR(IF(I28="","⏳ Select a maturity rating to see the level description for this specific control.",INDEX(_DV!$1:$5,MATCH(LEFT(I28,2),{"L1","L2","L3","L4","L5"},0),25)),"⏳ Select a maturity rating.")</f>
        <v>L1 — Initial: Records of Processing Activities (ROPA) is absent or ad hoc. No formal process, no documentation, no named owner. Controls exist only reactively after incidents.</v>
      </c>
      <c r="O28" s="192" t="s">
        <v>588</v>
      </c>
      <c r="P28" s="164" t="str">
        <f aca="false">IF(OR(J28="",L28=""),"⏳ Complete rating and target to generate recommendation.",IF(L28&lt;=J28,"✅ Target met — sustain evidence and raise target when programme allows.",IFERROR(INDEX(_REC!$B:$B,MATCH(A28&amp;"|"&amp;IF(L28="","",LEFT(TEXT(L28,"0"),1)),_REC!$A:$A,0)),"Recommendation pending — check _REC data.")))</f>
        <v>Instrument Records of Processing Activities (ROPA) with measurable KPIs: define performance thresholds (coverage %, SLA adherence, exception count), establish automated telemetry where possible, and integrate reporting into quarterly governance cycles. Evidence must be system-generated and reviewed at each governance cycle.</v>
      </c>
      <c r="Q28" s="175" t="s">
        <v>623</v>
      </c>
      <c r="R28" s="176" t="s">
        <v>252</v>
      </c>
      <c r="S28" s="177"/>
      <c r="T28" s="178" t="str">
        <f aca="false">IF(S28="Exclude","⬛ Excluded",IF(S28="Apply","✅ Applicable",IF((('🔍 Scoping'!$E$6="No"))&gt;0,"⬛ Auto-Excluded","✅ Applicable")))</f>
        <v>✅ Applicable</v>
      </c>
    </row>
    <row r="29" customFormat="false" ht="69.75" hidden="false" customHeight="true" outlineLevel="0" collapsed="false">
      <c r="A29" s="104" t="n">
        <v>26</v>
      </c>
      <c r="B29" s="179" t="s">
        <v>613</v>
      </c>
      <c r="C29" s="180" t="s">
        <v>279</v>
      </c>
      <c r="D29" s="180" t="s">
        <v>624</v>
      </c>
      <c r="E29" s="180" t="s">
        <v>625</v>
      </c>
      <c r="F29" s="181" t="s">
        <v>626</v>
      </c>
      <c r="G29" s="182" t="s">
        <v>566</v>
      </c>
      <c r="H29" s="183" t="str">
        <f aca="false">HYPERLINK("#'📎 Evidence Register'!C31","ER-026  →  Row 31")</f>
        <v>ER-026  →  Row 31</v>
      </c>
      <c r="I29" s="169" t="s">
        <v>495</v>
      </c>
      <c r="J29" s="184" t="n">
        <f aca="false">IF(I29="","",IF(LEFT(I29,2)="L1",1,IF(LEFT(I29,2)="L2",2,IF(LEFT(I29,2)="L3",3,IF(LEFT(I29,2)="L4",4,IF(LEFT(I29,2)="L5",5,""))))))</f>
        <v>1</v>
      </c>
      <c r="K29" s="185" t="s">
        <v>545</v>
      </c>
      <c r="L29" s="186" t="n">
        <f aca="false">IF(K29="","",IF(LEFT(K29,2)="L1",1,IF(LEFT(K29,2)="L2",2,IF(LEFT(K29,2)="L3",3,IF(LEFT(K29,2)="L4",4,IF(LEFT(K29,2)="L5",5,""))))))</f>
        <v>4</v>
      </c>
      <c r="M29" s="187" t="n">
        <f aca="false">IFERROR(IF(OR(J29="",L29=""),"—",L29-J29),"—")</f>
        <v>3</v>
      </c>
      <c r="N29" s="188" t="str">
        <f aca="false">IFERROR(IF(I29="","⏳ Select a maturity rating to see the level description for this specific control.",INDEX(_DV!$1:$5,MATCH(LEFT(I29,2),{"L1","L2","L3","L4","L5"},0),26)),"⏳ Select a maturity rating.")</f>
        <v>L1 — Initial: Data Protection Impact Assessments (DPIAs) is absent or ad hoc. No formal process, no documentation, no named owner. Controls exist only reactively after incidents.</v>
      </c>
      <c r="O29" s="193" t="s">
        <v>582</v>
      </c>
      <c r="P29" s="179" t="str">
        <f aca="false">IF(OR(J29="",L29=""),"⏳ Complete rating and target to generate recommendation.",IF(L29&lt;=J29,"✅ Target met — sustain evidence and raise target when programme allows.",IFERROR(INDEX(_REC!$B:$B,MATCH(A29&amp;"|"&amp;IF(L29="","",LEFT(TEXT(L29,"0"),1)),_REC!$A:$A,0)),"Recommendation pending — check _REC data.")))</f>
        <v>Instrument Data Protection Impact Assessments (DPIAs) with measurable KPIs: define performance thresholds (coverage %, SLA adherence, exception count), establish automated telemetry where possible, and integrate reporting into quarterly governance cycles. Evidence must be system-generated and reviewed at each governance cycle.</v>
      </c>
      <c r="Q29" s="189" t="s">
        <v>627</v>
      </c>
      <c r="R29" s="190" t="s">
        <v>252</v>
      </c>
      <c r="S29" s="177"/>
      <c r="T29" s="191" t="str">
        <f aca="false">IF(S29="Exclude","⬛ Excluded",IF(S29="Apply","✅ Applicable",IF((('🔍 Scoping'!$E$6="No"))&gt;0,"⬛ Auto-Excluded","✅ Applicable")))</f>
        <v>✅ Applicable</v>
      </c>
    </row>
    <row r="30" customFormat="false" ht="69.75" hidden="false" customHeight="true" outlineLevel="0" collapsed="false">
      <c r="A30" s="104" t="n">
        <v>27</v>
      </c>
      <c r="B30" s="164" t="s">
        <v>613</v>
      </c>
      <c r="C30" s="165" t="s">
        <v>280</v>
      </c>
      <c r="D30" s="165" t="s">
        <v>628</v>
      </c>
      <c r="E30" s="165" t="s">
        <v>629</v>
      </c>
      <c r="F30" s="166" t="s">
        <v>630</v>
      </c>
      <c r="G30" s="167" t="s">
        <v>631</v>
      </c>
      <c r="H30" s="168" t="str">
        <f aca="false">HYPERLINK("#'📎 Evidence Register'!C32","ER-027  →  Row 32")</f>
        <v>ER-027  →  Row 32</v>
      </c>
      <c r="I30" s="169" t="s">
        <v>495</v>
      </c>
      <c r="J30" s="170" t="n">
        <f aca="false">IF(I30="","",IF(LEFT(I30,2)="L1",1,IF(LEFT(I30,2)="L2",2,IF(LEFT(I30,2)="L3",3,IF(LEFT(I30,2)="L4",4,IF(LEFT(I30,2)="L5",5,""))))))</f>
        <v>1</v>
      </c>
      <c r="K30" s="171" t="s">
        <v>545</v>
      </c>
      <c r="L30" s="172" t="n">
        <f aca="false">IF(K30="","",IF(LEFT(K30,2)="L1",1,IF(LEFT(K30,2)="L2",2,IF(LEFT(K30,2)="L3",3,IF(LEFT(K30,2)="L4",4,IF(LEFT(K30,2)="L5",5,""))))))</f>
        <v>4</v>
      </c>
      <c r="M30" s="173" t="n">
        <f aca="false">IFERROR(IF(OR(J30="",L30=""),"—",L30-J30),"—")</f>
        <v>3</v>
      </c>
      <c r="N30" s="174" t="str">
        <f aca="false">IFERROR(IF(I30="","⏳ Select a maturity rating to see the level description for this specific control.",INDEX(_DV!$1:$5,MATCH(LEFT(I30,2),{"L1","L2","L3","L4","L5"},0),27)),"⏳ Select a maturity rating.")</f>
        <v>L1 — Initial: Cross-Border Data Transfer Controls is absent or ad hoc. No formal process, no documentation, no named owner. Controls exist only reactively after incidents.</v>
      </c>
      <c r="O30" s="192" t="s">
        <v>582</v>
      </c>
      <c r="P30" s="164" t="str">
        <f aca="false">IF(OR(J30="",L30=""),"⏳ Complete rating and target to generate recommendation.",IF(L30&lt;=J30,"✅ Target met — sustain evidence and raise target when programme allows.",IFERROR(INDEX(_REC!$B:$B,MATCH(A30&amp;"|"&amp;IF(L30="","",LEFT(TEXT(L30,"0"),1)),_REC!$A:$A,0)),"Recommendation pending — check _REC data.")))</f>
        <v>Instrument Cross-Border Data Transfer Controls with measurable KPIs: define performance thresholds (coverage %, SLA adherence, exception count), establish automated telemetry where possible, and integrate reporting into quarterly governance cycles. Evidence must be system-generated and reviewed at each governance cycle.</v>
      </c>
      <c r="Q30" s="175" t="s">
        <v>632</v>
      </c>
      <c r="R30" s="176" t="s">
        <v>252</v>
      </c>
      <c r="S30" s="177"/>
      <c r="T30" s="178" t="str">
        <f aca="false">IF(S30="Exclude","⬛ Excluded",IF(S30="Apply","✅ Applicable",IF((('🔍 Scoping'!$E$6="No"))&gt;0,"⬛ Auto-Excluded","✅ Applicable")))</f>
        <v>✅ Applicable</v>
      </c>
    </row>
    <row r="31" customFormat="false" ht="69.75" hidden="false" customHeight="true" outlineLevel="0" collapsed="false">
      <c r="A31" s="104" t="n">
        <v>28</v>
      </c>
      <c r="B31" s="179" t="s">
        <v>633</v>
      </c>
      <c r="C31" s="180" t="s">
        <v>281</v>
      </c>
      <c r="D31" s="180" t="s">
        <v>634</v>
      </c>
      <c r="E31" s="180" t="s">
        <v>635</v>
      </c>
      <c r="F31" s="181" t="s">
        <v>636</v>
      </c>
      <c r="G31" s="182" t="s">
        <v>637</v>
      </c>
      <c r="H31" s="183" t="str">
        <f aca="false">HYPERLINK("#'📎 Evidence Register'!C33","ER-028  →  Row 33")</f>
        <v>ER-028  →  Row 33</v>
      </c>
      <c r="I31" s="169" t="s">
        <v>495</v>
      </c>
      <c r="J31" s="184" t="n">
        <f aca="false">IF(I31="","",IF(LEFT(I31,2)="L1",1,IF(LEFT(I31,2)="L2",2,IF(LEFT(I31,2)="L3",3,IF(LEFT(I31,2)="L4",4,IF(LEFT(I31,2)="L5",5,""))))))</f>
        <v>1</v>
      </c>
      <c r="K31" s="185" t="s">
        <v>496</v>
      </c>
      <c r="L31" s="186" t="n">
        <f aca="false">IF(K31="","",IF(LEFT(K31,2)="L1",1,IF(LEFT(K31,2)="L2",2,IF(LEFT(K31,2)="L3",3,IF(LEFT(K31,2)="L4",4,IF(LEFT(K31,2)="L5",5,""))))))</f>
        <v>3</v>
      </c>
      <c r="M31" s="187" t="n">
        <f aca="false">IFERROR(IF(OR(J31="",L31=""),"—",L31-J31),"—")</f>
        <v>2</v>
      </c>
      <c r="N31" s="188" t="str">
        <f aca="false">IFERROR(IF(I31="","⏳ Select a maturity rating to see the level description for this specific control.",INDEX(_DV!$1:$5,MATCH(LEFT(I31,2),{"L1","L2","L3","L4","L5"},0),28)),"⏳ Select a maturity rating.")</f>
        <v>L1 — Initial: Internal &amp; External Audit Programme is absent or ad hoc. No formal process, no documentation, no named owner. Controls exist only reactively after incidents.</v>
      </c>
      <c r="O31" s="193" t="s">
        <v>588</v>
      </c>
      <c r="P31" s="179" t="str">
        <f aca="false">IF(OR(J31="",L31=""),"⏳ Complete rating and target to generate recommendation.",IF(L31&lt;=J31,"✅ Target met — sustain evidence and raise target when programme allows.",IFERROR(INDEX(_REC!$B:$B,MATCH(A31&amp;"|"&amp;IF(L31="","",LEFT(TEXT(L31,"0"),1)),_REC!$A:$A,0)),"Recommendation pending — check _REC data.")))</f>
        <v>Standardise Internal &amp; External Audit Programme: formalise all documentation, apply the control consistently across all in-scope assets, close remaining coverage gaps, and ensure evidence is collected routinely. Exceptions must be formally managed with named owners and defined expiry dates.</v>
      </c>
      <c r="Q31" s="189" t="s">
        <v>638</v>
      </c>
      <c r="R31" s="190" t="s">
        <v>240</v>
      </c>
      <c r="S31" s="177"/>
      <c r="T31" s="191" t="str">
        <f aca="false">IF(S31="Exclude","⬛ Excluded",IF(S31="Apply","✅ Applicable","✅ Applicable"))</f>
        <v>✅ Applicable</v>
      </c>
    </row>
    <row r="32" customFormat="false" ht="69.75" hidden="false" customHeight="true" outlineLevel="0" collapsed="false">
      <c r="A32" s="155"/>
      <c r="B32" s="155"/>
      <c r="C32" s="155"/>
      <c r="D32" s="155"/>
      <c r="E32" s="155"/>
      <c r="F32" s="155"/>
      <c r="G32" s="155"/>
      <c r="H32" s="155"/>
      <c r="I32" s="155"/>
      <c r="J32" s="155"/>
      <c r="K32" s="155"/>
      <c r="L32" s="155"/>
      <c r="M32" s="155"/>
      <c r="N32" s="155"/>
      <c r="O32" s="155"/>
      <c r="P32" s="155"/>
      <c r="Q32" s="155"/>
      <c r="R32" s="155"/>
      <c r="S32" s="155"/>
      <c r="T32" s="155"/>
    </row>
    <row r="33" customFormat="false" ht="69.75" hidden="false" customHeight="true" outlineLevel="0" collapsed="false">
      <c r="A33" s="155"/>
      <c r="B33" s="155"/>
      <c r="C33" s="155"/>
      <c r="D33" s="155"/>
      <c r="E33" s="155"/>
      <c r="F33" s="155"/>
      <c r="G33" s="155"/>
      <c r="H33" s="155"/>
      <c r="I33" s="155"/>
      <c r="J33" s="155"/>
      <c r="K33" s="155"/>
      <c r="L33" s="155"/>
      <c r="M33" s="155"/>
      <c r="N33" s="155"/>
      <c r="O33" s="155"/>
      <c r="P33" s="155"/>
      <c r="Q33" s="155"/>
      <c r="R33" s="155"/>
      <c r="S33" s="155"/>
      <c r="T33" s="155"/>
    </row>
    <row r="34" customFormat="false" ht="69.75" hidden="false" customHeight="true" outlineLevel="0" collapsed="false">
      <c r="A34" s="155"/>
      <c r="B34" s="155"/>
      <c r="C34" s="155"/>
      <c r="D34" s="155"/>
      <c r="E34" s="155"/>
      <c r="F34" s="155"/>
      <c r="G34" s="155"/>
      <c r="H34" s="155"/>
      <c r="I34" s="155"/>
      <c r="J34" s="155"/>
      <c r="K34" s="155"/>
      <c r="L34" s="155"/>
      <c r="M34" s="155"/>
      <c r="N34" s="155"/>
      <c r="O34" s="155"/>
      <c r="P34" s="155"/>
      <c r="Q34" s="155"/>
      <c r="R34" s="155"/>
      <c r="S34" s="155"/>
      <c r="T34" s="155"/>
    </row>
    <row r="35" customFormat="false" ht="69.75" hidden="false" customHeight="true" outlineLevel="0" collapsed="false">
      <c r="A35" s="155"/>
      <c r="B35" s="155"/>
      <c r="C35" s="155"/>
      <c r="D35" s="155"/>
      <c r="E35" s="155"/>
      <c r="F35" s="155"/>
      <c r="G35" s="155"/>
      <c r="H35" s="155"/>
      <c r="I35" s="155"/>
      <c r="J35" s="155"/>
      <c r="K35" s="155"/>
      <c r="L35" s="155"/>
      <c r="M35" s="155"/>
      <c r="N35" s="155"/>
      <c r="O35" s="155"/>
      <c r="P35" s="155"/>
      <c r="Q35" s="155"/>
      <c r="R35" s="155"/>
      <c r="S35" s="155"/>
      <c r="T35" s="155"/>
    </row>
    <row r="36" customFormat="false" ht="69.75" hidden="false" customHeight="true" outlineLevel="0" collapsed="false">
      <c r="A36" s="155"/>
      <c r="B36" s="155"/>
      <c r="C36" s="155"/>
      <c r="D36" s="155"/>
      <c r="E36" s="155"/>
      <c r="F36" s="155"/>
      <c r="G36" s="155"/>
      <c r="H36" s="155"/>
      <c r="I36" s="155"/>
      <c r="J36" s="155"/>
      <c r="K36" s="155"/>
      <c r="L36" s="155"/>
      <c r="M36" s="155"/>
      <c r="N36" s="155"/>
      <c r="O36" s="155"/>
      <c r="P36" s="155"/>
      <c r="Q36" s="155"/>
      <c r="R36" s="155"/>
      <c r="S36" s="155"/>
      <c r="T36" s="155"/>
    </row>
    <row r="37" customFormat="false" ht="69.75" hidden="false" customHeight="true" outlineLevel="0" collapsed="false">
      <c r="A37" s="155"/>
      <c r="B37" s="155"/>
      <c r="C37" s="155"/>
      <c r="D37" s="155"/>
      <c r="E37" s="155"/>
      <c r="F37" s="155"/>
      <c r="G37" s="155"/>
      <c r="H37" s="155"/>
      <c r="I37" s="155"/>
      <c r="J37" s="155"/>
      <c r="K37" s="155"/>
      <c r="L37" s="155"/>
      <c r="M37" s="155"/>
      <c r="N37" s="155"/>
      <c r="O37" s="155"/>
      <c r="P37" s="155"/>
      <c r="Q37" s="155"/>
      <c r="R37" s="155"/>
      <c r="S37" s="155"/>
      <c r="T37" s="155"/>
    </row>
    <row r="38" customFormat="false" ht="69.75" hidden="false" customHeight="true" outlineLevel="0" collapsed="false">
      <c r="A38" s="155"/>
      <c r="B38" s="155"/>
      <c r="C38" s="155"/>
      <c r="D38" s="155"/>
      <c r="E38" s="155"/>
      <c r="F38" s="155"/>
      <c r="G38" s="155"/>
      <c r="H38" s="155"/>
      <c r="I38" s="155"/>
      <c r="J38" s="155"/>
      <c r="K38" s="155"/>
      <c r="L38" s="155"/>
      <c r="M38" s="155"/>
      <c r="N38" s="155"/>
      <c r="O38" s="155"/>
      <c r="P38" s="155"/>
      <c r="Q38" s="155"/>
      <c r="R38" s="155"/>
      <c r="S38" s="155"/>
      <c r="T38" s="155"/>
    </row>
    <row r="39" customFormat="false" ht="69.75" hidden="false" customHeight="true" outlineLevel="0" collapsed="false">
      <c r="A39" s="155"/>
      <c r="B39" s="155"/>
      <c r="C39" s="155"/>
      <c r="D39" s="155"/>
      <c r="E39" s="155"/>
      <c r="F39" s="155"/>
      <c r="G39" s="155"/>
      <c r="H39" s="155"/>
      <c r="I39" s="155"/>
      <c r="J39" s="155"/>
      <c r="K39" s="155"/>
      <c r="L39" s="155"/>
      <c r="M39" s="155"/>
      <c r="N39" s="155"/>
      <c r="O39" s="155"/>
      <c r="P39" s="155"/>
      <c r="Q39" s="155"/>
      <c r="R39" s="155"/>
      <c r="S39" s="155"/>
      <c r="T39" s="155"/>
    </row>
    <row r="40" customFormat="false" ht="69.75" hidden="false" customHeight="true" outlineLevel="0" collapsed="false">
      <c r="A40" s="155"/>
      <c r="B40" s="155"/>
      <c r="C40" s="155"/>
      <c r="D40" s="155"/>
      <c r="E40" s="155"/>
      <c r="F40" s="155"/>
      <c r="G40" s="155"/>
      <c r="H40" s="155"/>
      <c r="I40" s="155"/>
      <c r="J40" s="155"/>
      <c r="K40" s="155"/>
      <c r="L40" s="155"/>
      <c r="M40" s="155"/>
      <c r="N40" s="155"/>
      <c r="O40" s="155"/>
      <c r="P40" s="155"/>
      <c r="Q40" s="155"/>
      <c r="R40" s="155"/>
      <c r="S40" s="155"/>
      <c r="T40" s="155"/>
    </row>
    <row r="41" customFormat="false" ht="69.75" hidden="false" customHeight="true" outlineLevel="0" collapsed="false">
      <c r="A41" s="155"/>
      <c r="B41" s="155"/>
      <c r="C41" s="155"/>
      <c r="D41" s="155"/>
      <c r="E41" s="155"/>
      <c r="F41" s="155"/>
      <c r="G41" s="155"/>
      <c r="H41" s="155"/>
      <c r="I41" s="155"/>
      <c r="J41" s="155"/>
      <c r="K41" s="155"/>
      <c r="L41" s="155"/>
      <c r="M41" s="155"/>
      <c r="N41" s="155"/>
      <c r="O41" s="155"/>
      <c r="P41" s="155"/>
      <c r="Q41" s="155"/>
      <c r="R41" s="155"/>
      <c r="S41" s="155"/>
      <c r="T41" s="155"/>
    </row>
    <row r="42" customFormat="false" ht="69.75" hidden="false" customHeight="true" outlineLevel="0" collapsed="false">
      <c r="A42" s="155"/>
      <c r="B42" s="155"/>
      <c r="C42" s="155"/>
      <c r="D42" s="155"/>
      <c r="E42" s="155"/>
      <c r="F42" s="155"/>
      <c r="G42" s="155"/>
      <c r="H42" s="155"/>
      <c r="I42" s="155"/>
      <c r="J42" s="155"/>
      <c r="K42" s="155"/>
      <c r="L42" s="155"/>
      <c r="M42" s="155"/>
      <c r="N42" s="155"/>
      <c r="O42" s="155"/>
      <c r="P42" s="155"/>
      <c r="Q42" s="155"/>
      <c r="R42" s="155"/>
      <c r="S42" s="155"/>
      <c r="T42" s="155"/>
    </row>
    <row r="43" customFormat="false" ht="69.75" hidden="false" customHeight="true" outlineLevel="0" collapsed="false">
      <c r="A43" s="155"/>
      <c r="B43" s="155"/>
      <c r="C43" s="155"/>
      <c r="D43" s="155"/>
      <c r="E43" s="155"/>
      <c r="F43" s="155"/>
      <c r="G43" s="155"/>
      <c r="H43" s="155"/>
      <c r="I43" s="155"/>
      <c r="J43" s="155"/>
      <c r="K43" s="155"/>
      <c r="L43" s="155"/>
      <c r="M43" s="155"/>
      <c r="N43" s="155"/>
      <c r="O43" s="155"/>
      <c r="P43" s="155"/>
      <c r="Q43" s="155"/>
      <c r="R43" s="155"/>
      <c r="S43" s="155"/>
      <c r="T43" s="155"/>
    </row>
  </sheetData>
  <autoFilter ref="A3:Q31"/>
  <mergeCells count="4">
    <mergeCell ref="A1:S1"/>
    <mergeCell ref="B2:G2"/>
    <mergeCell ref="N2:O2"/>
    <mergeCell ref="Q2:S2"/>
  </mergeCells>
  <conditionalFormatting sqref="A4:S43">
    <cfRule type="expression" priority="2" aboveAverage="0" equalAverage="0" bottom="0" percent="0" rank="0" text="" dxfId="26">
      <formula>OR($S4="Exclude",$T4="⬛ Auto-Excluded")</formula>
    </cfRule>
  </conditionalFormatting>
  <conditionalFormatting sqref="J4:J43">
    <cfRule type="expression" priority="3" aboveAverage="0" equalAverage="0" bottom="0" percent="0" rank="0" text="" dxfId="27">
      <formula>$J4=1</formula>
    </cfRule>
    <cfRule type="expression" priority="4" aboveAverage="0" equalAverage="0" bottom="0" percent="0" rank="0" text="" dxfId="28">
      <formula>$J4=2</formula>
    </cfRule>
    <cfRule type="expression" priority="5" aboveAverage="0" equalAverage="0" bottom="0" percent="0" rank="0" text="" dxfId="29">
      <formula>$J4=3</formula>
    </cfRule>
    <cfRule type="expression" priority="6" aboveAverage="0" equalAverage="0" bottom="0" percent="0" rank="0" text="" dxfId="30">
      <formula>$J4=4</formula>
    </cfRule>
    <cfRule type="expression" priority="7" aboveAverage="0" equalAverage="0" bottom="0" percent="0" rank="0" text="" dxfId="31">
      <formula>$J4=5</formula>
    </cfRule>
  </conditionalFormatting>
  <conditionalFormatting sqref="M4:M43">
    <cfRule type="expression" priority="8" aboveAverage="0" equalAverage="0" bottom="0" percent="0" rank="0" text="" dxfId="32">
      <formula>AND(ISNUMBER($M4),$M4&gt;2)</formula>
    </cfRule>
    <cfRule type="expression" priority="9" aboveAverage="0" equalAverage="0" bottom="0" percent="0" rank="0" text="" dxfId="33">
      <formula>AND(ISNUMBER($M4),$M4&gt;=1,$M4&lt;=2)</formula>
    </cfRule>
    <cfRule type="expression" priority="10" aboveAverage="0" equalAverage="0" bottom="0" percent="0" rank="0" text="" dxfId="34">
      <formula>AND(ISNUMBER($M4),$M4&lt;=0)</formula>
    </cfRule>
  </conditionalFormatting>
  <conditionalFormatting sqref="K4:K43">
    <cfRule type="expression" priority="11" aboveAverage="0" equalAverage="0" bottom="0" percent="0" rank="0" text="" dxfId="35">
      <formula>AND($J4&lt;&gt;"",$K4="")</formula>
    </cfRule>
  </conditionalFormatting>
  <conditionalFormatting sqref="O4:O43">
    <cfRule type="expression" priority="12" aboveAverage="0" equalAverage="0" bottom="0" percent="0" rank="0" text="" dxfId="36">
      <formula>OR($S4="Exclude",$T4="⬛ Auto-Excluded")</formula>
    </cfRule>
  </conditionalFormatting>
  <conditionalFormatting sqref="A4:S31">
    <cfRule type="expression" priority="13" aboveAverage="0" equalAverage="0" bottom="0" percent="0" rank="0" text="" dxfId="37">
      <formula>OR($S4="Exclude",$T4="⬛ Auto-Excluded")</formula>
    </cfRule>
  </conditionalFormatting>
  <conditionalFormatting sqref="J4:J31">
    <cfRule type="expression" priority="14" aboveAverage="0" equalAverage="0" bottom="0" percent="0" rank="0" text="" dxfId="27">
      <formula>$J4=1</formula>
    </cfRule>
    <cfRule type="expression" priority="15" aboveAverage="0" equalAverage="0" bottom="0" percent="0" rank="0" text="" dxfId="28">
      <formula>$J4=2</formula>
    </cfRule>
    <cfRule type="expression" priority="16" aboveAverage="0" equalAverage="0" bottom="0" percent="0" rank="0" text="" dxfId="29">
      <formula>$J4=3</formula>
    </cfRule>
    <cfRule type="expression" priority="17" aboveAverage="0" equalAverage="0" bottom="0" percent="0" rank="0" text="" dxfId="30">
      <formula>$J4=4</formula>
    </cfRule>
    <cfRule type="expression" priority="18" aboveAverage="0" equalAverage="0" bottom="0" percent="0" rank="0" text="" dxfId="31">
      <formula>$J4=5</formula>
    </cfRule>
  </conditionalFormatting>
  <conditionalFormatting sqref="M4:M31">
    <cfRule type="expression" priority="19" aboveAverage="0" equalAverage="0" bottom="0" percent="0" rank="0" text="" dxfId="32">
      <formula>AND(ISNUMBER($M4),$M4&gt;2)</formula>
    </cfRule>
    <cfRule type="expression" priority="20" aboveAverage="0" equalAverage="0" bottom="0" percent="0" rank="0" text="" dxfId="33">
      <formula>AND(ISNUMBER($M4),$M4&gt;=1,$M4&lt;=2)</formula>
    </cfRule>
    <cfRule type="expression" priority="21" aboveAverage="0" equalAverage="0" bottom="0" percent="0" rank="0" text="" dxfId="34">
      <formula>AND(ISNUMBER($M4),$M4&lt;=0)</formula>
    </cfRule>
  </conditionalFormatting>
  <conditionalFormatting sqref="K4:K31">
    <cfRule type="expression" priority="22" aboveAverage="0" equalAverage="0" bottom="0" percent="0" rank="0" text="" dxfId="35">
      <formula>AND($J4&lt;&gt;"",$K4="")</formula>
    </cfRule>
  </conditionalFormatting>
  <dataValidations count="6">
    <dataValidation allowBlank="true" errorStyle="stop" operator="between" prompt="Select the current maturity level.&#10;L3 = Defined is the minimum enterprise baseline.&#10;Column N will auto-show a control-specific description." promptTitle="Maturity Rating" showDropDown="false" showErrorMessage="false" showInputMessage="true" sqref="I32:I43" type="list">
      <formula1>"L1 — Initial,L2 — Developing,L3 — Defined,L4 — Managed,L5 — Optimised"</formula1>
      <formula2>0</formula2>
    </dataValidation>
    <dataValidation allowBlank="true" errorStyle="stop" operator="between" prompt="Select the target maturity level.&#10;Column P will auto-generate a specific improvement recommendation." promptTitle="Target Level" showDropDown="false" showErrorMessage="false" showInputMessage="true" sqref="K32:K43" type="list">
      <formula1>"L1 — Initial,L2 — Developing,L3 — Defined,L4 — Managed,L5 — Optimised"</formula1>
      <formula2>0</formula2>
    </dataValidation>
    <dataValidation allowBlank="true" errorStyle="stop" operator="between" prompt="Leave blank = auto-determined by Scoping tab.&#10;Apply = force include (overrides auto-exclusion).&#10;Exclude = manually remove from scoring and calculations.&#10;&#10;Excluded rows will be greyed out automatically." promptTitle="Scope Override" showDropDown="false" showErrorMessage="false" showInputMessage="true" sqref="S32:S43" type="list">
      <formula1>"Apply,Exclude"</formula1>
      <formula2>0</formula2>
    </dataValidation>
    <dataValidation allowBlank="true" errorStyle="stop" operator="between" prompt="Select the current maturity level.&#10;L3 = Defined is the minimum enterprise baseline." promptTitle="Maturity Rating" showDropDown="false" showErrorMessage="false" showInputMessage="true" sqref="I4:I31" type="list">
      <formula1>"L1 — Initial,L2 — Developing,L3 — Defined,L4 — Managed,L5 — Optimised"</formula1>
      <formula2>0</formula2>
    </dataValidation>
    <dataValidation allowBlank="true" errorStyle="stop" operator="between" prompt="Select the target level. Column P auto-generates a recommendation." promptTitle="Target Level" showDropDown="false" showErrorMessage="false" showInputMessage="true" sqref="K4:K31" type="list">
      <formula1>"L1 — Initial,L2 — Developing,L3 — Defined,L4 — Managed,L5 — Optimised"</formula1>
      <formula2>0</formula2>
    </dataValidation>
    <dataValidation allowBlank="true" errorStyle="stop" operator="between" prompt="Leave blank = auto-determined by Scoping tab.&#10;Apply = force include.&#10;Exclude = remove from scoring." promptTitle="Scope Override" showDropDown="false" showErrorMessage="false" showInputMessage="true" sqref="S4:S31" type="list">
      <formula1>"Apply,Exclude"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T35"/>
  <sheetViews>
    <sheetView showFormulas="false" showGridLines="false" showRowColHeaders="true" showZeros="true" rightToLeft="false" tabSelected="false" showOutlineSymbols="true" defaultGridColor="true" view="normal" topLeftCell="K1" colorId="64" zoomScale="88" zoomScaleNormal="88" zoomScalePageLayoutView="100" workbookViewId="0">
      <pane xSplit="0" ySplit="3" topLeftCell="A23" activePane="bottomLeft" state="frozen"/>
      <selection pane="topLeft" activeCell="K1" activeCellId="0" sqref="K1"/>
      <selection pane="bottomLeft" activeCell="Q23" activeCellId="0" sqref="Q23"/>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36"/>
    <col collapsed="false" customWidth="true" hidden="false" outlineLevel="0" max="4" min="4" style="1" width="46"/>
    <col collapsed="false" customWidth="true" hidden="false" outlineLevel="0" max="5" min="5" style="1" width="48"/>
    <col collapsed="false" customWidth="true" hidden="false" outlineLevel="0" max="6" min="6" style="1" width="36"/>
    <col collapsed="false" customWidth="true" hidden="false" outlineLevel="0" max="7" min="7" style="1" width="14"/>
    <col collapsed="false" customWidth="true" hidden="false" outlineLevel="0" max="9" min="8" style="1" width="13"/>
    <col collapsed="false" customWidth="true" hidden="false" outlineLevel="0" max="10" min="10" style="1" width="8"/>
    <col collapsed="false" customWidth="true" hidden="false" outlineLevel="0" max="11" min="11" style="1" width="30"/>
    <col collapsed="false" customWidth="true" hidden="false" outlineLevel="0" max="12" min="12" style="1" width="10"/>
    <col collapsed="false" customWidth="true" hidden="false" outlineLevel="0" max="13" min="13" style="1" width="8"/>
    <col collapsed="false" customWidth="true" hidden="false" outlineLevel="0" max="14" min="14" style="1" width="52"/>
    <col collapsed="false" customWidth="true" hidden="false" outlineLevel="0" max="15" min="15" style="1" width="16"/>
    <col collapsed="false" customWidth="true" hidden="false" outlineLevel="0" max="16" min="16" style="1" width="50"/>
    <col collapsed="false" customWidth="true" hidden="false" outlineLevel="0" max="17" min="17" style="1" width="38"/>
    <col collapsed="false" customWidth="true" hidden="false" outlineLevel="0" max="18" min="18" style="1" width="14"/>
    <col collapsed="false" customWidth="true" hidden="false" outlineLevel="0" max="19" min="19" style="1" width="12"/>
    <col collapsed="false" customWidth="true" hidden="true" outlineLevel="0" max="20" min="20" style="1" width="4"/>
  </cols>
  <sheetData>
    <row r="1" customFormat="false" ht="49.5" hidden="false" customHeight="true" outlineLevel="0" collapsed="false">
      <c r="A1" s="194" t="s">
        <v>639</v>
      </c>
      <c r="B1" s="194"/>
      <c r="C1" s="194"/>
      <c r="D1" s="194"/>
      <c r="E1" s="194"/>
      <c r="F1" s="194"/>
      <c r="G1" s="194"/>
      <c r="H1" s="194"/>
      <c r="I1" s="194"/>
      <c r="J1" s="194"/>
      <c r="K1" s="194"/>
      <c r="L1" s="194"/>
      <c r="M1" s="194"/>
      <c r="N1" s="194"/>
      <c r="O1" s="194"/>
      <c r="P1" s="194"/>
      <c r="Q1" s="194"/>
      <c r="R1" s="194"/>
      <c r="S1" s="194"/>
      <c r="T1" s="155"/>
    </row>
    <row r="2" customFormat="false" ht="24" hidden="false" customHeight="true" outlineLevel="0" collapsed="false">
      <c r="A2" s="156"/>
      <c r="B2" s="157" t="s">
        <v>469</v>
      </c>
      <c r="C2" s="157"/>
      <c r="D2" s="157"/>
      <c r="E2" s="157"/>
      <c r="F2" s="157"/>
      <c r="G2" s="157"/>
      <c r="H2" s="156"/>
      <c r="I2" s="158" t="s">
        <v>470</v>
      </c>
      <c r="J2" s="159" t="n">
        <f aca="false">IFERROR(AVERAGEIFS(J4:J25,T4:T25,"✅ Applicable"),"—")</f>
        <v>1.31578947368421</v>
      </c>
      <c r="K2" s="158" t="s">
        <v>471</v>
      </c>
      <c r="L2" s="160" t="n">
        <f aca="false">IFERROR(AVERAGEIFS(L4:L25,T4:T25,"✅ Applicable"),"—")</f>
        <v>3.47368421052632</v>
      </c>
      <c r="M2" s="158" t="s">
        <v>472</v>
      </c>
      <c r="N2" s="161" t="str">
        <f aca="false">IFERROR(COUNTIFS(J4:J25,"&lt;&gt;",T4:T25,"✅ Applicable")&amp;" / "&amp;COUNTIF(T4:T25,"✅ Applicable")&amp;" applicable","—")</f>
        <v>19 / 19 applicable</v>
      </c>
      <c r="O2" s="161"/>
      <c r="P2" s="158" t="s">
        <v>473</v>
      </c>
      <c r="Q2" s="162" t="str">
        <f aca="false">COUNTIF(T4:T25,"⬛ Auto-Excluded")&amp;" controls (scoping)"</f>
        <v>0 controls (scoping)</v>
      </c>
      <c r="R2" s="162"/>
      <c r="S2" s="162"/>
      <c r="T2" s="155"/>
    </row>
    <row r="3" customFormat="false" ht="45" hidden="false" customHeight="true" outlineLevel="0" collapsed="false">
      <c r="A3" s="163" t="s">
        <v>474</v>
      </c>
      <c r="B3" s="163" t="s">
        <v>23</v>
      </c>
      <c r="C3" s="163" t="s">
        <v>229</v>
      </c>
      <c r="D3" s="163" t="s">
        <v>475</v>
      </c>
      <c r="E3" s="163" t="s">
        <v>476</v>
      </c>
      <c r="F3" s="163" t="s">
        <v>477</v>
      </c>
      <c r="G3" s="163" t="s">
        <v>478</v>
      </c>
      <c r="H3" s="163" t="s">
        <v>479</v>
      </c>
      <c r="I3" s="163" t="s">
        <v>480</v>
      </c>
      <c r="J3" s="163" t="s">
        <v>481</v>
      </c>
      <c r="K3" s="163" t="s">
        <v>482</v>
      </c>
      <c r="L3" s="163" t="s">
        <v>483</v>
      </c>
      <c r="M3" s="163" t="s">
        <v>142</v>
      </c>
      <c r="N3" s="163" t="s">
        <v>484</v>
      </c>
      <c r="O3" s="163" t="s">
        <v>485</v>
      </c>
      <c r="P3" s="163" t="s">
        <v>486</v>
      </c>
      <c r="Q3" s="163" t="s">
        <v>487</v>
      </c>
      <c r="R3" s="163" t="s">
        <v>233</v>
      </c>
      <c r="S3" s="163" t="s">
        <v>488</v>
      </c>
      <c r="T3" s="163" t="s">
        <v>489</v>
      </c>
    </row>
    <row r="4" customFormat="false" ht="69.75" hidden="false" customHeight="true" outlineLevel="0" collapsed="false">
      <c r="A4" s="104" t="n">
        <v>29</v>
      </c>
      <c r="B4" s="164" t="s">
        <v>640</v>
      </c>
      <c r="C4" s="165" t="s">
        <v>283</v>
      </c>
      <c r="D4" s="165" t="s">
        <v>641</v>
      </c>
      <c r="E4" s="165" t="s">
        <v>642</v>
      </c>
      <c r="F4" s="195" t="s">
        <v>643</v>
      </c>
      <c r="G4" s="195" t="s">
        <v>644</v>
      </c>
      <c r="H4" s="168" t="str">
        <f aca="false">HYPERLINK("#'📎 Evidence Register'!C34","ER-029  →  Row 34")</f>
        <v>ER-029  →  Row 34</v>
      </c>
      <c r="I4" s="196" t="s">
        <v>508</v>
      </c>
      <c r="J4" s="170" t="n">
        <f aca="false">IF(I4="","",IF(LEFT(I4,2)="L1",1,IF(LEFT(I4,2)="L2",2,IF(LEFT(I4,2)="L3",3,IF(LEFT(I4,2)="L4",4,IF(LEFT(I4,2)="L5",5,""))))))</f>
        <v>2</v>
      </c>
      <c r="K4" s="197" t="s">
        <v>496</v>
      </c>
      <c r="L4" s="172" t="n">
        <f aca="false">IF(K4="","",IF(LEFT(K4,2)="L1",1,IF(LEFT(K4,2)="L2",2,IF(LEFT(K4,2)="L3",3,IF(LEFT(K4,2)="L4",4,IF(LEFT(K4,2)="L5",5,""))))))</f>
        <v>3</v>
      </c>
      <c r="M4" s="173" t="n">
        <f aca="false">IFERROR(IF(OR(J4="",L4=""),"—",L4-J4),"—")</f>
        <v>1</v>
      </c>
      <c r="N4" s="174" t="str">
        <f aca="false">IFERROR(IF(I4="","⏳ Select a maturity rating to see the level description for this specific control.",INDEX(_DV!$1:$5,MATCH(LEFT(I4,2),{"L1","L2","L3","L4","L5"},0),29)),"⏳ Select a maturity rating.")</f>
        <v>L2 — Developing: IT Hardware Asset Inventory (CMDB) has basic controls in place but coverage is incomplete and execution is manual. Not consistently applied across all in-scope assets. Formal governance is absent.</v>
      </c>
      <c r="O4" s="108" t="str">
        <f aca="false">IF(S4="Exclude","⬛ Not Applicable",IF(T4="⬛ Auto-Excluded","⬛ Not Applicable",IF(I4="","✅ Applicable",IF(J4=1,"🔴 Critical",IF(J4=2,"🟠 Developing",IF(J4=3,"🟡 Defined",IF(J4&gt;=4,"🟢 Managed","✅ Applicable")))))))</f>
        <v>🟠 Developing</v>
      </c>
      <c r="P4" s="164" t="str">
        <f aca="false">IF(OR(J4="",L4=""),"⏳ Complete rating and target to generate recommendation.",IF(L4&lt;=J4,"✅ Target met — sustain evidence and raise target when programme allows.",IFERROR(INDEX(_REC!$B:$B,MATCH(A4&amp;"|"&amp;IF(L4="","",LEFT(TEXT(L4,"0"),1)),_REC!$A:$A,0)),"Recommendation pending — check _REC data.")))</f>
        <v>Standardise IT Hardware Asset Inventory (CMDB): formalise all documentation, apply the control consistently across all in-scope assets, close remaining coverage gaps, and ensure evidence is collected routinely. Exceptions must be formally managed with named owners and defined expiry dates.</v>
      </c>
      <c r="Q4" s="175" t="s">
        <v>645</v>
      </c>
      <c r="R4" s="198" t="s">
        <v>284</v>
      </c>
      <c r="S4" s="177"/>
      <c r="T4" s="178" t="str">
        <f aca="false">IF(S4="Exclude","⬛ Excluded",IF(S4="Apply","✅ Applicable","✅ Applicable"))</f>
        <v>✅ Applicable</v>
      </c>
    </row>
    <row r="5" customFormat="false" ht="69.75" hidden="false" customHeight="true" outlineLevel="0" collapsed="false">
      <c r="A5" s="104" t="n">
        <v>30</v>
      </c>
      <c r="B5" s="179" t="s">
        <v>640</v>
      </c>
      <c r="C5" s="180" t="s">
        <v>285</v>
      </c>
      <c r="D5" s="180" t="s">
        <v>646</v>
      </c>
      <c r="E5" s="180" t="s">
        <v>647</v>
      </c>
      <c r="F5" s="199" t="s">
        <v>648</v>
      </c>
      <c r="G5" s="199" t="s">
        <v>649</v>
      </c>
      <c r="H5" s="183" t="str">
        <f aca="false">HYPERLINK("#'📎 Evidence Register'!C35","ER-030  →  Row 35")</f>
        <v>ER-030  →  Row 35</v>
      </c>
      <c r="I5" s="196" t="s">
        <v>495</v>
      </c>
      <c r="J5" s="184" t="n">
        <f aca="false">IF(I5="","",IF(LEFT(I5,2)="L1",1,IF(LEFT(I5,2)="L2",2,IF(LEFT(I5,2)="L3",3,IF(LEFT(I5,2)="L4",4,IF(LEFT(I5,2)="L5",5,""))))))</f>
        <v>1</v>
      </c>
      <c r="K5" s="200" t="s">
        <v>496</v>
      </c>
      <c r="L5" s="186" t="n">
        <f aca="false">IF(K5="","",IF(LEFT(K5,2)="L1",1,IF(LEFT(K5,2)="L2",2,IF(LEFT(K5,2)="L3",3,IF(LEFT(K5,2)="L4",4,IF(LEFT(K5,2)="L5",5,""))))))</f>
        <v>3</v>
      </c>
      <c r="M5" s="187" t="n">
        <f aca="false">IFERROR(IF(OR(J5="",L5=""),"—",L5-J5),"—")</f>
        <v>2</v>
      </c>
      <c r="N5" s="188" t="str">
        <f aca="false">IFERROR(IF(I5="","⏳ Select a maturity rating to see the level description for this specific control.",INDEX(_DV!$1:$5,MATCH(LEFT(I5,2),{"L1","L2","L3","L4","L5"},0),30)),"⏳ Select a maturity rating.")</f>
        <v>L1 — Initial: Software Asset Inventory is absent or ad hoc. No formal process, no documentation, no named owner. Controls exist only reactively after incidents.</v>
      </c>
      <c r="O5" s="113" t="str">
        <f aca="false">IF(S5="Exclude","⬛ Not Applicable",IF(T5="⬛ Auto-Excluded","⬛ Not Applicable",IF(I5="","✅ Applicable",IF(J5=1,"🔴 Critical",IF(J5=2,"🟠 Developing",IF(J5=3,"🟡 Defined",IF(J5&gt;=4,"🟢 Managed","✅ Applicable")))))))</f>
        <v>🔴 Critical</v>
      </c>
      <c r="P5" s="179" t="str">
        <f aca="false">IF(OR(J5="",L5=""),"⏳ Complete rating and target to generate recommendation.",IF(L5&lt;=J5,"✅ Target met — sustain evidence and raise target when programme allows.",IFERROR(INDEX(_REC!$B:$B,MATCH(A5&amp;"|"&amp;IF(L5="","",LEFT(TEXT(L5,"0"),1)),_REC!$A:$A,0)),"Recommendation pending — check _REC data.")))</f>
        <v>Standardise Software Asset Inventory: formalise all documentation, apply the control consistently across all in-scope assets, close remaining coverage gaps, and ensure evidence is collected routinely. Exceptions must be formally managed with named owners and defined expiry dates.</v>
      </c>
      <c r="Q5" s="189" t="s">
        <v>650</v>
      </c>
      <c r="R5" s="201" t="s">
        <v>284</v>
      </c>
      <c r="S5" s="177"/>
      <c r="T5" s="191" t="str">
        <f aca="false">IF(S5="Exclude","⬛ Excluded",IF(S5="Apply","✅ Applicable","✅ Applicable"))</f>
        <v>✅ Applicable</v>
      </c>
    </row>
    <row r="6" customFormat="false" ht="69.75" hidden="false" customHeight="true" outlineLevel="0" collapsed="false">
      <c r="A6" s="104" t="n">
        <v>31</v>
      </c>
      <c r="B6" s="164" t="s">
        <v>640</v>
      </c>
      <c r="C6" s="165" t="s">
        <v>286</v>
      </c>
      <c r="D6" s="165" t="s">
        <v>651</v>
      </c>
      <c r="E6" s="165" t="s">
        <v>652</v>
      </c>
      <c r="F6" s="195" t="s">
        <v>653</v>
      </c>
      <c r="G6" s="195" t="s">
        <v>654</v>
      </c>
      <c r="H6" s="168" t="str">
        <f aca="false">HYPERLINK("#'📎 Evidence Register'!C36","ER-031  →  Row 36")</f>
        <v>ER-031  →  Row 36</v>
      </c>
      <c r="I6" s="196" t="s">
        <v>508</v>
      </c>
      <c r="J6" s="170" t="n">
        <f aca="false">IF(I6="","",IF(LEFT(I6,2)="L1",1,IF(LEFT(I6,2)="L2",2,IF(LEFT(I6,2)="L3",3,IF(LEFT(I6,2)="L4",4,IF(LEFT(I6,2)="L5",5,""))))))</f>
        <v>2</v>
      </c>
      <c r="K6" s="197" t="s">
        <v>496</v>
      </c>
      <c r="L6" s="172" t="n">
        <f aca="false">IF(K6="","",IF(LEFT(K6,2)="L1",1,IF(LEFT(K6,2)="L2",2,IF(LEFT(K6,2)="L3",3,IF(LEFT(K6,2)="L4",4,IF(LEFT(K6,2)="L5",5,""))))))</f>
        <v>3</v>
      </c>
      <c r="M6" s="173" t="n">
        <f aca="false">IFERROR(IF(OR(J6="",L6=""),"—",L6-J6),"—")</f>
        <v>1</v>
      </c>
      <c r="N6" s="174" t="str">
        <f aca="false">IFERROR(IF(I6="","⏳ Select a maturity rating to see the level description for this specific control.",INDEX(_DV!$1:$5,MATCH(LEFT(I6,2),{"L1","L2","L3","L4","L5"},0),31)),"⏳ Select a maturity rating.")</f>
        <v>L2 — Developing: Cloud Infrastructure Asset Inventory has basic controls in place but coverage is incomplete and execution is manual. Not consistently applied across all in-scope assets. Formal governance is absent.</v>
      </c>
      <c r="O6" s="108" t="str">
        <f aca="false">IF(S6="Exclude","⬛ Not Applicable",IF(T6="⬛ Auto-Excluded","⬛ Not Applicable",IF(I6="","✅ Applicable",IF(J6=1,"🔴 Critical",IF(J6=2,"🟠 Developing",IF(J6=3,"🟡 Defined",IF(J6&gt;=4,"🟢 Managed","✅ Applicable")))))))</f>
        <v>🟠 Developing</v>
      </c>
      <c r="P6" s="164" t="str">
        <f aca="false">IF(OR(J6="",L6=""),"⏳ Complete rating and target to generate recommendation.",IF(L6&lt;=J6,"✅ Target met — sustain evidence and raise target when programme allows.",IFERROR(INDEX(_REC!$B:$B,MATCH(A6&amp;"|"&amp;IF(L6="","",LEFT(TEXT(L6,"0"),1)),_REC!$A:$A,0)),"Recommendation pending — check _REC data.")))</f>
        <v>Standardise Cloud Infrastructure Asset Inventory: formalise all documentation, apply the control consistently across all in-scope assets, close remaining coverage gaps, and ensure evidence is collected routinely. Exceptions must be formally managed with named owners and defined expiry dates.</v>
      </c>
      <c r="Q6" s="175" t="s">
        <v>655</v>
      </c>
      <c r="R6" s="198" t="s">
        <v>287</v>
      </c>
      <c r="S6" s="177"/>
      <c r="T6" s="178" t="str">
        <f aca="false">IF(S6="Exclude","⬛ Excluded",IF(S6="Apply","✅ Applicable",IF((('🔍 Scoping'!$E$20="No"))&gt;0,"⬛ Auto-Excluded","✅ Applicable")))</f>
        <v>✅ Applicable</v>
      </c>
    </row>
    <row r="7" customFormat="false" ht="69.75" hidden="false" customHeight="true" outlineLevel="0" collapsed="false">
      <c r="A7" s="104" t="n">
        <v>32</v>
      </c>
      <c r="B7" s="179" t="s">
        <v>640</v>
      </c>
      <c r="C7" s="180" t="s">
        <v>288</v>
      </c>
      <c r="D7" s="180" t="s">
        <v>656</v>
      </c>
      <c r="E7" s="180" t="s">
        <v>657</v>
      </c>
      <c r="F7" s="199" t="s">
        <v>658</v>
      </c>
      <c r="G7" s="199" t="s">
        <v>659</v>
      </c>
      <c r="H7" s="183" t="str">
        <f aca="false">HYPERLINK("#'📎 Evidence Register'!C37","ER-032  →  Row 37")</f>
        <v>ER-032  →  Row 37</v>
      </c>
      <c r="I7" s="196" t="s">
        <v>495</v>
      </c>
      <c r="J7" s="184" t="n">
        <f aca="false">IF(I7="","",IF(LEFT(I7,2)="L1",1,IF(LEFT(I7,2)="L2",2,IF(LEFT(I7,2)="L3",3,IF(LEFT(I7,2)="L4",4,IF(LEFT(I7,2)="L5",5,""))))))</f>
        <v>1</v>
      </c>
      <c r="K7" s="200" t="s">
        <v>545</v>
      </c>
      <c r="L7" s="186" t="n">
        <f aca="false">IF(K7="","",IF(LEFT(K7,2)="L1",1,IF(LEFT(K7,2)="L2",2,IF(LEFT(K7,2)="L3",3,IF(LEFT(K7,2)="L4",4,IF(LEFT(K7,2)="L5",5,""))))))</f>
        <v>4</v>
      </c>
      <c r="M7" s="187" t="n">
        <f aca="false">IFERROR(IF(OR(J7="",L7=""),"—",L7-J7),"—")</f>
        <v>3</v>
      </c>
      <c r="N7" s="188" t="str">
        <f aca="false">IFERROR(IF(I7="","⏳ Select a maturity rating to see the level description for this specific control.",INDEX(_DV!$1:$5,MATCH(LEFT(I7,2),{"L1","L2","L3","L4","L5"},0),32)),"⏳ Select a maturity rating.")</f>
        <v>L1 — Initial: SaaS &amp; Shadow IT Discovery is absent or ad hoc. No formal process, no documentation, no named owner. Controls exist only reactively after incidents.</v>
      </c>
      <c r="O7" s="113" t="str">
        <f aca="false">IF(S7="Exclude","⬛ Not Applicable",IF(T7="⬛ Auto-Excluded","⬛ Not Applicable",IF(I7="","✅ Applicable",IF(J7=1,"🔴 Critical",IF(J7=2,"🟠 Developing",IF(J7=3,"🟡 Defined",IF(J7&gt;=4,"🟢 Managed","✅ Applicable")))))))</f>
        <v>🔴 Critical</v>
      </c>
      <c r="P7" s="179" t="str">
        <f aca="false">IF(OR(J7="",L7=""),"⏳ Complete rating and target to generate recommendation.",IF(L7&lt;=J7,"✅ Target met — sustain evidence and raise target when programme allows.",IFERROR(INDEX(_REC!$B:$B,MATCH(A7&amp;"|"&amp;IF(L7="","",LEFT(TEXT(L7,"0"),1)),_REC!$A:$A,0)),"Recommendation pending — check _REC data.")))</f>
        <v>Instrument SaaS &amp; Shadow IT Discovery with measurable KPIs: define performance thresholds (coverage %, SLA adherence, exception count), establish automated telemetry where possible, and integrate reporting into quarterly governance cycles. Evidence must be system-generated and reviewed at each governance cycle.</v>
      </c>
      <c r="Q7" s="189" t="s">
        <v>660</v>
      </c>
      <c r="R7" s="201" t="s">
        <v>249</v>
      </c>
      <c r="S7" s="177"/>
      <c r="T7" s="191" t="str">
        <f aca="false">IF(S7="Exclude","⬛ Excluded",IF(S7="Apply","✅ Applicable","✅ Applicable"))</f>
        <v>✅ Applicable</v>
      </c>
    </row>
    <row r="8" customFormat="false" ht="69.75" hidden="false" customHeight="true" outlineLevel="0" collapsed="false">
      <c r="A8" s="104" t="n">
        <v>33</v>
      </c>
      <c r="B8" s="164" t="s">
        <v>640</v>
      </c>
      <c r="C8" s="165" t="s">
        <v>289</v>
      </c>
      <c r="D8" s="165" t="s">
        <v>661</v>
      </c>
      <c r="E8" s="165" t="s">
        <v>662</v>
      </c>
      <c r="F8" s="195" t="s">
        <v>663</v>
      </c>
      <c r="G8" s="195" t="s">
        <v>566</v>
      </c>
      <c r="H8" s="168" t="str">
        <f aca="false">HYPERLINK("#'📎 Evidence Register'!C38","ER-033  →  Row 38")</f>
        <v>ER-033  →  Row 38</v>
      </c>
      <c r="I8" s="196" t="s">
        <v>495</v>
      </c>
      <c r="J8" s="170" t="n">
        <f aca="false">IF(I8="","",IF(LEFT(I8,2)="L1",1,IF(LEFT(I8,2)="L2",2,IF(LEFT(I8,2)="L3",3,IF(LEFT(I8,2)="L4",4,IF(LEFT(I8,2)="L5",5,""))))))</f>
        <v>1</v>
      </c>
      <c r="K8" s="197" t="s">
        <v>496</v>
      </c>
      <c r="L8" s="172" t="n">
        <f aca="false">IF(K8="","",IF(LEFT(K8,2)="L1",1,IF(LEFT(K8,2)="L2",2,IF(LEFT(K8,2)="L3",3,IF(LEFT(K8,2)="L4",4,IF(LEFT(K8,2)="L5",5,""))))))</f>
        <v>3</v>
      </c>
      <c r="M8" s="173" t="n">
        <f aca="false">IFERROR(IF(OR(J8="",L8=""),"—",L8-J8),"—")</f>
        <v>2</v>
      </c>
      <c r="N8" s="174" t="str">
        <f aca="false">IFERROR(IF(I8="","⏳ Select a maturity rating to see the level description for this specific control.",INDEX(_DV!$1:$5,MATCH(LEFT(I8,2),{"L1","L2","L3","L4","L5"},0),33)),"⏳ Select a maturity rating.")</f>
        <v>L1 — Initial: Software Bill of Materials (SBOM) is absent or ad hoc. No formal process, no documentation, no named owner. Controls exist only reactively after incidents.</v>
      </c>
      <c r="O8" s="108" t="str">
        <f aca="false">IF(S8="Exclude","⬛ Not Applicable",IF(T8="⬛ Auto-Excluded","⬛ Not Applicable",IF(I8="","✅ Applicable",IF(J8=1,"🔴 Critical",IF(J8=2,"🟠 Developing",IF(J8=3,"🟡 Defined",IF(J8&gt;=4,"🟢 Managed","✅ Applicable")))))))</f>
        <v>⬛ Not Applicable</v>
      </c>
      <c r="P8" s="164" t="str">
        <f aca="false">IF(OR(J8="",L8=""),"⏳ Complete rating and target to generate recommendation.",IF(L8&lt;=J8,"✅ Target met — sustain evidence and raise target when programme allows.",IFERROR(INDEX(_REC!$B:$B,MATCH(A8&amp;"|"&amp;IF(L8="","",LEFT(TEXT(L8,"0"),1)),_REC!$A:$A,0)),"Recommendation pending — check _REC data.")))</f>
        <v>Standardise Software Bill of Materials (SBOM): formalise all documentation, apply the control consistently across all in-scope assets, close remaining coverage gaps, and ensure evidence is collected routinely. Exceptions must be formally managed with named owners and defined expiry dates.</v>
      </c>
      <c r="Q8" s="175" t="s">
        <v>664</v>
      </c>
      <c r="R8" s="198" t="s">
        <v>275</v>
      </c>
      <c r="S8" s="177" t="s">
        <v>603</v>
      </c>
      <c r="T8" s="178" t="str">
        <f aca="false">IF(S8="Exclude","⬛ Excluded",IF(S8="Apply","✅ Applicable",IF((('🔍 Scoping'!$E$13="No")+('🔍 Scoping'!$E$24="No"))&gt;0,"⬛ Auto-Excluded","✅ Applicable")))</f>
        <v>⬛ Excluded</v>
      </c>
    </row>
    <row r="9" customFormat="false" ht="69.75" hidden="false" customHeight="true" outlineLevel="0" collapsed="false">
      <c r="A9" s="104" t="n">
        <v>34</v>
      </c>
      <c r="B9" s="179" t="s">
        <v>640</v>
      </c>
      <c r="C9" s="180" t="s">
        <v>290</v>
      </c>
      <c r="D9" s="180" t="s">
        <v>665</v>
      </c>
      <c r="E9" s="180" t="s">
        <v>666</v>
      </c>
      <c r="F9" s="199" t="s">
        <v>667</v>
      </c>
      <c r="G9" s="199" t="s">
        <v>668</v>
      </c>
      <c r="H9" s="183" t="str">
        <f aca="false">HYPERLINK("#'📎 Evidence Register'!C39","ER-034  →  Row 39")</f>
        <v>ER-034  →  Row 39</v>
      </c>
      <c r="I9" s="196" t="s">
        <v>508</v>
      </c>
      <c r="J9" s="184" t="n">
        <f aca="false">IF(I9="","",IF(LEFT(I9,2)="L1",1,IF(LEFT(I9,2)="L2",2,IF(LEFT(I9,2)="L3",3,IF(LEFT(I9,2)="L4",4,IF(LEFT(I9,2)="L5",5,""))))))</f>
        <v>2</v>
      </c>
      <c r="K9" s="200" t="s">
        <v>545</v>
      </c>
      <c r="L9" s="186" t="n">
        <f aca="false">IF(K9="","",IF(LEFT(K9,2)="L1",1,IF(LEFT(K9,2)="L2",2,IF(LEFT(K9,2)="L3",3,IF(LEFT(K9,2)="L4",4,IF(LEFT(K9,2)="L5",5,""))))))</f>
        <v>4</v>
      </c>
      <c r="M9" s="187" t="n">
        <f aca="false">IFERROR(IF(OR(J9="",L9=""),"—",L9-J9),"—")</f>
        <v>2</v>
      </c>
      <c r="N9" s="188" t="str">
        <f aca="false">IFERROR(IF(I9="","⏳ Select a maturity rating to see the level description for this specific control.",INDEX(_DV!$1:$5,MATCH(LEFT(I9,2),{"L1","L2","L3","L4","L5"},0),34)),"⏳ Select a maturity rating.")</f>
        <v>L2 — Developing: Network Topology &amp; Architecture Documentation has basic controls in place but coverage is incomplete and execution is manual. Not consistently applied across all in-scope assets. Formal governance is absent.</v>
      </c>
      <c r="O9" s="113" t="str">
        <f aca="false">IF(S9="Exclude","⬛ Not Applicable",IF(T9="⬛ Auto-Excluded","⬛ Not Applicable",IF(I9="","✅ Applicable",IF(J9=1,"🔴 Critical",IF(J9=2,"🟠 Developing",IF(J9=3,"🟡 Defined",IF(J9&gt;=4,"🟢 Managed","✅ Applicable")))))))</f>
        <v>🟠 Developing</v>
      </c>
      <c r="P9" s="179" t="str">
        <f aca="false">IF(OR(J9="",L9=""),"⏳ Complete rating and target to generate recommendation.",IF(L9&lt;=J9,"✅ Target met — sustain evidence and raise target when programme allows.",IFERROR(INDEX(_REC!$B:$B,MATCH(A9&amp;"|"&amp;IF(L9="","",LEFT(TEXT(L9,"0"),1)),_REC!$A:$A,0)),"Recommendation pending — check _REC data.")))</f>
        <v>Instrument Network Topology &amp; Architecture Documentation with measurable KPIs: define performance thresholds (coverage %, SLA adherence, exception count), establish automated telemetry where possible, and integrate reporting into quarterly governance cycles. Evidence must be system-generated and reviewed at each governance cycle.</v>
      </c>
      <c r="Q9" s="189" t="s">
        <v>669</v>
      </c>
      <c r="R9" s="201" t="s">
        <v>249</v>
      </c>
      <c r="S9" s="177"/>
      <c r="T9" s="191" t="str">
        <f aca="false">IF(S9="Exclude","⬛ Excluded",IF(S9="Apply","✅ Applicable","✅ Applicable"))</f>
        <v>✅ Applicable</v>
      </c>
    </row>
    <row r="10" customFormat="false" ht="69.75" hidden="false" customHeight="true" outlineLevel="0" collapsed="false">
      <c r="A10" s="104" t="n">
        <v>35</v>
      </c>
      <c r="B10" s="164" t="s">
        <v>640</v>
      </c>
      <c r="C10" s="165" t="s">
        <v>291</v>
      </c>
      <c r="D10" s="165" t="s">
        <v>670</v>
      </c>
      <c r="E10" s="165" t="s">
        <v>671</v>
      </c>
      <c r="F10" s="195" t="s">
        <v>672</v>
      </c>
      <c r="G10" s="195" t="s">
        <v>673</v>
      </c>
      <c r="H10" s="168" t="str">
        <f aca="false">HYPERLINK("#'📎 Evidence Register'!C40","ER-035  →  Row 40")</f>
        <v>ER-035  →  Row 40</v>
      </c>
      <c r="I10" s="196" t="s">
        <v>495</v>
      </c>
      <c r="J10" s="170" t="n">
        <f aca="false">IF(I10="","",IF(LEFT(I10,2)="L1",1,IF(LEFT(I10,2)="L2",2,IF(LEFT(I10,2)="L3",3,IF(LEFT(I10,2)="L4",4,IF(LEFT(I10,2)="L5",5,""))))))</f>
        <v>1</v>
      </c>
      <c r="K10" s="197" t="s">
        <v>496</v>
      </c>
      <c r="L10" s="172" t="n">
        <f aca="false">IF(K10="","",IF(LEFT(K10,2)="L1",1,IF(LEFT(K10,2)="L2",2,IF(LEFT(K10,2)="L3",3,IF(LEFT(K10,2)="L4",4,IF(LEFT(K10,2)="L5",5,""))))))</f>
        <v>3</v>
      </c>
      <c r="M10" s="173" t="n">
        <f aca="false">IFERROR(IF(OR(J10="",L10=""),"—",L10-J10),"—")</f>
        <v>2</v>
      </c>
      <c r="N10" s="174" t="str">
        <f aca="false">IFERROR(IF(I10="","⏳ Select a maturity rating to see the level description for this specific control.",INDEX(_DV!$1:$5,MATCH(LEFT(I10,2),{"L1","L2","L3","L4","L5"},0),35)),"⏳ Select a maturity rating.")</f>
        <v>L1 — Initial: Technology Lifecycle Management is absent or ad hoc. No formal process, no documentation, no named owner. Controls exist only reactively after incidents.</v>
      </c>
      <c r="O10" s="108" t="str">
        <f aca="false">IF(S10="Exclude","⬛ Not Applicable",IF(T10="⬛ Auto-Excluded","⬛ Not Applicable",IF(I10="","✅ Applicable",IF(J10=1,"🔴 Critical",IF(J10=2,"🟠 Developing",IF(J10=3,"🟡 Defined",IF(J10&gt;=4,"🟢 Managed","✅ Applicable")))))))</f>
        <v>🔴 Critical</v>
      </c>
      <c r="P10" s="164" t="str">
        <f aca="false">IF(OR(J10="",L10=""),"⏳ Complete rating and target to generate recommendation.",IF(L10&lt;=J10,"✅ Target met — sustain evidence and raise target when programme allows.",IFERROR(INDEX(_REC!$B:$B,MATCH(A10&amp;"|"&amp;IF(L10="","",LEFT(TEXT(L10,"0"),1)),_REC!$A:$A,0)),"Recommendation pending — check _REC data.")))</f>
        <v>Standardise Technology Lifecycle Management: formalise all documentation, apply the control consistently across all in-scope assets, close remaining coverage gaps, and ensure evidence is collected routinely. Exceptions must be formally managed with named owners and defined expiry dates.</v>
      </c>
      <c r="Q10" s="175" t="s">
        <v>674</v>
      </c>
      <c r="R10" s="198" t="s">
        <v>284</v>
      </c>
      <c r="S10" s="177"/>
      <c r="T10" s="178" t="str">
        <f aca="false">IF(S10="Exclude","⬛ Excluded",IF(S10="Apply","✅ Applicable","✅ Applicable"))</f>
        <v>✅ Applicable</v>
      </c>
    </row>
    <row r="11" customFormat="false" ht="69.75" hidden="false" customHeight="true" outlineLevel="0" collapsed="false">
      <c r="A11" s="104" t="n">
        <v>36</v>
      </c>
      <c r="B11" s="179" t="s">
        <v>675</v>
      </c>
      <c r="C11" s="180" t="s">
        <v>292</v>
      </c>
      <c r="D11" s="180" t="s">
        <v>676</v>
      </c>
      <c r="E11" s="180" t="s">
        <v>677</v>
      </c>
      <c r="F11" s="199" t="s">
        <v>678</v>
      </c>
      <c r="G11" s="199" t="s">
        <v>566</v>
      </c>
      <c r="H11" s="183" t="str">
        <f aca="false">HYPERLINK("#'📎 Evidence Register'!C41","ER-036  →  Row 41")</f>
        <v>ER-036  →  Row 41</v>
      </c>
      <c r="I11" s="196" t="s">
        <v>495</v>
      </c>
      <c r="J11" s="184" t="n">
        <f aca="false">IF(I11="","",IF(LEFT(I11,2)="L1",1,IF(LEFT(I11,2)="L2",2,IF(LEFT(I11,2)="L3",3,IF(LEFT(I11,2)="L4",4,IF(LEFT(I11,2)="L5",5,""))))))</f>
        <v>1</v>
      </c>
      <c r="K11" s="200" t="s">
        <v>545</v>
      </c>
      <c r="L11" s="186" t="n">
        <f aca="false">IF(K11="","",IF(LEFT(K11,2)="L1",1,IF(LEFT(K11,2)="L2",2,IF(LEFT(K11,2)="L3",3,IF(LEFT(K11,2)="L4",4,IF(LEFT(K11,2)="L5",5,""))))))</f>
        <v>4</v>
      </c>
      <c r="M11" s="187" t="n">
        <f aca="false">IFERROR(IF(OR(J11="",L11=""),"—",L11-J11),"—")</f>
        <v>3</v>
      </c>
      <c r="N11" s="188" t="str">
        <f aca="false">IFERROR(IF(I11="","⏳ Select a maturity rating to see the level description for this specific control.",INDEX(_DV!$1:$5,MATCH(LEFT(I11,2),{"L1","L2","L3","L4","L5"},0),36)),"⏳ Select a maturity rating.")</f>
        <v>L1 — Initial: Data Classification Framework &amp; Implementation is absent or ad hoc. No formal process, no documentation, no named owner. Controls exist only reactively after incidents.</v>
      </c>
      <c r="O11" s="113" t="str">
        <f aca="false">IF(S11="Exclude","⬛ Not Applicable",IF(T11="⬛ Auto-Excluded","⬛ Not Applicable",IF(I11="","✅ Applicable",IF(J11=1,"🔴 Critical",IF(J11=2,"🟠 Developing",IF(J11=3,"🟡 Defined",IF(J11&gt;=4,"🟢 Managed","✅ Applicable")))))))</f>
        <v>🔴 Critical</v>
      </c>
      <c r="P11" s="179" t="str">
        <f aca="false">IF(OR(J11="",L11=""),"⏳ Complete rating and target to generate recommendation.",IF(L11&lt;=J11,"✅ Target met — sustain evidence and raise target when programme allows.",IFERROR(INDEX(_REC!$B:$B,MATCH(A11&amp;"|"&amp;IF(L11="","",LEFT(TEXT(L11,"0"),1)),_REC!$A:$A,0)),"Recommendation pending — check _REC data.")))</f>
        <v>Instrument Data Classification Framework &amp; Implementation with measurable KPIs: define performance thresholds (coverage %, SLA adherence, exception count), establish automated telemetry where possible, and integrate reporting into quarterly governance cycles. Evidence must be system-generated and reviewed at each governance cycle.</v>
      </c>
      <c r="Q11" s="189" t="s">
        <v>679</v>
      </c>
      <c r="R11" s="201" t="s">
        <v>252</v>
      </c>
      <c r="S11" s="177"/>
      <c r="T11" s="191" t="str">
        <f aca="false">IF(S11="Exclude","⬛ Excluded",IF(S11="Apply","✅ Applicable","✅ Applicable"))</f>
        <v>✅ Applicable</v>
      </c>
    </row>
    <row r="12" customFormat="false" ht="69.75" hidden="false" customHeight="true" outlineLevel="0" collapsed="false">
      <c r="A12" s="104" t="n">
        <v>37</v>
      </c>
      <c r="B12" s="164" t="s">
        <v>675</v>
      </c>
      <c r="C12" s="165" t="s">
        <v>293</v>
      </c>
      <c r="D12" s="165" t="s">
        <v>680</v>
      </c>
      <c r="E12" s="165" t="s">
        <v>681</v>
      </c>
      <c r="F12" s="195" t="s">
        <v>682</v>
      </c>
      <c r="G12" s="195" t="s">
        <v>566</v>
      </c>
      <c r="H12" s="168" t="str">
        <f aca="false">HYPERLINK("#'📎 Evidence Register'!C42","ER-037  →  Row 42")</f>
        <v>ER-037  →  Row 42</v>
      </c>
      <c r="I12" s="196" t="s">
        <v>495</v>
      </c>
      <c r="J12" s="170" t="n">
        <f aca="false">IF(I12="","",IF(LEFT(I12,2)="L1",1,IF(LEFT(I12,2)="L2",2,IF(LEFT(I12,2)="L3",3,IF(LEFT(I12,2)="L4",4,IF(LEFT(I12,2)="L5",5,""))))))</f>
        <v>1</v>
      </c>
      <c r="K12" s="197" t="s">
        <v>545</v>
      </c>
      <c r="L12" s="172" t="n">
        <f aca="false">IF(K12="","",IF(LEFT(K12,2)="L1",1,IF(LEFT(K12,2)="L2",2,IF(LEFT(K12,2)="L3",3,IF(LEFT(K12,2)="L4",4,IF(LEFT(K12,2)="L5",5,""))))))</f>
        <v>4</v>
      </c>
      <c r="M12" s="173" t="n">
        <f aca="false">IFERROR(IF(OR(J12="",L12=""),"—",L12-J12),"—")</f>
        <v>3</v>
      </c>
      <c r="N12" s="174" t="str">
        <f aca="false">IFERROR(IF(I12="","⏳ Select a maturity rating to see the level description for this specific control.",INDEX(_DV!$1:$5,MATCH(LEFT(I12,2),{"L1","L2","L3","L4","L5"},0),37)),"⏳ Select a maturity rating.")</f>
        <v>L1 — Initial: Sensitive Data Discovery &amp; Mapping is absent or ad hoc. No formal process, no documentation, no named owner. Controls exist only reactively after incidents.</v>
      </c>
      <c r="O12" s="108" t="str">
        <f aca="false">IF(S12="Exclude","⬛ Not Applicable",IF(T12="⬛ Auto-Excluded","⬛ Not Applicable",IF(I12="","✅ Applicable",IF(J12=1,"🔴 Critical",IF(J12=2,"🟠 Developing",IF(J12=3,"🟡 Defined",IF(J12&gt;=4,"🟢 Managed","✅ Applicable")))))))</f>
        <v>🔴 Critical</v>
      </c>
      <c r="P12" s="164" t="str">
        <f aca="false">IF(OR(J12="",L12=""),"⏳ Complete rating and target to generate recommendation.",IF(L12&lt;=J12,"✅ Target met — sustain evidence and raise target when programme allows.",IFERROR(INDEX(_REC!$B:$B,MATCH(A12&amp;"|"&amp;IF(L12="","",LEFT(TEXT(L12,"0"),1)),_REC!$A:$A,0)),"Recommendation pending — check _REC data.")))</f>
        <v>Instrument Sensitive Data Discovery &amp; Mapping with measurable KPIs: define performance thresholds (coverage %, SLA adherence, exception count), establish automated telemetry where possible, and integrate reporting into quarterly governance cycles. Evidence must be system-generated and reviewed at each governance cycle.</v>
      </c>
      <c r="Q12" s="175" t="s">
        <v>683</v>
      </c>
      <c r="R12" s="198" t="s">
        <v>252</v>
      </c>
      <c r="S12" s="177"/>
      <c r="T12" s="178" t="str">
        <f aca="false">IF(S12="Exclude","⬛ Excluded",IF(S12="Apply","✅ Applicable","✅ Applicable"))</f>
        <v>✅ Applicable</v>
      </c>
    </row>
    <row r="13" customFormat="false" ht="69.75" hidden="false" customHeight="true" outlineLevel="0" collapsed="false">
      <c r="A13" s="104" t="n">
        <v>38</v>
      </c>
      <c r="B13" s="179" t="s">
        <v>675</v>
      </c>
      <c r="C13" s="180" t="s">
        <v>294</v>
      </c>
      <c r="D13" s="180" t="s">
        <v>684</v>
      </c>
      <c r="E13" s="180" t="s">
        <v>685</v>
      </c>
      <c r="F13" s="199" t="s">
        <v>686</v>
      </c>
      <c r="G13" s="199" t="s">
        <v>566</v>
      </c>
      <c r="H13" s="183" t="str">
        <f aca="false">HYPERLINK("#'📎 Evidence Register'!C43","ER-038  →  Row 43")</f>
        <v>ER-038  →  Row 43</v>
      </c>
      <c r="I13" s="196" t="s">
        <v>495</v>
      </c>
      <c r="J13" s="184" t="n">
        <f aca="false">IF(I13="","",IF(LEFT(I13,2)="L1",1,IF(LEFT(I13,2)="L2",2,IF(LEFT(I13,2)="L3",3,IF(LEFT(I13,2)="L4",4,IF(LEFT(I13,2)="L5",5,""))))))</f>
        <v>1</v>
      </c>
      <c r="K13" s="200" t="s">
        <v>545</v>
      </c>
      <c r="L13" s="186" t="n">
        <f aca="false">IF(K13="","",IF(LEFT(K13,2)="L1",1,IF(LEFT(K13,2)="L2",2,IF(LEFT(K13,2)="L3",3,IF(LEFT(K13,2)="L4",4,IF(LEFT(K13,2)="L5",5,""))))))</f>
        <v>4</v>
      </c>
      <c r="M13" s="187" t="n">
        <f aca="false">IFERROR(IF(OR(J13="",L13=""),"—",L13-J13),"—")</f>
        <v>3</v>
      </c>
      <c r="N13" s="188" t="str">
        <f aca="false">IFERROR(IF(I13="","⏳ Select a maturity rating to see the level description for this specific control.",INDEX(_DV!$1:$5,MATCH(LEFT(I13,2),{"L1","L2","L3","L4","L5"},0),38)),"⏳ Select a maturity rating.")</f>
        <v>L1 — Initial: Data Flow &amp; Transfer Mapping is absent or ad hoc. No formal process, no documentation, no named owner. Controls exist only reactively after incidents.</v>
      </c>
      <c r="O13" s="113" t="str">
        <f aca="false">IF(S13="Exclude","⬛ Not Applicable",IF(T13="⬛ Auto-Excluded","⬛ Not Applicable",IF(I13="","✅ Applicable",IF(J13=1,"🔴 Critical",IF(J13=2,"🟠 Developing",IF(J13=3,"🟡 Defined",IF(J13&gt;=4,"🟢 Managed","✅ Applicable")))))))</f>
        <v>🔴 Critical</v>
      </c>
      <c r="P13" s="179" t="str">
        <f aca="false">IF(OR(J13="",L13=""),"⏳ Complete rating and target to generate recommendation.",IF(L13&lt;=J13,"✅ Target met — sustain evidence and raise target when programme allows.",IFERROR(INDEX(_REC!$B:$B,MATCH(A13&amp;"|"&amp;IF(L13="","",LEFT(TEXT(L13,"0"),1)),_REC!$A:$A,0)),"Recommendation pending — check _REC data.")))</f>
        <v>Instrument Data Flow &amp; Transfer Mapping with measurable KPIs: define performance thresholds (coverage %, SLA adherence, exception count), establish automated telemetry where possible, and integrate reporting into quarterly governance cycles. Evidence must be system-generated and reviewed at each governance cycle.</v>
      </c>
      <c r="Q13" s="189" t="s">
        <v>687</v>
      </c>
      <c r="R13" s="201" t="s">
        <v>287</v>
      </c>
      <c r="S13" s="177"/>
      <c r="T13" s="191" t="str">
        <f aca="false">IF(S13="Exclude","⬛ Excluded",IF(S13="Apply","✅ Applicable","✅ Applicable"))</f>
        <v>✅ Applicable</v>
      </c>
    </row>
    <row r="14" customFormat="false" ht="69.75" hidden="false" customHeight="true" outlineLevel="0" collapsed="false">
      <c r="A14" s="104" t="n">
        <v>39</v>
      </c>
      <c r="B14" s="164" t="s">
        <v>675</v>
      </c>
      <c r="C14" s="165" t="s">
        <v>295</v>
      </c>
      <c r="D14" s="165" t="s">
        <v>688</v>
      </c>
      <c r="E14" s="165" t="s">
        <v>689</v>
      </c>
      <c r="F14" s="195" t="s">
        <v>690</v>
      </c>
      <c r="G14" s="195" t="s">
        <v>691</v>
      </c>
      <c r="H14" s="168" t="str">
        <f aca="false">HYPERLINK("#'📎 Evidence Register'!C44","ER-039  →  Row 44")</f>
        <v>ER-039  →  Row 44</v>
      </c>
      <c r="I14" s="196" t="s">
        <v>495</v>
      </c>
      <c r="J14" s="170" t="n">
        <f aca="false">IF(I14="","",IF(LEFT(I14,2)="L1",1,IF(LEFT(I14,2)="L2",2,IF(LEFT(I14,2)="L3",3,IF(LEFT(I14,2)="L4",4,IF(LEFT(I14,2)="L5",5,""))))))</f>
        <v>1</v>
      </c>
      <c r="K14" s="197" t="s">
        <v>545</v>
      </c>
      <c r="L14" s="172" t="n">
        <f aca="false">IF(K14="","",IF(LEFT(K14,2)="L1",1,IF(LEFT(K14,2)="L2",2,IF(LEFT(K14,2)="L3",3,IF(LEFT(K14,2)="L4",4,IF(LEFT(K14,2)="L5",5,""))))))</f>
        <v>4</v>
      </c>
      <c r="M14" s="173" t="n">
        <f aca="false">IFERROR(IF(OR(J14="",L14=""),"—",L14-J14),"—")</f>
        <v>3</v>
      </c>
      <c r="N14" s="174" t="str">
        <f aca="false">IFERROR(IF(I14="","⏳ Select a maturity rating to see the level description for this specific control.",INDEX(_DV!$1:$5,MATCH(LEFT(I14,2),{"L1","L2","L3","L4","L5"},0),39)),"⏳ Select a maturity rating.")</f>
        <v>L1 — Initial: Retention Schedule &amp; Disposal Management is absent or ad hoc. No formal process, no documentation, no named owner. Controls exist only reactively after incidents.</v>
      </c>
      <c r="O14" s="108" t="str">
        <f aca="false">IF(S14="Exclude","⬛ Not Applicable",IF(T14="⬛ Auto-Excluded","⬛ Not Applicable",IF(I14="","✅ Applicable",IF(J14=1,"🔴 Critical",IF(J14=2,"🟠 Developing",IF(J14=3,"🟡 Defined",IF(J14&gt;=4,"🟢 Managed","✅ Applicable")))))))</f>
        <v>🔴 Critical</v>
      </c>
      <c r="P14" s="164" t="str">
        <f aca="false">IF(OR(J14="",L14=""),"⏳ Complete rating and target to generate recommendation.",IF(L14&lt;=J14,"✅ Target met — sustain evidence and raise target when programme allows.",IFERROR(INDEX(_REC!$B:$B,MATCH(A14&amp;"|"&amp;IF(L14="","",LEFT(TEXT(L14,"0"),1)),_REC!$A:$A,0)),"Recommendation pending — check _REC data.")))</f>
        <v>Instrument Retention Schedule &amp; Disposal Management with measurable KPIs: define performance thresholds (coverage %, SLA adherence, exception count), establish automated telemetry where possible, and integrate reporting into quarterly governance cycles. Evidence must be system-generated and reviewed at each governance cycle.</v>
      </c>
      <c r="Q14" s="175" t="s">
        <v>692</v>
      </c>
      <c r="R14" s="198" t="s">
        <v>252</v>
      </c>
      <c r="S14" s="177"/>
      <c r="T14" s="178" t="str">
        <f aca="false">IF(S14="Exclude","⬛ Excluded",IF(S14="Apply","✅ Applicable","✅ Applicable"))</f>
        <v>✅ Applicable</v>
      </c>
    </row>
    <row r="15" customFormat="false" ht="69.75" hidden="false" customHeight="true" outlineLevel="0" collapsed="false">
      <c r="A15" s="104" t="n">
        <v>40</v>
      </c>
      <c r="B15" s="179" t="s">
        <v>675</v>
      </c>
      <c r="C15" s="180" t="s">
        <v>296</v>
      </c>
      <c r="D15" s="180" t="s">
        <v>693</v>
      </c>
      <c r="E15" s="180" t="s">
        <v>694</v>
      </c>
      <c r="F15" s="199" t="s">
        <v>695</v>
      </c>
      <c r="G15" s="199" t="s">
        <v>696</v>
      </c>
      <c r="H15" s="183" t="str">
        <f aca="false">HYPERLINK("#'📎 Evidence Register'!C45","ER-040  →  Row 45")</f>
        <v>ER-040  →  Row 45</v>
      </c>
      <c r="I15" s="196" t="s">
        <v>495</v>
      </c>
      <c r="J15" s="184" t="n">
        <f aca="false">IF(I15="","",IF(LEFT(I15,2)="L1",1,IF(LEFT(I15,2)="L2",2,IF(LEFT(I15,2)="L3",3,IF(LEFT(I15,2)="L4",4,IF(LEFT(I15,2)="L5",5,""))))))</f>
        <v>1</v>
      </c>
      <c r="K15" s="200" t="s">
        <v>545</v>
      </c>
      <c r="L15" s="186" t="n">
        <f aca="false">IF(K15="","",IF(LEFT(K15,2)="L1",1,IF(LEFT(K15,2)="L2",2,IF(LEFT(K15,2)="L3",3,IF(LEFT(K15,2)="L4",4,IF(LEFT(K15,2)="L5",5,""))))))</f>
        <v>4</v>
      </c>
      <c r="M15" s="187" t="n">
        <f aca="false">IFERROR(IF(OR(J15="",L15=""),"—",L15-J15),"—")</f>
        <v>3</v>
      </c>
      <c r="N15" s="188" t="str">
        <f aca="false">IFERROR(IF(I15="","⏳ Select a maturity rating to see the level description for this specific control.",INDEX(_DV!$1:$5,MATCH(LEFT(I15,2),{"L1","L2","L3","L4","L5"},0),40)),"⏳ Select a maturity rating.")</f>
        <v>L1 — Initial: Payment Data Scoping &amp; CDE Mapping is absent or ad hoc. No formal process, no documentation, no named owner. Controls exist only reactively after incidents.</v>
      </c>
      <c r="O15" s="113" t="str">
        <f aca="false">IF(S15="Exclude","⬛ Not Applicable",IF(T15="⬛ Auto-Excluded","⬛ Not Applicable",IF(I15="","✅ Applicable",IF(J15=1,"🔴 Critical",IF(J15=2,"🟠 Developing",IF(J15=3,"🟡 Defined",IF(J15&gt;=4,"🟢 Managed","✅ Applicable")))))))</f>
        <v>🔴 Critical</v>
      </c>
      <c r="P15" s="179" t="str">
        <f aca="false">IF(OR(J15="",L15=""),"⏳ Complete rating and target to generate recommendation.",IF(L15&lt;=J15,"✅ Target met — sustain evidence and raise target when programme allows.",IFERROR(INDEX(_REC!$B:$B,MATCH(A15&amp;"|"&amp;IF(L15="","",LEFT(TEXT(L15,"0"),1)),_REC!$A:$A,0)),"Recommendation pending — check _REC data.")))</f>
        <v>Instrument Payment Data Scoping &amp; CDE Mapping with measurable KPIs: define performance thresholds (coverage %, SLA adherence, exception count), establish automated telemetry where possible, and integrate reporting into quarterly governance cycles. Evidence must be system-generated and reviewed at each governance cycle.</v>
      </c>
      <c r="Q15" s="189" t="s">
        <v>697</v>
      </c>
      <c r="R15" s="201" t="s">
        <v>287</v>
      </c>
      <c r="S15" s="177"/>
      <c r="T15" s="191" t="str">
        <f aca="false">IF(S15="Exclude","⬛ Excluded",IF(S15="Apply","✅ Applicable",IF((('🔍 Scoping'!$E$9="No"))&gt;0,"⬛ Auto-Excluded","✅ Applicable")))</f>
        <v>✅ Applicable</v>
      </c>
    </row>
    <row r="16" customFormat="false" ht="69.75" hidden="false" customHeight="true" outlineLevel="0" collapsed="false">
      <c r="A16" s="104" t="n">
        <v>41</v>
      </c>
      <c r="B16" s="164" t="s">
        <v>698</v>
      </c>
      <c r="C16" s="165" t="s">
        <v>297</v>
      </c>
      <c r="D16" s="165" t="s">
        <v>699</v>
      </c>
      <c r="E16" s="165" t="s">
        <v>700</v>
      </c>
      <c r="F16" s="195" t="s">
        <v>701</v>
      </c>
      <c r="G16" s="195" t="s">
        <v>566</v>
      </c>
      <c r="H16" s="168" t="str">
        <f aca="false">HYPERLINK("#'📎 Evidence Register'!C46","ER-041  →  Row 46")</f>
        <v>ER-041  →  Row 46</v>
      </c>
      <c r="I16" s="196" t="s">
        <v>495</v>
      </c>
      <c r="J16" s="170" t="n">
        <f aca="false">IF(I16="","",IF(LEFT(I16,2)="L1",1,IF(LEFT(I16,2)="L2",2,IF(LEFT(I16,2)="L3",3,IF(LEFT(I16,2)="L4",4,IF(LEFT(I16,2)="L5",5,""))))))</f>
        <v>1</v>
      </c>
      <c r="K16" s="197" t="s">
        <v>496</v>
      </c>
      <c r="L16" s="172" t="n">
        <f aca="false">IF(K16="","",IF(LEFT(K16,2)="L1",1,IF(LEFT(K16,2)="L2",2,IF(LEFT(K16,2)="L3",3,IF(LEFT(K16,2)="L4",4,IF(LEFT(K16,2)="L5",5,""))))))</f>
        <v>3</v>
      </c>
      <c r="M16" s="173" t="n">
        <f aca="false">IFERROR(IF(OR(J16="",L16=""),"—",L16-J16),"—")</f>
        <v>2</v>
      </c>
      <c r="N16" s="174" t="str">
        <f aca="false">IFERROR(IF(I16="","⏳ Select a maturity rating to see the level description for this specific control.",INDEX(_DV!$1:$5,MATCH(LEFT(I16,2),{"L1","L2","L3","L4","L5"},0),41)),"⏳ Select a maturity rating.")</f>
        <v>L1 — Initial: Business Impact Analysis (BIA) is absent or ad hoc. No formal process, no documentation, no named owner. Controls exist only reactively after incidents.</v>
      </c>
      <c r="O16" s="108" t="str">
        <f aca="false">IF(S16="Exclude","⬛ Not Applicable",IF(T16="⬛ Auto-Excluded","⬛ Not Applicable",IF(I16="","✅ Applicable",IF(J16=1,"🔴 Critical",IF(J16=2,"🟠 Developing",IF(J16=3,"🟡 Defined",IF(J16&gt;=4,"🟢 Managed","✅ Applicable")))))))</f>
        <v>🔴 Critical</v>
      </c>
      <c r="P16" s="164" t="str">
        <f aca="false">IF(OR(J16="",L16=""),"⏳ Complete rating and target to generate recommendation.",IF(L16&lt;=J16,"✅ Target met — sustain evidence and raise target when programme allows.",IFERROR(INDEX(_REC!$B:$B,MATCH(A16&amp;"|"&amp;IF(L16="","",LEFT(TEXT(L16,"0"),1)),_REC!$A:$A,0)),"Recommendation pending — check _REC data.")))</f>
        <v>Standardise Business Impact Analysis (BIA): formalise all documentation, apply the control consistently across all in-scope assets, close remaining coverage gaps, and ensure evidence is collected routinely. Exceptions must be formally managed with named owners and defined expiry dates.</v>
      </c>
      <c r="Q16" s="175" t="s">
        <v>702</v>
      </c>
      <c r="R16" s="198" t="s">
        <v>284</v>
      </c>
      <c r="S16" s="177"/>
      <c r="T16" s="178" t="str">
        <f aca="false">IF(S16="Exclude","⬛ Excluded",IF(S16="Apply","✅ Applicable","✅ Applicable"))</f>
        <v>✅ Applicable</v>
      </c>
    </row>
    <row r="17" customFormat="false" ht="69.75" hidden="false" customHeight="true" outlineLevel="0" collapsed="false">
      <c r="A17" s="104" t="n">
        <v>42</v>
      </c>
      <c r="B17" s="179" t="s">
        <v>698</v>
      </c>
      <c r="C17" s="180" t="s">
        <v>298</v>
      </c>
      <c r="D17" s="180" t="s">
        <v>703</v>
      </c>
      <c r="E17" s="180" t="s">
        <v>704</v>
      </c>
      <c r="F17" s="199" t="s">
        <v>705</v>
      </c>
      <c r="G17" s="199" t="s">
        <v>706</v>
      </c>
      <c r="H17" s="183" t="str">
        <f aca="false">HYPERLINK("#'📎 Evidence Register'!C47","ER-042  →  Row 47")</f>
        <v>ER-042  →  Row 47</v>
      </c>
      <c r="I17" s="196" t="s">
        <v>495</v>
      </c>
      <c r="J17" s="184" t="n">
        <f aca="false">IF(I17="","",IF(LEFT(I17,2)="L1",1,IF(LEFT(I17,2)="L2",2,IF(LEFT(I17,2)="L3",3,IF(LEFT(I17,2)="L4",4,IF(LEFT(I17,2)="L5",5,""))))))</f>
        <v>1</v>
      </c>
      <c r="K17" s="200" t="s">
        <v>496</v>
      </c>
      <c r="L17" s="186" t="n">
        <f aca="false">IF(K17="","",IF(LEFT(K17,2)="L1",1,IF(LEFT(K17,2)="L2",2,IF(LEFT(K17,2)="L3",3,IF(LEFT(K17,2)="L4",4,IF(LEFT(K17,2)="L5",5,""))))))</f>
        <v>3</v>
      </c>
      <c r="M17" s="187" t="n">
        <f aca="false">IFERROR(IF(OR(J17="",L17=""),"—",L17-J17),"—")</f>
        <v>2</v>
      </c>
      <c r="N17" s="188" t="str">
        <f aca="false">IFERROR(IF(I17="","⏳ Select a maturity rating to see the level description for this specific control.",INDEX(_DV!$1:$5,MATCH(LEFT(I17,2),{"L1","L2","L3","L4","L5"},0),42)),"⏳ Select a maturity rating.")</f>
        <v>L1 — Initial: Threat Landscape Assessment is absent or ad hoc. No formal process, no documentation, no named owner. Controls exist only reactively after incidents.</v>
      </c>
      <c r="O17" s="113" t="str">
        <f aca="false">IF(S17="Exclude","⬛ Not Applicable",IF(T17="⬛ Auto-Excluded","⬛ Not Applicable",IF(I17="","✅ Applicable",IF(J17=1,"🔴 Critical",IF(J17=2,"🟠 Developing",IF(J17=3,"🟡 Defined",IF(J17&gt;=4,"🟢 Managed","✅ Applicable")))))))</f>
        <v>🔴 Critical</v>
      </c>
      <c r="P17" s="179" t="str">
        <f aca="false">IF(OR(J17="",L17=""),"⏳ Complete rating and target to generate recommendation.",IF(L17&lt;=J17,"✅ Target met — sustain evidence and raise target when programme allows.",IFERROR(INDEX(_REC!$B:$B,MATCH(A17&amp;"|"&amp;IF(L17="","",LEFT(TEXT(L17,"0"),1)),_REC!$A:$A,0)),"Recommendation pending — check _REC data.")))</f>
        <v>Standardise Threat Landscape Assessment: formalise all documentation, apply the control consistently across all in-scope assets, close remaining coverage gaps, and ensure evidence is collected routinely. Exceptions must be formally managed with named owners and defined expiry dates.</v>
      </c>
      <c r="Q17" s="189" t="s">
        <v>707</v>
      </c>
      <c r="R17" s="201" t="s">
        <v>299</v>
      </c>
      <c r="S17" s="177"/>
      <c r="T17" s="191" t="str">
        <f aca="false">IF(S17="Exclude","⬛ Excluded",IF(S17="Apply","✅ Applicable","✅ Applicable"))</f>
        <v>✅ Applicable</v>
      </c>
    </row>
    <row r="18" customFormat="false" ht="69.75" hidden="false" customHeight="true" outlineLevel="0" collapsed="false">
      <c r="A18" s="104" t="n">
        <v>43</v>
      </c>
      <c r="B18" s="164" t="s">
        <v>698</v>
      </c>
      <c r="C18" s="165" t="s">
        <v>300</v>
      </c>
      <c r="D18" s="165" t="s">
        <v>708</v>
      </c>
      <c r="E18" s="165" t="s">
        <v>709</v>
      </c>
      <c r="F18" s="195" t="s">
        <v>710</v>
      </c>
      <c r="G18" s="195" t="s">
        <v>711</v>
      </c>
      <c r="H18" s="168" t="str">
        <f aca="false">HYPERLINK("#'📎 Evidence Register'!C48","ER-043  →  Row 48")</f>
        <v>ER-043  →  Row 48</v>
      </c>
      <c r="I18" s="196" t="s">
        <v>508</v>
      </c>
      <c r="J18" s="170" t="n">
        <f aca="false">IF(I18="","",IF(LEFT(I18,2)="L1",1,IF(LEFT(I18,2)="L2",2,IF(LEFT(I18,2)="L3",3,IF(LEFT(I18,2)="L4",4,IF(LEFT(I18,2)="L5",5,""))))))</f>
        <v>2</v>
      </c>
      <c r="K18" s="197" t="s">
        <v>545</v>
      </c>
      <c r="L18" s="172" t="n">
        <f aca="false">IF(K18="","",IF(LEFT(K18,2)="L1",1,IF(LEFT(K18,2)="L2",2,IF(LEFT(K18,2)="L3",3,IF(LEFT(K18,2)="L4",4,IF(LEFT(K18,2)="L5",5,""))))))</f>
        <v>4</v>
      </c>
      <c r="M18" s="173" t="n">
        <f aca="false">IFERROR(IF(OR(J18="",L18=""),"—",L18-J18),"—")</f>
        <v>2</v>
      </c>
      <c r="N18" s="174" t="str">
        <f aca="false">IFERROR(IF(I18="","⏳ Select a maturity rating to see the level description for this specific control.",INDEX(_DV!$1:$5,MATCH(LEFT(I18,2),{"L1","L2","L3","L4","L5"},0),43)),"⏳ Select a maturity rating.")</f>
        <v>L2 — Developing: Vulnerability Management Programme has basic controls in place but coverage is incomplete and execution is manual. Not consistently applied across all in-scope assets. Formal governance is absent.</v>
      </c>
      <c r="O18" s="108" t="str">
        <f aca="false">IF(S18="Exclude","⬛ Not Applicable",IF(T18="⬛ Auto-Excluded","⬛ Not Applicable",IF(I18="","✅ Applicable",IF(J18=1,"🔴 Critical",IF(J18=2,"🟠 Developing",IF(J18=3,"🟡 Defined",IF(J18&gt;=4,"🟢 Managed","✅ Applicable")))))))</f>
        <v>🟠 Developing</v>
      </c>
      <c r="P18" s="164" t="str">
        <f aca="false">IF(OR(J18="",L18=""),"⏳ Complete rating and target to generate recommendation.",IF(L18&lt;=J18,"✅ Target met — sustain evidence and raise target when programme allows.",IFERROR(INDEX(_REC!$B:$B,MATCH(A18&amp;"|"&amp;IF(L18="","",LEFT(TEXT(L18,"0"),1)),_REC!$A:$A,0)),"Recommendation pending — check _REC data.")))</f>
        <v>Instrument Vulnerability Management Programme with measurable KPIs: define performance thresholds (coverage %, SLA adherence, exception count), establish automated telemetry where possible, and integrate reporting into quarterly governance cycles. Evidence must be system-generated and reviewed at each governance cycle.</v>
      </c>
      <c r="Q18" s="175" t="s">
        <v>712</v>
      </c>
      <c r="R18" s="198" t="s">
        <v>299</v>
      </c>
      <c r="S18" s="177"/>
      <c r="T18" s="178" t="str">
        <f aca="false">IF(S18="Exclude","⬛ Excluded",IF(S18="Apply","✅ Applicable","✅ Applicable"))</f>
        <v>✅ Applicable</v>
      </c>
    </row>
    <row r="19" customFormat="false" ht="69.75" hidden="false" customHeight="true" outlineLevel="0" collapsed="false">
      <c r="A19" s="104" t="n">
        <v>44</v>
      </c>
      <c r="B19" s="179" t="s">
        <v>698</v>
      </c>
      <c r="C19" s="180" t="s">
        <v>301</v>
      </c>
      <c r="D19" s="180" t="s">
        <v>713</v>
      </c>
      <c r="E19" s="180" t="s">
        <v>714</v>
      </c>
      <c r="F19" s="199" t="s">
        <v>715</v>
      </c>
      <c r="G19" s="199" t="s">
        <v>716</v>
      </c>
      <c r="H19" s="183" t="str">
        <f aca="false">HYPERLINK("#'📎 Evidence Register'!C49","ER-044  →  Row 49")</f>
        <v>ER-044  →  Row 49</v>
      </c>
      <c r="I19" s="196" t="s">
        <v>496</v>
      </c>
      <c r="J19" s="184" t="n">
        <f aca="false">IF(I19="","",IF(LEFT(I19,2)="L1",1,IF(LEFT(I19,2)="L2",2,IF(LEFT(I19,2)="L3",3,IF(LEFT(I19,2)="L4",4,IF(LEFT(I19,2)="L5",5,""))))))</f>
        <v>3</v>
      </c>
      <c r="K19" s="200" t="s">
        <v>545</v>
      </c>
      <c r="L19" s="186" t="n">
        <f aca="false">IF(K19="","",IF(LEFT(K19,2)="L1",1,IF(LEFT(K19,2)="L2",2,IF(LEFT(K19,2)="L3",3,IF(LEFT(K19,2)="L4",4,IF(LEFT(K19,2)="L5",5,""))))))</f>
        <v>4</v>
      </c>
      <c r="M19" s="187" t="n">
        <f aca="false">IFERROR(IF(OR(J19="",L19=""),"—",L19-J19),"—")</f>
        <v>1</v>
      </c>
      <c r="N19" s="188" t="str">
        <f aca="false">IFERROR(IF(I19="","⏳ Select a maturity rating to see the level description for this specific control.",INDEX(_DV!$1:$5,MATCH(LEFT(I19,2),{"L1","L2","L3","L4","L5"},0),44)),"⏳ Select a maturity rating.")</f>
        <v>L3 — Defined: Penetration Testing Programme is documented, consistently applied organisation-wide, and reviewed at least annually. Evidence is routinely collected and exceptions are formally managed with named owners.</v>
      </c>
      <c r="O19" s="113" t="str">
        <f aca="false">IF(S19="Exclude","⬛ Not Applicable",IF(T19="⬛ Auto-Excluded","⬛ Not Applicable",IF(I19="","✅ Applicable",IF(J19=1,"🔴 Critical",IF(J19=2,"🟠 Developing",IF(J19=3,"🟡 Defined",IF(J19&gt;=4,"🟢 Managed","✅ Applicable")))))))</f>
        <v>🟡 Defined</v>
      </c>
      <c r="P19" s="179" t="str">
        <f aca="false">IF(OR(J19="",L19=""),"⏳ Complete rating and target to generate recommendation.",IF(L19&lt;=J19,"✅ Target met — sustain evidence and raise target when programme allows.",IFERROR(INDEX(_REC!$B:$B,MATCH(A19&amp;"|"&amp;IF(L19="","",LEFT(TEXT(L19,"0"),1)),_REC!$A:$A,0)),"Recommendation pending — check _REC data.")))</f>
        <v>Instrument Penetration Testing Programme with measurable KPIs: define performance thresholds (coverage %, SLA adherence, exception count), establish automated telemetry where possible, and integrate reporting into quarterly governance cycles. Evidence must be system-generated and reviewed at each governance cycle.</v>
      </c>
      <c r="Q19" s="189" t="s">
        <v>717</v>
      </c>
      <c r="R19" s="201" t="s">
        <v>299</v>
      </c>
      <c r="S19" s="177"/>
      <c r="T19" s="191" t="str">
        <f aca="false">IF(S19="Exclude","⬛ Excluded",IF(S19="Apply","✅ Applicable","✅ Applicable"))</f>
        <v>✅ Applicable</v>
      </c>
    </row>
    <row r="20" customFormat="false" ht="69.75" hidden="false" customHeight="true" outlineLevel="0" collapsed="false">
      <c r="A20" s="104" t="n">
        <v>45</v>
      </c>
      <c r="B20" s="164" t="s">
        <v>698</v>
      </c>
      <c r="C20" s="165" t="s">
        <v>302</v>
      </c>
      <c r="D20" s="165" t="s">
        <v>718</v>
      </c>
      <c r="E20" s="165" t="s">
        <v>719</v>
      </c>
      <c r="F20" s="195" t="s">
        <v>720</v>
      </c>
      <c r="G20" s="195" t="s">
        <v>566</v>
      </c>
      <c r="H20" s="168" t="str">
        <f aca="false">HYPERLINK("#'📎 Evidence Register'!C50","ER-045  →  Row 50")</f>
        <v>ER-045  →  Row 50</v>
      </c>
      <c r="I20" s="196" t="s">
        <v>495</v>
      </c>
      <c r="J20" s="170" t="n">
        <f aca="false">IF(I20="","",IF(LEFT(I20,2)="L1",1,IF(LEFT(I20,2)="L2",2,IF(LEFT(I20,2)="L3",3,IF(LEFT(I20,2)="L4",4,IF(LEFT(I20,2)="L5",5,""))))))</f>
        <v>1</v>
      </c>
      <c r="K20" s="197" t="s">
        <v>496</v>
      </c>
      <c r="L20" s="172" t="n">
        <f aca="false">IF(K20="","",IF(LEFT(K20,2)="L1",1,IF(LEFT(K20,2)="L2",2,IF(LEFT(K20,2)="L3",3,IF(LEFT(K20,2)="L4",4,IF(LEFT(K20,2)="L5",5,""))))))</f>
        <v>3</v>
      </c>
      <c r="M20" s="173" t="n">
        <f aca="false">IFERROR(IF(OR(J20="",L20=""),"—",L20-J20),"—")</f>
        <v>2</v>
      </c>
      <c r="N20" s="174" t="str">
        <f aca="false">IFERROR(IF(I20="","⏳ Select a maturity rating to see the level description for this specific control.",INDEX(_DV!$1:$5,MATCH(LEFT(I20,2),{"L1","L2","L3","L4","L5"},0),45)),"⏳ Select a maturity rating.")</f>
        <v>L1 — Initial: Third-Party Security Rating Monitoring is absent or ad hoc. No formal process, no documentation, no named owner. Controls exist only reactively after incidents.</v>
      </c>
      <c r="O20" s="108" t="str">
        <f aca="false">IF(S20="Exclude","⬛ Not Applicable",IF(T20="⬛ Auto-Excluded","⬛ Not Applicable",IF(I20="","✅ Applicable",IF(J20=1,"🔴 Critical",IF(J20=2,"🟠 Developing",IF(J20=3,"🟡 Defined",IF(J20&gt;=4,"🟢 Managed","✅ Applicable")))))))</f>
        <v>🔴 Critical</v>
      </c>
      <c r="P20" s="164" t="str">
        <f aca="false">IF(OR(J20="",L20=""),"⏳ Complete rating and target to generate recommendation.",IF(L20&lt;=J20,"✅ Target met — sustain evidence and raise target when programme allows.",IFERROR(INDEX(_REC!$B:$B,MATCH(A20&amp;"|"&amp;IF(L20="","",LEFT(TEXT(L20,"0"),1)),_REC!$A:$A,0)),"Recommendation pending — check _REC data.")))</f>
        <v>Standardise Third-Party Security Rating Monitoring: formalise all documentation, apply the control consistently across all in-scope assets, close remaining coverage gaps, and ensure evidence is collected routinely. Exceptions must be formally managed with named owners and defined expiry dates.</v>
      </c>
      <c r="Q20" s="175" t="s">
        <v>721</v>
      </c>
      <c r="R20" s="198" t="s">
        <v>261</v>
      </c>
      <c r="S20" s="177"/>
      <c r="T20" s="178" t="str">
        <f aca="false">IF(S20="Exclude","⬛ Excluded",IF(S20="Apply","✅ Applicable",IF((('🔍 Scoping'!$E$30="No"))&gt;0,"⬛ Auto-Excluded","✅ Applicable")))</f>
        <v>✅ Applicable</v>
      </c>
    </row>
    <row r="21" customFormat="false" ht="69.75" hidden="false" customHeight="true" outlineLevel="0" collapsed="false">
      <c r="A21" s="104" t="n">
        <v>46</v>
      </c>
      <c r="B21" s="179" t="s">
        <v>722</v>
      </c>
      <c r="C21" s="180" t="s">
        <v>303</v>
      </c>
      <c r="D21" s="180" t="s">
        <v>723</v>
      </c>
      <c r="E21" s="180" t="s">
        <v>724</v>
      </c>
      <c r="F21" s="199" t="s">
        <v>725</v>
      </c>
      <c r="G21" s="199" t="s">
        <v>706</v>
      </c>
      <c r="H21" s="183" t="str">
        <f aca="false">HYPERLINK("#'📎 Evidence Register'!C51","ER-046  →  Row 51")</f>
        <v>ER-046  →  Row 51</v>
      </c>
      <c r="I21" s="196" t="s">
        <v>495</v>
      </c>
      <c r="J21" s="184" t="n">
        <f aca="false">IF(I21="","",IF(LEFT(I21,2)="L1",1,IF(LEFT(I21,2)="L2",2,IF(LEFT(I21,2)="L3",3,IF(LEFT(I21,2)="L4",4,IF(LEFT(I21,2)="L5",5,""))))))</f>
        <v>1</v>
      </c>
      <c r="K21" s="200" t="s">
        <v>496</v>
      </c>
      <c r="L21" s="186" t="n">
        <f aca="false">IF(K21="","",IF(LEFT(K21,2)="L1",1,IF(LEFT(K21,2)="L2",2,IF(LEFT(K21,2)="L3",3,IF(LEFT(K21,2)="L4",4,IF(LEFT(K21,2)="L5",5,""))))))</f>
        <v>3</v>
      </c>
      <c r="M21" s="187" t="n">
        <f aca="false">IFERROR(IF(OR(J21="",L21=""),"—",L21-J21),"—")</f>
        <v>2</v>
      </c>
      <c r="N21" s="188" t="str">
        <f aca="false">IFERROR(IF(I21="","⏳ Select a maturity rating to see the level description for this specific control.",INDEX(_DV!$1:$5,MATCH(LEFT(I21,2),{"L1","L2","L3","L4","L5"},0),46)),"⏳ Select a maturity rating.")</f>
        <v>L1 — Initial: Critical Asset Identification &amp; Prioritisation is absent or ad hoc. No formal process, no documentation, no named owner. Controls exist only reactively after incidents.</v>
      </c>
      <c r="O21" s="113" t="str">
        <f aca="false">IF(S21="Exclude","⬛ Not Applicable",IF(T21="⬛ Auto-Excluded","⬛ Not Applicable",IF(I21="","✅ Applicable",IF(J21=1,"🔴 Critical",IF(J21=2,"🟠 Developing",IF(J21=3,"🟡 Defined",IF(J21&gt;=4,"🟢 Managed","✅ Applicable")))))))</f>
        <v>🔴 Critical</v>
      </c>
      <c r="P21" s="179" t="str">
        <f aca="false">IF(OR(J21="",L21=""),"⏳ Complete rating and target to generate recommendation.",IF(L21&lt;=J21,"✅ Target met — sustain evidence and raise target when programme allows.",IFERROR(INDEX(_REC!$B:$B,MATCH(A21&amp;"|"&amp;IF(L21="","",LEFT(TEXT(L21,"0"),1)),_REC!$A:$A,0)),"Recommendation pending — check _REC data.")))</f>
        <v>Standardise Critical Asset Identification &amp; Prioritisation: formalise all documentation, apply the control consistently across all in-scope assets, close remaining coverage gaps, and ensure evidence is collected routinely. Exceptions must be formally managed with named owners and defined expiry dates.</v>
      </c>
      <c r="Q21" s="189" t="s">
        <v>726</v>
      </c>
      <c r="R21" s="201" t="s">
        <v>249</v>
      </c>
      <c r="S21" s="177"/>
      <c r="T21" s="191" t="str">
        <f aca="false">IF(S21="Exclude","⬛ Excluded",IF(S21="Apply","✅ Applicable","✅ Applicable"))</f>
        <v>✅ Applicable</v>
      </c>
    </row>
    <row r="22" customFormat="false" ht="69.75" hidden="false" customHeight="true" outlineLevel="0" collapsed="false">
      <c r="A22" s="104" t="n">
        <v>47</v>
      </c>
      <c r="B22" s="164" t="s">
        <v>722</v>
      </c>
      <c r="C22" s="165" t="s">
        <v>304</v>
      </c>
      <c r="D22" s="165" t="s">
        <v>727</v>
      </c>
      <c r="E22" s="165" t="s">
        <v>728</v>
      </c>
      <c r="F22" s="195"/>
      <c r="G22" s="195"/>
      <c r="H22" s="168" t="str">
        <f aca="false">HYPERLINK("#'📎 Evidence Register'!C52","ER-047  →  Row 52")</f>
        <v>ER-047  →  Row 52</v>
      </c>
      <c r="I22" s="196"/>
      <c r="J22" s="170" t="str">
        <f aca="false">IF(I22="","",IF(LEFT(I22,2)="L1",1,IF(LEFT(I22,2)="L2",2,IF(LEFT(I22,2)="L3",3,IF(LEFT(I22,2)="L4",4,IF(LEFT(I22,2)="L5",5,""))))))</f>
        <v/>
      </c>
      <c r="K22" s="197"/>
      <c r="L22" s="172" t="str">
        <f aca="false">IF(K22="","",IF(LEFT(K22,2)="L1",1,IF(LEFT(K22,2)="L2",2,IF(LEFT(K22,2)="L3",3,IF(LEFT(K22,2)="L4",4,IF(LEFT(K22,2)="L5",5,""))))))</f>
        <v/>
      </c>
      <c r="M22" s="173" t="str">
        <f aca="false">IFERROR(IF(OR(J22="",L22=""),"—",L22-J22),"—")</f>
        <v>—</v>
      </c>
      <c r="N22" s="174" t="str">
        <f aca="false">IFERROR(IF(I22="","⏳ Select a maturity rating to see the level description for this specific control.",INDEX(_DV!$1:$5,MATCH(LEFT(I22,2),{"L1","L2","L3","L4","L5"},0),47)),"⏳ Select a maturity rating.")</f>
        <v>⏳ Select a maturity rating to see the level description for this specific control.</v>
      </c>
      <c r="O22" s="108" t="str">
        <f aca="false">IF(S22="Exclude","⬛ Not Applicable",IF(T22="⬛ Auto-Excluded","⬛ Not Applicable",IF(I22="","✅ Applicable",IF(J22=1,"🔴 Critical",IF(J22=2,"🟠 Developing",IF(J22=3,"🟡 Defined",IF(J22&gt;=4,"🟢 Managed","✅ Applicable")))))))</f>
        <v>⬛ Not Applicable</v>
      </c>
      <c r="P22" s="164" t="str">
        <f aca="false">IF(OR(J22="",L22=""),"⏳ Complete rating and target to generate recommendation.",IF(L22&lt;=J22,"✅ Target met — sustain evidence and raise target when programme allows.",IFERROR(INDEX(_REC!$B:$B,MATCH(A22&amp;"|"&amp;IF(L22="","",LEFT(TEXT(L22,"0"),1)),_REC!$A:$A,0)),"Recommendation pending — check _REC data.")))</f>
        <v>⏳ Complete rating and target to generate recommendation.</v>
      </c>
      <c r="Q22" s="175" t="s">
        <v>729</v>
      </c>
      <c r="R22" s="198"/>
      <c r="S22" s="177" t="s">
        <v>603</v>
      </c>
      <c r="T22" s="178" t="str">
        <f aca="false">IF(S22="Exclude","⬛ Excluded",IF(S22="Apply","✅ Applicable",IF((('🔍 Scoping'!$E$11="No"))&gt;0,"⬛ Auto-Excluded","✅ Applicable")))</f>
        <v>⬛ Excluded</v>
      </c>
    </row>
    <row r="23" customFormat="false" ht="69.75" hidden="false" customHeight="true" outlineLevel="0" collapsed="false">
      <c r="A23" s="104" t="n">
        <v>48</v>
      </c>
      <c r="B23" s="179" t="s">
        <v>722</v>
      </c>
      <c r="C23" s="180" t="s">
        <v>305</v>
      </c>
      <c r="D23" s="180" t="s">
        <v>730</v>
      </c>
      <c r="E23" s="180" t="s">
        <v>731</v>
      </c>
      <c r="F23" s="199"/>
      <c r="G23" s="199"/>
      <c r="H23" s="183" t="str">
        <f aca="false">HYPERLINK("#'📎 Evidence Register'!C53","ER-048  →  Row 53")</f>
        <v>ER-048  →  Row 53</v>
      </c>
      <c r="I23" s="196"/>
      <c r="J23" s="184" t="str">
        <f aca="false">IF(I23="","",IF(LEFT(I23,2)="L1",1,IF(LEFT(I23,2)="L2",2,IF(LEFT(I23,2)="L3",3,IF(LEFT(I23,2)="L4",4,IF(LEFT(I23,2)="L5",5,""))))))</f>
        <v/>
      </c>
      <c r="K23" s="200"/>
      <c r="L23" s="186" t="str">
        <f aca="false">IF(K23="","",IF(LEFT(K23,2)="L1",1,IF(LEFT(K23,2)="L2",2,IF(LEFT(K23,2)="L3",3,IF(LEFT(K23,2)="L4",4,IF(LEFT(K23,2)="L5",5,""))))))</f>
        <v/>
      </c>
      <c r="M23" s="187" t="str">
        <f aca="false">IFERROR(IF(OR(J23="",L23=""),"—",L23-J23),"—")</f>
        <v>—</v>
      </c>
      <c r="N23" s="188" t="str">
        <f aca="false">IFERROR(IF(I23="","⏳ Select a maturity rating to see the level description for this specific control.",INDEX(_DV!$1:$5,MATCH(LEFT(I23,2),{"L1","L2","L3","L4","L5"},0),48)),"⏳ Select a maturity rating.")</f>
        <v>⏳ Select a maturity rating to see the level description for this specific control.</v>
      </c>
      <c r="O23" s="113" t="str">
        <f aca="false">IF(S23="Exclude","⬛ Not Applicable",IF(T23="⬛ Auto-Excluded","⬛ Not Applicable",IF(I23="","✅ Applicable",IF(J23=1,"🔴 Critical",IF(J23=2,"🟠 Developing",IF(J23=3,"🟡 Defined",IF(J23&gt;=4,"🟢 Managed","✅ Applicable")))))))</f>
        <v>⬛ Not Applicable</v>
      </c>
      <c r="P23" s="179" t="str">
        <f aca="false">IF(OR(J23="",L23=""),"⏳ Complete rating and target to generate recommendation.",IF(L23&lt;=J23,"✅ Target met — sustain evidence and raise target when programme allows.",IFERROR(INDEX(_REC!$B:$B,MATCH(A23&amp;"|"&amp;IF(L23="","",LEFT(TEXT(L23,"0"),1)),_REC!$A:$A,0)),"Recommendation pending — check _REC data.")))</f>
        <v>⏳ Complete rating and target to generate recommendation.</v>
      </c>
      <c r="Q23" s="189" t="s">
        <v>732</v>
      </c>
      <c r="R23" s="201"/>
      <c r="S23" s="177" t="s">
        <v>603</v>
      </c>
      <c r="T23" s="191" t="str">
        <f aca="false">IF(S23="Exclude","⬛ Excluded",IF(S23="Apply","✅ Applicable",IF((('🔍 Scoping'!$E$10="No"))&gt;0,"⬛ Auto-Excluded","✅ Applicable")))</f>
        <v>⬛ Excluded</v>
      </c>
    </row>
    <row r="24" customFormat="false" ht="69.75" hidden="false" customHeight="true" outlineLevel="0" collapsed="false">
      <c r="A24" s="104" t="n">
        <v>49</v>
      </c>
      <c r="B24" s="164" t="s">
        <v>722</v>
      </c>
      <c r="C24" s="165" t="s">
        <v>306</v>
      </c>
      <c r="D24" s="165" t="s">
        <v>733</v>
      </c>
      <c r="E24" s="165" t="s">
        <v>734</v>
      </c>
      <c r="F24" s="195" t="s">
        <v>735</v>
      </c>
      <c r="G24" s="195" t="s">
        <v>566</v>
      </c>
      <c r="H24" s="168" t="str">
        <f aca="false">HYPERLINK("#'📎 Evidence Register'!C54","ER-049  →  Row 54")</f>
        <v>ER-049  →  Row 54</v>
      </c>
      <c r="I24" s="196" t="s">
        <v>495</v>
      </c>
      <c r="J24" s="170" t="n">
        <f aca="false">IF(I24="","",IF(LEFT(I24,2)="L1",1,IF(LEFT(I24,2)="L2",2,IF(LEFT(I24,2)="L3",3,IF(LEFT(I24,2)="L4",4,IF(LEFT(I24,2)="L5",5,""))))))</f>
        <v>1</v>
      </c>
      <c r="K24" s="197" t="s">
        <v>496</v>
      </c>
      <c r="L24" s="172" t="n">
        <f aca="false">IF(K24="","",IF(LEFT(K24,2)="L1",1,IF(LEFT(K24,2)="L2",2,IF(LEFT(K24,2)="L3",3,IF(LEFT(K24,2)="L4",4,IF(LEFT(K24,2)="L5",5,""))))))</f>
        <v>3</v>
      </c>
      <c r="M24" s="173" t="n">
        <f aca="false">IFERROR(IF(OR(J24="",L24=""),"—",L24-J24),"—")</f>
        <v>2</v>
      </c>
      <c r="N24" s="174" t="str">
        <f aca="false">IFERROR(IF(I24="","⏳ Select a maturity rating to see the level description for this specific control.",INDEX(_DV!$1:$5,MATCH(LEFT(I24,2),{"L1","L2","L3","L4","L5"},0),49)),"⏳ Select a maturity rating.")</f>
        <v>L1 — Initial: Security Metrics &amp; Measurement Framework is absent or ad hoc. No formal process, no documentation, no named owner. Controls exist only reactively after incidents.</v>
      </c>
      <c r="O24" s="108" t="str">
        <f aca="false">IF(S24="Exclude","⬛ Not Applicable",IF(T24="⬛ Auto-Excluded","⬛ Not Applicable",IF(I24="","✅ Applicable",IF(J24=1,"🔴 Critical",IF(J24=2,"🟠 Developing",IF(J24=3,"🟡 Defined",IF(J24&gt;=4,"🟢 Managed","✅ Applicable")))))))</f>
        <v>🔴 Critical</v>
      </c>
      <c r="P24" s="164" t="str">
        <f aca="false">IF(OR(J24="",L24=""),"⏳ Complete rating and target to generate recommendation.",IF(L24&lt;=J24,"✅ Target met — sustain evidence and raise target when programme allows.",IFERROR(INDEX(_REC!$B:$B,MATCH(A24&amp;"|"&amp;IF(L24="","",LEFT(TEXT(L24,"0"),1)),_REC!$A:$A,0)),"Recommendation pending — check _REC data.")))</f>
        <v>Standardise Security Metrics &amp; Measurement Framework: formalise all documentation, apply the control consistently across all in-scope assets, close remaining coverage gaps, and ensure evidence is collected routinely. Exceptions must be formally managed with named owners and defined expiry dates.</v>
      </c>
      <c r="Q24" s="175" t="s">
        <v>736</v>
      </c>
      <c r="R24" s="198" t="s">
        <v>249</v>
      </c>
      <c r="S24" s="177"/>
      <c r="T24" s="178" t="str">
        <f aca="false">IF(S24="Exclude","⬛ Excluded",IF(S24="Apply","✅ Applicable","✅ Applicable"))</f>
        <v>✅ Applicable</v>
      </c>
    </row>
    <row r="25" customFormat="false" ht="69.75" hidden="false" customHeight="true" outlineLevel="0" collapsed="false">
      <c r="A25" s="104" t="n">
        <v>50</v>
      </c>
      <c r="B25" s="179" t="s">
        <v>722</v>
      </c>
      <c r="C25" s="180" t="s">
        <v>307</v>
      </c>
      <c r="D25" s="180" t="s">
        <v>737</v>
      </c>
      <c r="E25" s="180" t="s">
        <v>738</v>
      </c>
      <c r="F25" s="199" t="s">
        <v>739</v>
      </c>
      <c r="G25" s="199" t="s">
        <v>566</v>
      </c>
      <c r="H25" s="183" t="str">
        <f aca="false">HYPERLINK("#'📎 Evidence Register'!C55","ER-050  →  Row 55")</f>
        <v>ER-050  →  Row 55</v>
      </c>
      <c r="I25" s="196" t="s">
        <v>495</v>
      </c>
      <c r="J25" s="184" t="n">
        <f aca="false">IF(I25="","",IF(LEFT(I25,2)="L1",1,IF(LEFT(I25,2)="L2",2,IF(LEFT(I25,2)="L3",3,IF(LEFT(I25,2)="L4",4,IF(LEFT(I25,2)="L5",5,""))))))</f>
        <v>1</v>
      </c>
      <c r="K25" s="200" t="s">
        <v>496</v>
      </c>
      <c r="L25" s="186" t="n">
        <f aca="false">IF(K25="","",IF(LEFT(K25,2)="L1",1,IF(LEFT(K25,2)="L2",2,IF(LEFT(K25,2)="L3",3,IF(LEFT(K25,2)="L4",4,IF(LEFT(K25,2)="L5",5,""))))))</f>
        <v>3</v>
      </c>
      <c r="M25" s="187" t="n">
        <f aca="false">IFERROR(IF(OR(J25="",L25=""),"—",L25-J25),"—")</f>
        <v>2</v>
      </c>
      <c r="N25" s="188" t="str">
        <f aca="false">IFERROR(IF(I25="","⏳ Select a maturity rating to see the level description for this specific control.",INDEX(_DV!$1:$5,MATCH(LEFT(I25,2),{"L1","L2","L3","L4","L5"},0),50)),"⏳ Select a maturity rating.")</f>
        <v>L1 — Initial: Red Team Programme is absent or ad hoc. No formal process, no documentation, no named owner. Controls exist only reactively after incidents.</v>
      </c>
      <c r="O25" s="113" t="str">
        <f aca="false">IF(S25="Exclude","⬛ Not Applicable",IF(T25="⬛ Auto-Excluded","⬛ Not Applicable",IF(I25="","✅ Applicable",IF(J25=1,"🔴 Critical",IF(J25=2,"🟠 Developing",IF(J25=3,"🟡 Defined",IF(J25&gt;=4,"🟢 Managed","✅ Applicable")))))))</f>
        <v>🔴 Critical</v>
      </c>
      <c r="P25" s="179" t="str">
        <f aca="false">IF(OR(J25="",L25=""),"⏳ Complete rating and target to generate recommendation.",IF(L25&lt;=J25,"✅ Target met — sustain evidence and raise target when programme allows.",IFERROR(INDEX(_REC!$B:$B,MATCH(A25&amp;"|"&amp;IF(L25="","",LEFT(TEXT(L25,"0"),1)),_REC!$A:$A,0)),"Recommendation pending — check _REC data.")))</f>
        <v>Standardise Red Team Programme: formalise all documentation, apply the control consistently across all in-scope assets, close remaining coverage gaps, and ensure evidence is collected routinely. Exceptions must be formally managed with named owners and defined expiry dates.</v>
      </c>
      <c r="Q25" s="189" t="s">
        <v>740</v>
      </c>
      <c r="R25" s="201" t="s">
        <v>299</v>
      </c>
      <c r="S25" s="177"/>
      <c r="T25" s="191" t="str">
        <f aca="false">IF(S25="Exclude","⬛ Excluded",IF(S25="Apply","✅ Applicable","✅ Applicable"))</f>
        <v>✅ Applicable</v>
      </c>
    </row>
    <row r="26" customFormat="false" ht="69.75" hidden="false" customHeight="true" outlineLevel="0" collapsed="false">
      <c r="A26" s="155"/>
      <c r="B26" s="155"/>
      <c r="C26" s="155"/>
      <c r="D26" s="155"/>
      <c r="E26" s="155"/>
      <c r="F26" s="155"/>
      <c r="G26" s="155"/>
      <c r="H26" s="155"/>
      <c r="I26" s="155"/>
      <c r="J26" s="155"/>
      <c r="K26" s="155"/>
      <c r="L26" s="155"/>
      <c r="M26" s="155"/>
      <c r="N26" s="155"/>
      <c r="O26" s="155"/>
      <c r="P26" s="155"/>
      <c r="Q26" s="155"/>
      <c r="R26" s="155"/>
      <c r="S26" s="155"/>
      <c r="T26" s="155"/>
    </row>
    <row r="27" customFormat="false" ht="69.75" hidden="false" customHeight="true" outlineLevel="0" collapsed="false">
      <c r="A27" s="155"/>
      <c r="B27" s="155"/>
      <c r="C27" s="155"/>
      <c r="D27" s="155"/>
      <c r="E27" s="155"/>
      <c r="F27" s="155"/>
      <c r="G27" s="155"/>
      <c r="H27" s="155"/>
      <c r="I27" s="155"/>
      <c r="J27" s="155"/>
      <c r="K27" s="155"/>
      <c r="L27" s="155"/>
      <c r="M27" s="155"/>
      <c r="N27" s="155"/>
      <c r="O27" s="155"/>
      <c r="P27" s="155"/>
      <c r="Q27" s="155"/>
      <c r="R27" s="155"/>
      <c r="S27" s="155"/>
      <c r="T27" s="155"/>
    </row>
    <row r="28" customFormat="false" ht="69.75" hidden="false" customHeight="true" outlineLevel="0" collapsed="false">
      <c r="A28" s="155"/>
      <c r="B28" s="155"/>
      <c r="C28" s="155"/>
      <c r="D28" s="155"/>
      <c r="E28" s="155"/>
      <c r="F28" s="155"/>
      <c r="G28" s="155"/>
      <c r="H28" s="155"/>
      <c r="I28" s="155"/>
      <c r="J28" s="155"/>
      <c r="K28" s="155"/>
      <c r="L28" s="155"/>
      <c r="M28" s="155"/>
      <c r="N28" s="155"/>
      <c r="O28" s="155"/>
      <c r="P28" s="155"/>
      <c r="Q28" s="155"/>
      <c r="R28" s="155"/>
      <c r="S28" s="155"/>
      <c r="T28" s="155"/>
    </row>
    <row r="29" customFormat="false" ht="69.75" hidden="false" customHeight="true" outlineLevel="0" collapsed="false">
      <c r="A29" s="155"/>
      <c r="B29" s="155"/>
      <c r="C29" s="155"/>
      <c r="D29" s="155"/>
      <c r="E29" s="155"/>
      <c r="F29" s="155"/>
      <c r="G29" s="155"/>
      <c r="H29" s="155"/>
      <c r="I29" s="155"/>
      <c r="J29" s="155"/>
      <c r="K29" s="155"/>
      <c r="L29" s="155"/>
      <c r="M29" s="155"/>
      <c r="N29" s="155"/>
      <c r="O29" s="155"/>
      <c r="P29" s="155"/>
      <c r="Q29" s="155"/>
      <c r="R29" s="155"/>
      <c r="S29" s="155"/>
      <c r="T29" s="155"/>
    </row>
    <row r="30" customFormat="false" ht="69.75" hidden="false" customHeight="true" outlineLevel="0" collapsed="false">
      <c r="A30" s="155"/>
      <c r="B30" s="155"/>
      <c r="C30" s="155"/>
      <c r="D30" s="155"/>
      <c r="E30" s="155"/>
      <c r="F30" s="155"/>
      <c r="G30" s="155"/>
      <c r="H30" s="155"/>
      <c r="I30" s="155"/>
      <c r="J30" s="155"/>
      <c r="K30" s="155"/>
      <c r="L30" s="155"/>
      <c r="M30" s="155"/>
      <c r="N30" s="155"/>
      <c r="O30" s="155"/>
      <c r="P30" s="155"/>
      <c r="Q30" s="155"/>
      <c r="R30" s="155"/>
      <c r="S30" s="155"/>
      <c r="T30" s="155"/>
    </row>
    <row r="31" customFormat="false" ht="69.75" hidden="false" customHeight="true" outlineLevel="0" collapsed="false">
      <c r="A31" s="155"/>
      <c r="B31" s="155"/>
      <c r="C31" s="155"/>
      <c r="D31" s="155"/>
      <c r="E31" s="155"/>
      <c r="F31" s="155"/>
      <c r="G31" s="155"/>
      <c r="H31" s="155"/>
      <c r="I31" s="155"/>
      <c r="J31" s="155"/>
      <c r="K31" s="155"/>
      <c r="L31" s="155"/>
      <c r="M31" s="155"/>
      <c r="N31" s="155"/>
      <c r="O31" s="155"/>
      <c r="P31" s="155"/>
      <c r="Q31" s="155"/>
      <c r="R31" s="155"/>
      <c r="S31" s="155"/>
      <c r="T31" s="155"/>
    </row>
    <row r="32" customFormat="false" ht="69.75" hidden="false" customHeight="true" outlineLevel="0" collapsed="false">
      <c r="A32" s="155"/>
      <c r="B32" s="155"/>
      <c r="C32" s="155"/>
      <c r="D32" s="155"/>
      <c r="E32" s="155"/>
      <c r="F32" s="155"/>
      <c r="G32" s="155"/>
      <c r="H32" s="155"/>
      <c r="I32" s="155"/>
      <c r="J32" s="155"/>
      <c r="K32" s="155"/>
      <c r="L32" s="155"/>
      <c r="M32" s="155"/>
      <c r="N32" s="155"/>
      <c r="O32" s="155"/>
      <c r="P32" s="155"/>
      <c r="Q32" s="155"/>
      <c r="R32" s="155"/>
      <c r="S32" s="155"/>
      <c r="T32" s="155"/>
    </row>
    <row r="33" customFormat="false" ht="69.75" hidden="false" customHeight="true" outlineLevel="0" collapsed="false">
      <c r="A33" s="155"/>
      <c r="B33" s="155"/>
      <c r="C33" s="155"/>
      <c r="D33" s="155"/>
      <c r="E33" s="155"/>
      <c r="F33" s="155"/>
      <c r="G33" s="155"/>
      <c r="H33" s="155"/>
      <c r="I33" s="155"/>
      <c r="J33" s="155"/>
      <c r="K33" s="155"/>
      <c r="L33" s="155"/>
      <c r="M33" s="155"/>
      <c r="N33" s="155"/>
      <c r="O33" s="155"/>
      <c r="P33" s="155"/>
      <c r="Q33" s="155"/>
      <c r="R33" s="155"/>
      <c r="S33" s="155"/>
      <c r="T33" s="155"/>
    </row>
    <row r="34" customFormat="false" ht="69.75" hidden="false" customHeight="true" outlineLevel="0" collapsed="false">
      <c r="A34" s="155"/>
      <c r="B34" s="155"/>
      <c r="C34" s="155"/>
      <c r="D34" s="155"/>
      <c r="E34" s="155"/>
      <c r="F34" s="155"/>
      <c r="G34" s="155"/>
      <c r="H34" s="155"/>
      <c r="I34" s="155"/>
      <c r="J34" s="155"/>
      <c r="K34" s="155"/>
      <c r="L34" s="155"/>
      <c r="M34" s="155"/>
      <c r="N34" s="155"/>
      <c r="O34" s="155"/>
      <c r="P34" s="155"/>
      <c r="Q34" s="155"/>
      <c r="R34" s="155"/>
      <c r="S34" s="155"/>
      <c r="T34" s="155"/>
    </row>
    <row r="35" customFormat="false" ht="69.75" hidden="false" customHeight="true" outlineLevel="0" collapsed="false">
      <c r="A35" s="155"/>
      <c r="B35" s="155"/>
      <c r="C35" s="155"/>
      <c r="D35" s="155"/>
      <c r="E35" s="155"/>
      <c r="F35" s="155"/>
      <c r="G35" s="155"/>
      <c r="H35" s="155"/>
      <c r="I35" s="155"/>
      <c r="J35" s="155"/>
      <c r="K35" s="155"/>
      <c r="L35" s="155"/>
      <c r="M35" s="155"/>
      <c r="N35" s="155"/>
      <c r="O35" s="155"/>
      <c r="P35" s="155"/>
      <c r="Q35" s="155"/>
      <c r="R35" s="155"/>
      <c r="S35" s="155"/>
      <c r="T35" s="155"/>
    </row>
  </sheetData>
  <autoFilter ref="A3:Q25"/>
  <mergeCells count="4">
    <mergeCell ref="A1:S1"/>
    <mergeCell ref="B2:G2"/>
    <mergeCell ref="N2:O2"/>
    <mergeCell ref="Q2:S2"/>
  </mergeCells>
  <conditionalFormatting sqref="A4:S35">
    <cfRule type="expression" priority="2" aboveAverage="0" equalAverage="0" bottom="0" percent="0" rank="0" text="" dxfId="26">
      <formula>OR($S4="Exclude",$T4="⬛ Auto-Excluded")</formula>
    </cfRule>
  </conditionalFormatting>
  <conditionalFormatting sqref="J4:J35">
    <cfRule type="expression" priority="3" aboveAverage="0" equalAverage="0" bottom="0" percent="0" rank="0" text="" dxfId="27">
      <formula>$J4=1</formula>
    </cfRule>
    <cfRule type="expression" priority="4" aboveAverage="0" equalAverage="0" bottom="0" percent="0" rank="0" text="" dxfId="28">
      <formula>$J4=2</formula>
    </cfRule>
    <cfRule type="expression" priority="5" aboveAverage="0" equalAverage="0" bottom="0" percent="0" rank="0" text="" dxfId="29">
      <formula>$J4=3</formula>
    </cfRule>
    <cfRule type="expression" priority="6" aboveAverage="0" equalAverage="0" bottom="0" percent="0" rank="0" text="" dxfId="30">
      <formula>$J4=4</formula>
    </cfRule>
    <cfRule type="expression" priority="7" aboveAverage="0" equalAverage="0" bottom="0" percent="0" rank="0" text="" dxfId="31">
      <formula>$J4=5</formula>
    </cfRule>
  </conditionalFormatting>
  <conditionalFormatting sqref="M4:M35">
    <cfRule type="expression" priority="8" aboveAverage="0" equalAverage="0" bottom="0" percent="0" rank="0" text="" dxfId="32">
      <formula>AND(ISNUMBER($M4),$M4&gt;2)</formula>
    </cfRule>
    <cfRule type="expression" priority="9" aboveAverage="0" equalAverage="0" bottom="0" percent="0" rank="0" text="" dxfId="33">
      <formula>AND(ISNUMBER($M4),$M4&gt;=1,$M4&lt;=2)</formula>
    </cfRule>
    <cfRule type="expression" priority="10" aboveAverage="0" equalAverage="0" bottom="0" percent="0" rank="0" text="" dxfId="34">
      <formula>AND(ISNUMBER($M4),$M4&lt;=0)</formula>
    </cfRule>
  </conditionalFormatting>
  <conditionalFormatting sqref="K4:K35">
    <cfRule type="expression" priority="11" aboveAverage="0" equalAverage="0" bottom="0" percent="0" rank="0" text="" dxfId="35">
      <formula>AND($J4&lt;&gt;"",$K4="")</formula>
    </cfRule>
  </conditionalFormatting>
  <conditionalFormatting sqref="O4:O35">
    <cfRule type="expression" priority="12" aboveAverage="0" equalAverage="0" bottom="0" percent="0" rank="0" text="" dxfId="36">
      <formula>OR($S4="Exclude",$T4="⬛ Auto-Excluded")</formula>
    </cfRule>
  </conditionalFormatting>
  <conditionalFormatting sqref="A4:S25">
    <cfRule type="expression" priority="13" aboveAverage="0" equalAverage="0" bottom="0" percent="0" rank="0" text="" dxfId="37">
      <formula>OR($S4="Exclude",$T4="⬛ Auto-Excluded")</formula>
    </cfRule>
  </conditionalFormatting>
  <conditionalFormatting sqref="J4:J25">
    <cfRule type="expression" priority="14" aboveAverage="0" equalAverage="0" bottom="0" percent="0" rank="0" text="" dxfId="27">
      <formula>$J4=1</formula>
    </cfRule>
    <cfRule type="expression" priority="15" aboveAverage="0" equalAverage="0" bottom="0" percent="0" rank="0" text="" dxfId="28">
      <formula>$J4=2</formula>
    </cfRule>
    <cfRule type="expression" priority="16" aboveAverage="0" equalAverage="0" bottom="0" percent="0" rank="0" text="" dxfId="29">
      <formula>$J4=3</formula>
    </cfRule>
    <cfRule type="expression" priority="17" aboveAverage="0" equalAverage="0" bottom="0" percent="0" rank="0" text="" dxfId="30">
      <formula>$J4=4</formula>
    </cfRule>
    <cfRule type="expression" priority="18" aboveAverage="0" equalAverage="0" bottom="0" percent="0" rank="0" text="" dxfId="31">
      <formula>$J4=5</formula>
    </cfRule>
  </conditionalFormatting>
  <conditionalFormatting sqref="M4:M25">
    <cfRule type="expression" priority="19" aboveAverage="0" equalAverage="0" bottom="0" percent="0" rank="0" text="" dxfId="32">
      <formula>AND(ISNUMBER($M4),$M4&gt;2)</formula>
    </cfRule>
    <cfRule type="expression" priority="20" aboveAverage="0" equalAverage="0" bottom="0" percent="0" rank="0" text="" dxfId="33">
      <formula>AND(ISNUMBER($M4),$M4&gt;=1,$M4&lt;=2)</formula>
    </cfRule>
    <cfRule type="expression" priority="21" aboveAverage="0" equalAverage="0" bottom="0" percent="0" rank="0" text="" dxfId="34">
      <formula>AND(ISNUMBER($M4),$M4&lt;=0)</formula>
    </cfRule>
  </conditionalFormatting>
  <conditionalFormatting sqref="K4:K25">
    <cfRule type="expression" priority="22" aboveAverage="0" equalAverage="0" bottom="0" percent="0" rank="0" text="" dxfId="35">
      <formula>AND($J4&lt;&gt;"",$K4="")</formula>
    </cfRule>
  </conditionalFormatting>
  <dataValidations count="6">
    <dataValidation allowBlank="true" errorStyle="stop" operator="between" prompt="Select the current maturity level.&#10;L3 = Defined is the minimum enterprise baseline.&#10;Column N will auto-show a control-specific description." promptTitle="Maturity Rating" showDropDown="false" showErrorMessage="false" showInputMessage="true" sqref="I26:I35" type="list">
      <formula1>"L1 — Initial,L2 — Developing,L3 — Defined,L4 — Managed,L5 — Optimised"</formula1>
      <formula2>0</formula2>
    </dataValidation>
    <dataValidation allowBlank="true" errorStyle="stop" operator="between" prompt="Select the target maturity level.&#10;Column P will auto-generate a specific improvement recommendation." promptTitle="Target Level" showDropDown="false" showErrorMessage="false" showInputMessage="true" sqref="K26:K35" type="list">
      <formula1>"L1 — Initial,L2 — Developing,L3 — Defined,L4 — Managed,L5 — Optimised"</formula1>
      <formula2>0</formula2>
    </dataValidation>
    <dataValidation allowBlank="true" errorStyle="stop" operator="between" prompt="Leave blank = auto-determined by Scoping tab.&#10;Apply = force include (overrides auto-exclusion).&#10;Exclude = manually remove from scoring and calculations.&#10;&#10;Excluded rows will be greyed out automatically." promptTitle="Scope Override" showDropDown="false" showErrorMessage="false" showInputMessage="true" sqref="S26:S35" type="list">
      <formula1>"Apply,Exclude"</formula1>
      <formula2>0</formula2>
    </dataValidation>
    <dataValidation allowBlank="true" errorStyle="stop" operator="between" prompt="Select the current maturity level.&#10;L3 = Defined is the minimum enterprise baseline." promptTitle="Maturity Rating" showDropDown="false" showErrorMessage="false" showInputMessage="true" sqref="I4:I25" type="list">
      <formula1>"L1 — Initial,L2 — Developing,L3 — Defined,L4 — Managed,L5 — Optimised"</formula1>
      <formula2>0</formula2>
    </dataValidation>
    <dataValidation allowBlank="true" errorStyle="stop" operator="between" prompt="Select the target level. Column P auto-generates a recommendation." promptTitle="Target Level" showDropDown="false" showErrorMessage="false" showInputMessage="true" sqref="K4:K25" type="list">
      <formula1>"L1 — Initial,L2 — Developing,L3 — Defined,L4 — Managed,L5 — Optimised"</formula1>
      <formula2>0</formula2>
    </dataValidation>
    <dataValidation allowBlank="true" errorStyle="stop" operator="between" prompt="Leave blank = auto-determined by Scoping tab.&#10;Apply = force include.&#10;Exclude = remove from scoring." promptTitle="Scope Override" showDropDown="false" showErrorMessage="false" showInputMessage="true" sqref="S4:S25" type="list">
      <formula1>"Apply,Exclude"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5A1E"/>
    <pageSetUpPr fitToPage="false"/>
  </sheetPr>
  <dimension ref="A1:T108"/>
  <sheetViews>
    <sheetView showFormulas="false" showGridLines="false" showRowColHeaders="true" showZeros="true" rightToLeft="false" tabSelected="false" showOutlineSymbols="true" defaultGridColor="true" view="normal" topLeftCell="G1" colorId="64" zoomScale="88" zoomScaleNormal="88" zoomScalePageLayoutView="100" workbookViewId="0">
      <pane xSplit="0" ySplit="3" topLeftCell="A61" activePane="bottomLeft" state="frozen"/>
      <selection pane="topLeft" activeCell="G1" activeCellId="0" sqref="G1"/>
      <selection pane="bottomLeft" activeCell="U71" activeCellId="0" sqref="U71"/>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36"/>
    <col collapsed="false" customWidth="true" hidden="false" outlineLevel="0" max="4" min="4" style="1" width="46"/>
    <col collapsed="false" customWidth="true" hidden="false" outlineLevel="0" max="5" min="5" style="1" width="48"/>
    <col collapsed="false" customWidth="true" hidden="false" outlineLevel="0" max="6" min="6" style="1" width="36"/>
    <col collapsed="false" customWidth="true" hidden="false" outlineLevel="0" max="7" min="7" style="1" width="14"/>
    <col collapsed="false" customWidth="true" hidden="false" outlineLevel="0" max="9" min="8" style="1" width="13"/>
    <col collapsed="false" customWidth="true" hidden="false" outlineLevel="0" max="10" min="10" style="1" width="8"/>
    <col collapsed="false" customWidth="true" hidden="false" outlineLevel="0" max="11" min="11" style="1" width="30"/>
    <col collapsed="false" customWidth="true" hidden="false" outlineLevel="0" max="12" min="12" style="1" width="10"/>
    <col collapsed="false" customWidth="true" hidden="false" outlineLevel="0" max="13" min="13" style="1" width="8"/>
    <col collapsed="false" customWidth="true" hidden="false" outlineLevel="0" max="14" min="14" style="1" width="52"/>
    <col collapsed="false" customWidth="true" hidden="false" outlineLevel="0" max="15" min="15" style="1" width="16"/>
    <col collapsed="false" customWidth="true" hidden="false" outlineLevel="0" max="16" min="16" style="1" width="50"/>
    <col collapsed="false" customWidth="true" hidden="false" outlineLevel="0" max="17" min="17" style="1" width="38"/>
    <col collapsed="false" customWidth="true" hidden="false" outlineLevel="0" max="18" min="18" style="1" width="14"/>
    <col collapsed="false" customWidth="true" hidden="false" outlineLevel="0" max="19" min="19" style="1" width="12"/>
    <col collapsed="false" customWidth="true" hidden="true" outlineLevel="0" max="20" min="20" style="1" width="4"/>
  </cols>
  <sheetData>
    <row r="1" customFormat="false" ht="49.5" hidden="false" customHeight="true" outlineLevel="0" collapsed="false">
      <c r="A1" s="202" t="s">
        <v>741</v>
      </c>
      <c r="B1" s="202"/>
      <c r="C1" s="202"/>
      <c r="D1" s="202"/>
      <c r="E1" s="202"/>
      <c r="F1" s="202"/>
      <c r="G1" s="202"/>
      <c r="H1" s="202"/>
      <c r="I1" s="202"/>
      <c r="J1" s="202"/>
      <c r="K1" s="202"/>
      <c r="L1" s="202"/>
      <c r="M1" s="202"/>
      <c r="N1" s="202"/>
      <c r="O1" s="202"/>
      <c r="P1" s="202"/>
      <c r="Q1" s="202"/>
      <c r="R1" s="202"/>
      <c r="S1" s="202"/>
      <c r="T1" s="155"/>
    </row>
    <row r="2" customFormat="false" ht="24" hidden="false" customHeight="true" outlineLevel="0" collapsed="false">
      <c r="A2" s="156"/>
      <c r="B2" s="157" t="s">
        <v>469</v>
      </c>
      <c r="C2" s="157"/>
      <c r="D2" s="157"/>
      <c r="E2" s="157"/>
      <c r="F2" s="157"/>
      <c r="G2" s="157"/>
      <c r="H2" s="156"/>
      <c r="I2" s="158" t="s">
        <v>470</v>
      </c>
      <c r="J2" s="159" t="n">
        <f aca="false">IFERROR(AVERAGEIFS(J4:J86,T4:T86,"✅ Applicable"),"—")</f>
        <v>1.36</v>
      </c>
      <c r="K2" s="158" t="s">
        <v>471</v>
      </c>
      <c r="L2" s="160" t="n">
        <f aca="false">IFERROR(AVERAGEIFS(L4:L86,T4:T86,"✅ Applicable"),"—")</f>
        <v>3.46666666666667</v>
      </c>
      <c r="M2" s="158" t="s">
        <v>472</v>
      </c>
      <c r="N2" s="161" t="str">
        <f aca="false">IFERROR(COUNTIFS(J4:J86,"&lt;&gt;",T4:T86,"✅ Applicable")&amp;" / "&amp;COUNTIF(T4:T86,"✅ Applicable")&amp;" applicable","—")</f>
        <v>78 / 78 applicable</v>
      </c>
      <c r="O2" s="161"/>
      <c r="P2" s="158" t="s">
        <v>473</v>
      </c>
      <c r="Q2" s="162" t="str">
        <f aca="false">COUNTIF(T4:T86,"⬛ Auto-Excluded")&amp;" controls (scoping)"</f>
        <v>0 controls (scoping)</v>
      </c>
      <c r="R2" s="162"/>
      <c r="S2" s="162"/>
      <c r="T2" s="155"/>
    </row>
    <row r="3" customFormat="false" ht="45" hidden="false" customHeight="true" outlineLevel="0" collapsed="false">
      <c r="A3" s="163" t="s">
        <v>474</v>
      </c>
      <c r="B3" s="163" t="s">
        <v>23</v>
      </c>
      <c r="C3" s="163" t="s">
        <v>229</v>
      </c>
      <c r="D3" s="163" t="s">
        <v>475</v>
      </c>
      <c r="E3" s="163" t="s">
        <v>476</v>
      </c>
      <c r="F3" s="163" t="s">
        <v>477</v>
      </c>
      <c r="G3" s="163" t="s">
        <v>478</v>
      </c>
      <c r="H3" s="163" t="s">
        <v>479</v>
      </c>
      <c r="I3" s="163" t="s">
        <v>480</v>
      </c>
      <c r="J3" s="163" t="s">
        <v>481</v>
      </c>
      <c r="K3" s="163" t="s">
        <v>482</v>
      </c>
      <c r="L3" s="163" t="s">
        <v>483</v>
      </c>
      <c r="M3" s="163" t="s">
        <v>142</v>
      </c>
      <c r="N3" s="163" t="s">
        <v>484</v>
      </c>
      <c r="O3" s="163" t="s">
        <v>485</v>
      </c>
      <c r="P3" s="163" t="s">
        <v>486</v>
      </c>
      <c r="Q3" s="163" t="s">
        <v>487</v>
      </c>
      <c r="R3" s="163" t="s">
        <v>233</v>
      </c>
      <c r="S3" s="163" t="s">
        <v>488</v>
      </c>
      <c r="T3" s="163" t="s">
        <v>489</v>
      </c>
    </row>
    <row r="4" customFormat="false" ht="69.75" hidden="false" customHeight="true" outlineLevel="0" collapsed="false">
      <c r="A4" s="104" t="n">
        <v>51</v>
      </c>
      <c r="B4" s="164" t="s">
        <v>742</v>
      </c>
      <c r="C4" s="165" t="s">
        <v>309</v>
      </c>
      <c r="D4" s="165" t="s">
        <v>743</v>
      </c>
      <c r="E4" s="165" t="s">
        <v>744</v>
      </c>
      <c r="F4" s="203" t="s">
        <v>745</v>
      </c>
      <c r="G4" s="203" t="s">
        <v>746</v>
      </c>
      <c r="H4" s="168" t="str">
        <f aca="false">HYPERLINK("#'📎 Evidence Register'!C56","ER-051  →  Row 56")</f>
        <v>ER-051  →  Row 56</v>
      </c>
      <c r="I4" s="204" t="s">
        <v>508</v>
      </c>
      <c r="J4" s="170" t="n">
        <f aca="false">IF(I4="","",IF(LEFT(I4,2)="L1",1,IF(LEFT(I4,2)="L2",2,IF(LEFT(I4,2)="L3",3,IF(LEFT(I4,2)="L4",4,IF(LEFT(I4,2)="L5",5,""))))))</f>
        <v>2</v>
      </c>
      <c r="K4" s="205" t="s">
        <v>545</v>
      </c>
      <c r="L4" s="172" t="n">
        <f aca="false">IF(K4="","",IF(LEFT(K4,2)="L1",1,IF(LEFT(K4,2)="L2",2,IF(LEFT(K4,2)="L3",3,IF(LEFT(K4,2)="L4",4,IF(LEFT(K4,2)="L5",5,""))))))</f>
        <v>4</v>
      </c>
      <c r="M4" s="173" t="n">
        <f aca="false">IFERROR(IF(OR(J4="",L4=""),"—",L4-J4),"—")</f>
        <v>2</v>
      </c>
      <c r="N4" s="174" t="str">
        <f aca="false">IFERROR(IF(I4="","⏳ Select a maturity rating to see the level description for this specific control.",INDEX(_DV!$1:$5,MATCH(LEFT(I4,2),{"L1","L2","L3","L4","L5"},0),51)),"⏳ Select a maturity rating.")</f>
        <v>L2 — Developing: Multi-Factor Authentication — All Users has basic controls in place but coverage is incomplete and execution is manual. Not consistently applied across all in-scope assets. Formal governance is absent.</v>
      </c>
      <c r="O4" s="108" t="str">
        <f aca="false">IF(S4="Exclude","⬛ Not Applicable",IF(T4="⬛ Auto-Excluded","⬛ Not Applicable",IF(I4="","✅ Applicable",IF(J4=1,"🔴 Critical",IF(J4=2,"🟠 Developing",IF(J4=3,"🟡 Defined",IF(J4&gt;=4,"🟢 Managed","✅ Applicable")))))))</f>
        <v>🟠 Developing</v>
      </c>
      <c r="P4" s="164" t="str">
        <f aca="false">IF(OR(J4="",L4=""),"⏳ Complete rating and target to generate recommendation.",IF(L4&lt;=J4,"✅ Target met — sustain evidence and raise target when programme allows.",IFERROR(INDEX(_REC!$B:$B,MATCH(A4&amp;"|"&amp;IF(L4="","",LEFT(TEXT(L4,"0"),1)),_REC!$A:$A,0)),"Recommendation pending — check _REC data.")))</f>
        <v>Instrument Multi-Factor Authentication — All Users with measurable KPIs: define performance thresholds (coverage %, SLA adherence, exception count), establish automated telemetry where possible, and integrate reporting into quarterly governance cycles. Evidence must be system-generated and reviewed at each governance cycle.</v>
      </c>
      <c r="Q4" s="175" t="s">
        <v>747</v>
      </c>
      <c r="R4" s="206" t="s">
        <v>249</v>
      </c>
      <c r="S4" s="177" t="s">
        <v>498</v>
      </c>
      <c r="T4" s="178" t="str">
        <f aca="false">IF(S4="Exclude","⬛ Excluded",IF(S4="Apply","✅ Applicable","✅ Applicable"))</f>
        <v>✅ Applicable</v>
      </c>
    </row>
    <row r="5" customFormat="false" ht="69.75" hidden="false" customHeight="true" outlineLevel="0" collapsed="false">
      <c r="A5" s="104" t="n">
        <v>52</v>
      </c>
      <c r="B5" s="179" t="s">
        <v>742</v>
      </c>
      <c r="C5" s="180" t="s">
        <v>311</v>
      </c>
      <c r="D5" s="180" t="s">
        <v>748</v>
      </c>
      <c r="E5" s="180" t="s">
        <v>749</v>
      </c>
      <c r="F5" s="207" t="s">
        <v>750</v>
      </c>
      <c r="G5" s="207" t="s">
        <v>751</v>
      </c>
      <c r="H5" s="183" t="str">
        <f aca="false">HYPERLINK("#'📎 Evidence Register'!C57","ER-052  →  Row 57")</f>
        <v>ER-052  →  Row 57</v>
      </c>
      <c r="I5" s="204" t="s">
        <v>495</v>
      </c>
      <c r="J5" s="184" t="n">
        <f aca="false">IF(I5="","",IF(LEFT(I5,2)="L1",1,IF(LEFT(I5,2)="L2",2,IF(LEFT(I5,2)="L3",3,IF(LEFT(I5,2)="L4",4,IF(LEFT(I5,2)="L5",5,""))))))</f>
        <v>1</v>
      </c>
      <c r="K5" s="208" t="s">
        <v>545</v>
      </c>
      <c r="L5" s="186" t="n">
        <f aca="false">IF(K5="","",IF(LEFT(K5,2)="L1",1,IF(LEFT(K5,2)="L2",2,IF(LEFT(K5,2)="L3",3,IF(LEFT(K5,2)="L4",4,IF(LEFT(K5,2)="L5",5,""))))))</f>
        <v>4</v>
      </c>
      <c r="M5" s="187" t="n">
        <f aca="false">IFERROR(IF(OR(J5="",L5=""),"—",L5-J5),"—")</f>
        <v>3</v>
      </c>
      <c r="N5" s="188" t="str">
        <f aca="false">IFERROR(IF(I5="","⏳ Select a maturity rating to see the level description for this specific control.",INDEX(_DV!$1:$5,MATCH(LEFT(I5,2),{"L1","L2","L3","L4","L5"},0),52)),"⏳ Select a maturity rating.")</f>
        <v>L1 — Initial: Phishing-Resistant MFA for Privileged Accounts is absent or ad hoc. No formal process, no documentation, no named owner. Controls exist only reactively after incidents.</v>
      </c>
      <c r="O5" s="113" t="str">
        <f aca="false">IF(S5="Exclude","⬛ Not Applicable",IF(T5="⬛ Auto-Excluded","⬛ Not Applicable",IF(I5="","✅ Applicable",IF(J5=1,"🔴 Critical",IF(J5=2,"🟠 Developing",IF(J5=3,"🟡 Defined",IF(J5&gt;=4,"🟢 Managed","✅ Applicable")))))))</f>
        <v>🔴 Critical</v>
      </c>
      <c r="P5" s="179" t="str">
        <f aca="false">IF(OR(J5="",L5=""),"⏳ Complete rating and target to generate recommendation.",IF(L5&lt;=J5,"✅ Target met — sustain evidence and raise target when programme allows.",IFERROR(INDEX(_REC!$B:$B,MATCH(A5&amp;"|"&amp;IF(L5="","",LEFT(TEXT(L5,"0"),1)),_REC!$A:$A,0)),"Recommendation pending — check _REC data.")))</f>
        <v>Instrument Phishing-Resistant MFA for Privileged Accounts with measurable KPIs: define performance thresholds (coverage %, SLA adherence, exception count), establish automated telemetry where possible, and integrate reporting into quarterly governance cycles. Evidence must be system-generated and reviewed at each governance cycle.</v>
      </c>
      <c r="Q5" s="189" t="s">
        <v>752</v>
      </c>
      <c r="R5" s="209" t="s">
        <v>249</v>
      </c>
      <c r="S5" s="177"/>
      <c r="T5" s="191" t="str">
        <f aca="false">IF(S5="Exclude","⬛ Excluded",IF(S5="Apply","✅ Applicable","✅ Applicable"))</f>
        <v>✅ Applicable</v>
      </c>
    </row>
    <row r="6" customFormat="false" ht="69.75" hidden="false" customHeight="true" outlineLevel="0" collapsed="false">
      <c r="A6" s="104" t="n">
        <v>53</v>
      </c>
      <c r="B6" s="164" t="s">
        <v>742</v>
      </c>
      <c r="C6" s="165" t="s">
        <v>312</v>
      </c>
      <c r="D6" s="165" t="s">
        <v>753</v>
      </c>
      <c r="E6" s="165" t="s">
        <v>754</v>
      </c>
      <c r="F6" s="203" t="s">
        <v>755</v>
      </c>
      <c r="G6" s="203" t="s">
        <v>756</v>
      </c>
      <c r="H6" s="168" t="str">
        <f aca="false">HYPERLINK("#'📎 Evidence Register'!C58","ER-053  →  Row 58")</f>
        <v>ER-053  →  Row 58</v>
      </c>
      <c r="I6" s="204" t="s">
        <v>495</v>
      </c>
      <c r="J6" s="170" t="n">
        <f aca="false">IF(I6="","",IF(LEFT(I6,2)="L1",1,IF(LEFT(I6,2)="L2",2,IF(LEFT(I6,2)="L3",3,IF(LEFT(I6,2)="L4",4,IF(LEFT(I6,2)="L5",5,""))))))</f>
        <v>1</v>
      </c>
      <c r="K6" s="205" t="s">
        <v>545</v>
      </c>
      <c r="L6" s="172" t="n">
        <f aca="false">IF(K6="","",IF(LEFT(K6,2)="L1",1,IF(LEFT(K6,2)="L2",2,IF(LEFT(K6,2)="L3",3,IF(LEFT(K6,2)="L4",4,IF(LEFT(K6,2)="L5",5,""))))))</f>
        <v>4</v>
      </c>
      <c r="M6" s="173" t="n">
        <f aca="false">IFERROR(IF(OR(J6="",L6=""),"—",L6-J6),"—")</f>
        <v>3</v>
      </c>
      <c r="N6" s="174" t="str">
        <f aca="false">IFERROR(IF(I6="","⏳ Select a maturity rating to see the level description for this specific control.",INDEX(_DV!$1:$5,MATCH(LEFT(I6,2),{"L1","L2","L3","L4","L5"},0),53)),"⏳ Select a maturity rating.")</f>
        <v>L1 — Initial: Privileged Access Management (PAM) is absent or ad hoc. No formal process, no documentation, no named owner. Controls exist only reactively after incidents.</v>
      </c>
      <c r="O6" s="108" t="str">
        <f aca="false">IF(S6="Exclude","⬛ Not Applicable",IF(T6="⬛ Auto-Excluded","⬛ Not Applicable",IF(I6="","✅ Applicable",IF(J6=1,"🔴 Critical",IF(J6=2,"🟠 Developing",IF(J6=3,"🟡 Defined",IF(J6&gt;=4,"🟢 Managed","✅ Applicable")))))))</f>
        <v>🔴 Critical</v>
      </c>
      <c r="P6" s="164" t="str">
        <f aca="false">IF(OR(J6="",L6=""),"⏳ Complete rating and target to generate recommendation.",IF(L6&lt;=J6,"✅ Target met — sustain evidence and raise target when programme allows.",IFERROR(INDEX(_REC!$B:$B,MATCH(A6&amp;"|"&amp;IF(L6="","",LEFT(TEXT(L6,"0"),1)),_REC!$A:$A,0)),"Recommendation pending — check _REC data.")))</f>
        <v>Instrument Privileged Access Management (PAM) with measurable KPIs: define performance thresholds (coverage %, SLA adherence, exception count), establish automated telemetry where possible, and integrate reporting into quarterly governance cycles. Evidence must be system-generated and reviewed at each governance cycle.</v>
      </c>
      <c r="Q6" s="175" t="s">
        <v>757</v>
      </c>
      <c r="R6" s="206" t="s">
        <v>249</v>
      </c>
      <c r="S6" s="177"/>
      <c r="T6" s="178" t="str">
        <f aca="false">IF(S6="Exclude","⬛ Excluded",IF(S6="Apply","✅ Applicable","✅ Applicable"))</f>
        <v>✅ Applicable</v>
      </c>
    </row>
    <row r="7" customFormat="false" ht="69.75" hidden="false" customHeight="true" outlineLevel="0" collapsed="false">
      <c r="A7" s="104" t="n">
        <v>54</v>
      </c>
      <c r="B7" s="179" t="s">
        <v>742</v>
      </c>
      <c r="C7" s="180" t="s">
        <v>313</v>
      </c>
      <c r="D7" s="180" t="s">
        <v>758</v>
      </c>
      <c r="E7" s="180" t="s">
        <v>759</v>
      </c>
      <c r="F7" s="207" t="s">
        <v>760</v>
      </c>
      <c r="G7" s="207" t="s">
        <v>761</v>
      </c>
      <c r="H7" s="183" t="str">
        <f aca="false">HYPERLINK("#'📎 Evidence Register'!C59","ER-054  →  Row 59")</f>
        <v>ER-054  →  Row 59</v>
      </c>
      <c r="I7" s="204" t="s">
        <v>508</v>
      </c>
      <c r="J7" s="184" t="n">
        <f aca="false">IF(I7="","",IF(LEFT(I7,2)="L1",1,IF(LEFT(I7,2)="L2",2,IF(LEFT(I7,2)="L3",3,IF(LEFT(I7,2)="L4",4,IF(LEFT(I7,2)="L5",5,""))))))</f>
        <v>2</v>
      </c>
      <c r="K7" s="208" t="s">
        <v>496</v>
      </c>
      <c r="L7" s="186" t="n">
        <f aca="false">IF(K7="","",IF(LEFT(K7,2)="L1",1,IF(LEFT(K7,2)="L2",2,IF(LEFT(K7,2)="L3",3,IF(LEFT(K7,2)="L4",4,IF(LEFT(K7,2)="L5",5,""))))))</f>
        <v>3</v>
      </c>
      <c r="M7" s="187" t="n">
        <f aca="false">IFERROR(IF(OR(J7="",L7=""),"—",L7-J7),"—")</f>
        <v>1</v>
      </c>
      <c r="N7" s="188" t="str">
        <f aca="false">IFERROR(IF(I7="","⏳ Select a maturity rating to see the level description for this specific control.",INDEX(_DV!$1:$5,MATCH(LEFT(I7,2),{"L1","L2","L3","L4","L5"},0),54)),"⏳ Select a maturity rating.")</f>
        <v>L2 — Developing: Identity Lifecycle — Joiners Process has basic controls in place but coverage is incomplete and execution is manual. Not consistently applied across all in-scope assets. Formal governance is absent.</v>
      </c>
      <c r="O7" s="113" t="str">
        <f aca="false">IF(S7="Exclude","⬛ Not Applicable",IF(T7="⬛ Auto-Excluded","⬛ Not Applicable",IF(I7="","✅ Applicable",IF(J7=1,"🔴 Critical",IF(J7=2,"🟠 Developing",IF(J7=3,"🟡 Defined",IF(J7&gt;=4,"🟢 Managed","✅ Applicable")))))))</f>
        <v>🟠 Developing</v>
      </c>
      <c r="P7" s="179" t="str">
        <f aca="false">IF(OR(J7="",L7=""),"⏳ Complete rating and target to generate recommendation.",IF(L7&lt;=J7,"✅ Target met — sustain evidence and raise target when programme allows.",IFERROR(INDEX(_REC!$B:$B,MATCH(A7&amp;"|"&amp;IF(L7="","",LEFT(TEXT(L7,"0"),1)),_REC!$A:$A,0)),"Recommendation pending — check _REC data.")))</f>
        <v>Standardise Identity Lifecycle — Joiners Process: formalise all documentation, apply the control consistently across all in-scope assets, close remaining coverage gaps, and ensure evidence is collected routinely. Exceptions must be formally managed with named owners and defined expiry dates.</v>
      </c>
      <c r="Q7" s="189" t="s">
        <v>762</v>
      </c>
      <c r="R7" s="209" t="s">
        <v>254</v>
      </c>
      <c r="S7" s="177"/>
      <c r="T7" s="191" t="str">
        <f aca="false">IF(S7="Exclude","⬛ Excluded",IF(S7="Apply","✅ Applicable","✅ Applicable"))</f>
        <v>✅ Applicable</v>
      </c>
    </row>
    <row r="8" customFormat="false" ht="69.75" hidden="false" customHeight="true" outlineLevel="0" collapsed="false">
      <c r="A8" s="104" t="n">
        <v>55</v>
      </c>
      <c r="B8" s="164" t="s">
        <v>742</v>
      </c>
      <c r="C8" s="165" t="s">
        <v>314</v>
      </c>
      <c r="D8" s="165" t="s">
        <v>763</v>
      </c>
      <c r="E8" s="165" t="s">
        <v>764</v>
      </c>
      <c r="F8" s="203" t="s">
        <v>765</v>
      </c>
      <c r="G8" s="203" t="s">
        <v>766</v>
      </c>
      <c r="H8" s="168" t="str">
        <f aca="false">HYPERLINK("#'📎 Evidence Register'!C60","ER-055  →  Row 60")</f>
        <v>ER-055  →  Row 60</v>
      </c>
      <c r="I8" s="204" t="s">
        <v>495</v>
      </c>
      <c r="J8" s="170" t="n">
        <f aca="false">IF(I8="","",IF(LEFT(I8,2)="L1",1,IF(LEFT(I8,2)="L2",2,IF(LEFT(I8,2)="L3",3,IF(LEFT(I8,2)="L4",4,IF(LEFT(I8,2)="L5",5,""))))))</f>
        <v>1</v>
      </c>
      <c r="K8" s="205" t="s">
        <v>496</v>
      </c>
      <c r="L8" s="172" t="n">
        <f aca="false">IF(K8="","",IF(LEFT(K8,2)="L1",1,IF(LEFT(K8,2)="L2",2,IF(LEFT(K8,2)="L3",3,IF(LEFT(K8,2)="L4",4,IF(LEFT(K8,2)="L5",5,""))))))</f>
        <v>3</v>
      </c>
      <c r="M8" s="173" t="n">
        <f aca="false">IFERROR(IF(OR(J8="",L8=""),"—",L8-J8),"—")</f>
        <v>2</v>
      </c>
      <c r="N8" s="174" t="str">
        <f aca="false">IFERROR(IF(I8="","⏳ Select a maturity rating to see the level description for this specific control.",INDEX(_DV!$1:$5,MATCH(LEFT(I8,2),{"L1","L2","L3","L4","L5"},0),55)),"⏳ Select a maturity rating.")</f>
        <v>L1 — Initial: Identity Lifecycle — Movers Process is absent or ad hoc. No formal process, no documentation, no named owner. Controls exist only reactively after incidents.</v>
      </c>
      <c r="O8" s="108" t="str">
        <f aca="false">IF(S8="Exclude","⬛ Not Applicable",IF(T8="⬛ Auto-Excluded","⬛ Not Applicable",IF(I8="","✅ Applicable",IF(J8=1,"🔴 Critical",IF(J8=2,"🟠 Developing",IF(J8=3,"🟡 Defined",IF(J8&gt;=4,"🟢 Managed","✅ Applicable")))))))</f>
        <v>🔴 Critical</v>
      </c>
      <c r="P8" s="164" t="str">
        <f aca="false">IF(OR(J8="",L8=""),"⏳ Complete rating and target to generate recommendation.",IF(L8&lt;=J8,"✅ Target met — sustain evidence and raise target when programme allows.",IFERROR(INDEX(_REC!$B:$B,MATCH(A8&amp;"|"&amp;IF(L8="","",LEFT(TEXT(L8,"0"),1)),_REC!$A:$A,0)),"Recommendation pending — check _REC data.")))</f>
        <v>Standardise Identity Lifecycle — Movers Process: formalise all documentation, apply the control consistently across all in-scope assets, close remaining coverage gaps, and ensure evidence is collected routinely. Exceptions must be formally managed with named owners and defined expiry dates.</v>
      </c>
      <c r="Q8" s="175" t="s">
        <v>767</v>
      </c>
      <c r="R8" s="206" t="s">
        <v>254</v>
      </c>
      <c r="S8" s="177"/>
      <c r="T8" s="178" t="str">
        <f aca="false">IF(S8="Exclude","⬛ Excluded",IF(S8="Apply","✅ Applicable","✅ Applicable"))</f>
        <v>✅ Applicable</v>
      </c>
    </row>
    <row r="9" customFormat="false" ht="69.75" hidden="false" customHeight="true" outlineLevel="0" collapsed="false">
      <c r="A9" s="104" t="n">
        <v>56</v>
      </c>
      <c r="B9" s="179" t="s">
        <v>742</v>
      </c>
      <c r="C9" s="180" t="s">
        <v>315</v>
      </c>
      <c r="D9" s="180" t="s">
        <v>768</v>
      </c>
      <c r="E9" s="180" t="s">
        <v>769</v>
      </c>
      <c r="F9" s="207" t="s">
        <v>770</v>
      </c>
      <c r="G9" s="207" t="s">
        <v>771</v>
      </c>
      <c r="H9" s="183" t="str">
        <f aca="false">HYPERLINK("#'📎 Evidence Register'!C61","ER-056  →  Row 61")</f>
        <v>ER-056  →  Row 61</v>
      </c>
      <c r="I9" s="204" t="s">
        <v>508</v>
      </c>
      <c r="J9" s="184" t="n">
        <f aca="false">IF(I9="","",IF(LEFT(I9,2)="L1",1,IF(LEFT(I9,2)="L2",2,IF(LEFT(I9,2)="L3",3,IF(LEFT(I9,2)="L4",4,IF(LEFT(I9,2)="L5",5,""))))))</f>
        <v>2</v>
      </c>
      <c r="K9" s="208" t="s">
        <v>545</v>
      </c>
      <c r="L9" s="186" t="n">
        <f aca="false">IF(K9="","",IF(LEFT(K9,2)="L1",1,IF(LEFT(K9,2)="L2",2,IF(LEFT(K9,2)="L3",3,IF(LEFT(K9,2)="L4",4,IF(LEFT(K9,2)="L5",5,""))))))</f>
        <v>4</v>
      </c>
      <c r="M9" s="187" t="n">
        <f aca="false">IFERROR(IF(OR(J9="",L9=""),"—",L9-J9),"—")</f>
        <v>2</v>
      </c>
      <c r="N9" s="188" t="str">
        <f aca="false">IFERROR(IF(I9="","⏳ Select a maturity rating to see the level description for this specific control.",INDEX(_DV!$1:$5,MATCH(LEFT(I9,2),{"L1","L2","L3","L4","L5"},0),56)),"⏳ Select a maturity rating.")</f>
        <v>L2 — Developing: Identity Lifecycle — Leavers Process has basic controls in place but coverage is incomplete and execution is manual. Not consistently applied across all in-scope assets. Formal governance is absent.</v>
      </c>
      <c r="O9" s="113" t="str">
        <f aca="false">IF(S9="Exclude","⬛ Not Applicable",IF(T9="⬛ Auto-Excluded","⬛ Not Applicable",IF(I9="","✅ Applicable",IF(J9=1,"🔴 Critical",IF(J9=2,"🟠 Developing",IF(J9=3,"🟡 Defined",IF(J9&gt;=4,"🟢 Managed","✅ Applicable")))))))</f>
        <v>🟠 Developing</v>
      </c>
      <c r="P9" s="179" t="str">
        <f aca="false">IF(OR(J9="",L9=""),"⏳ Complete rating and target to generate recommendation.",IF(L9&lt;=J9,"✅ Target met — sustain evidence and raise target when programme allows.",IFERROR(INDEX(_REC!$B:$B,MATCH(A9&amp;"|"&amp;IF(L9="","",LEFT(TEXT(L9,"0"),1)),_REC!$A:$A,0)),"Recommendation pending — check _REC data.")))</f>
        <v>Instrument Identity Lifecycle — Leavers Process with measurable KPIs: define performance thresholds (coverage %, SLA adherence, exception count), establish automated telemetry where possible, and integrate reporting into quarterly governance cycles. Evidence must be system-generated and reviewed at each governance cycle.</v>
      </c>
      <c r="Q9" s="189" t="s">
        <v>772</v>
      </c>
      <c r="R9" s="209" t="s">
        <v>254</v>
      </c>
      <c r="S9" s="177"/>
      <c r="T9" s="191" t="str">
        <f aca="false">IF(S9="Exclude","⬛ Excluded",IF(S9="Apply","✅ Applicable","✅ Applicable"))</f>
        <v>✅ Applicable</v>
      </c>
    </row>
    <row r="10" customFormat="false" ht="69.75" hidden="false" customHeight="true" outlineLevel="0" collapsed="false">
      <c r="A10" s="104" t="n">
        <v>57</v>
      </c>
      <c r="B10" s="164" t="s">
        <v>742</v>
      </c>
      <c r="C10" s="165" t="s">
        <v>316</v>
      </c>
      <c r="D10" s="165" t="s">
        <v>773</v>
      </c>
      <c r="E10" s="165" t="s">
        <v>774</v>
      </c>
      <c r="F10" s="203" t="s">
        <v>775</v>
      </c>
      <c r="G10" s="203" t="s">
        <v>566</v>
      </c>
      <c r="H10" s="168" t="str">
        <f aca="false">HYPERLINK("#'📎 Evidence Register'!C62","ER-057  →  Row 62")</f>
        <v>ER-057  →  Row 62</v>
      </c>
      <c r="I10" s="204" t="s">
        <v>495</v>
      </c>
      <c r="J10" s="170" t="n">
        <f aca="false">IF(I10="","",IF(LEFT(I10,2)="L1",1,IF(LEFT(I10,2)="L2",2,IF(LEFT(I10,2)="L3",3,IF(LEFT(I10,2)="L4",4,IF(LEFT(I10,2)="L5",5,""))))))</f>
        <v>1</v>
      </c>
      <c r="K10" s="205" t="s">
        <v>545</v>
      </c>
      <c r="L10" s="172" t="n">
        <f aca="false">IF(K10="","",IF(LEFT(K10,2)="L1",1,IF(LEFT(K10,2)="L2",2,IF(LEFT(K10,2)="L3",3,IF(LEFT(K10,2)="L4",4,IF(LEFT(K10,2)="L5",5,""))))))</f>
        <v>4</v>
      </c>
      <c r="M10" s="173" t="n">
        <f aca="false">IFERROR(IF(OR(J10="",L10=""),"—",L10-J10),"—")</f>
        <v>3</v>
      </c>
      <c r="N10" s="174" t="str">
        <f aca="false">IFERROR(IF(I10="","⏳ Select a maturity rating to see the level description for this specific control.",INDEX(_DV!$1:$5,MATCH(LEFT(I10,2),{"L1","L2","L3","L4","L5"},0),57)),"⏳ Select a maturity rating.")</f>
        <v>L1 — Initial: Quarterly Access Reviews (Access Certification) is absent or ad hoc. No formal process, no documentation, no named owner. Controls exist only reactively after incidents.</v>
      </c>
      <c r="O10" s="108" t="str">
        <f aca="false">IF(S10="Exclude","⬛ Not Applicable",IF(T10="⬛ Auto-Excluded","⬛ Not Applicable",IF(I10="","✅ Applicable",IF(J10=1,"🔴 Critical",IF(J10=2,"🟠 Developing",IF(J10=3,"🟡 Defined",IF(J10&gt;=4,"🟢 Managed","✅ Applicable")))))))</f>
        <v>🔴 Critical</v>
      </c>
      <c r="P10" s="164" t="str">
        <f aca="false">IF(OR(J10="",L10=""),"⏳ Complete rating and target to generate recommendation.",IF(L10&lt;=J10,"✅ Target met — sustain evidence and raise target when programme allows.",IFERROR(INDEX(_REC!$B:$B,MATCH(A10&amp;"|"&amp;IF(L10="","",LEFT(TEXT(L10,"0"),1)),_REC!$A:$A,0)),"Recommendation pending — check _REC data.")))</f>
        <v>Instrument Quarterly Access Reviews (Access Certification) with measurable KPIs: define performance thresholds (coverage %, SLA adherence, exception count), establish automated telemetry where possible, and integrate reporting into quarterly governance cycles. Evidence must be system-generated and reviewed at each governance cycle.</v>
      </c>
      <c r="Q10" s="175" t="s">
        <v>776</v>
      </c>
      <c r="R10" s="206" t="s">
        <v>249</v>
      </c>
      <c r="S10" s="177"/>
      <c r="T10" s="178" t="str">
        <f aca="false">IF(S10="Exclude","⬛ Excluded",IF(S10="Apply","✅ Applicable","✅ Applicable"))</f>
        <v>✅ Applicable</v>
      </c>
    </row>
    <row r="11" customFormat="false" ht="69.75" hidden="false" customHeight="true" outlineLevel="0" collapsed="false">
      <c r="A11" s="104" t="n">
        <v>58</v>
      </c>
      <c r="B11" s="179" t="s">
        <v>742</v>
      </c>
      <c r="C11" s="180" t="s">
        <v>317</v>
      </c>
      <c r="D11" s="180" t="s">
        <v>777</v>
      </c>
      <c r="E11" s="180" t="s">
        <v>778</v>
      </c>
      <c r="F11" s="207" t="s">
        <v>779</v>
      </c>
      <c r="G11" s="207" t="s">
        <v>780</v>
      </c>
      <c r="H11" s="183" t="str">
        <f aca="false">HYPERLINK("#'📎 Evidence Register'!C63","ER-058  →  Row 63")</f>
        <v>ER-058  →  Row 63</v>
      </c>
      <c r="I11" s="204" t="s">
        <v>508</v>
      </c>
      <c r="J11" s="184" t="n">
        <f aca="false">IF(I11="","",IF(LEFT(I11,2)="L1",1,IF(LEFT(I11,2)="L2",2,IF(LEFT(I11,2)="L3",3,IF(LEFT(I11,2)="L4",4,IF(LEFT(I11,2)="L5",5,""))))))</f>
        <v>2</v>
      </c>
      <c r="K11" s="208" t="s">
        <v>496</v>
      </c>
      <c r="L11" s="186" t="n">
        <f aca="false">IF(K11="","",IF(LEFT(K11,2)="L1",1,IF(LEFT(K11,2)="L2",2,IF(LEFT(K11,2)="L3",3,IF(LEFT(K11,2)="L4",4,IF(LEFT(K11,2)="L5",5,""))))))</f>
        <v>3</v>
      </c>
      <c r="M11" s="187" t="n">
        <f aca="false">IFERROR(IF(OR(J11="",L11=""),"—",L11-J11),"—")</f>
        <v>1</v>
      </c>
      <c r="N11" s="188" t="str">
        <f aca="false">IFERROR(IF(I11="","⏳ Select a maturity rating to see the level description for this specific control.",INDEX(_DV!$1:$5,MATCH(LEFT(I11,2),{"L1","L2","L3","L4","L5"},0),58)),"⏳ Select a maturity rating.")</f>
        <v>L2 — Developing: Single Sign-On (SSO) &amp; Federation has basic controls in place but coverage is incomplete and execution is manual. Not consistently applied across all in-scope assets. Formal governance is absent.</v>
      </c>
      <c r="O11" s="113" t="str">
        <f aca="false">IF(S11="Exclude","⬛ Not Applicable",IF(T11="⬛ Auto-Excluded","⬛ Not Applicable",IF(I11="","✅ Applicable",IF(J11=1,"🔴 Critical",IF(J11=2,"🟠 Developing",IF(J11=3,"🟡 Defined",IF(J11&gt;=4,"🟢 Managed","✅ Applicable")))))))</f>
        <v>🟠 Developing</v>
      </c>
      <c r="P11" s="179" t="str">
        <f aca="false">IF(OR(J11="",L11=""),"⏳ Complete rating and target to generate recommendation.",IF(L11&lt;=J11,"✅ Target met — sustain evidence and raise target when programme allows.",IFERROR(INDEX(_REC!$B:$B,MATCH(A11&amp;"|"&amp;IF(L11="","",LEFT(TEXT(L11,"0"),1)),_REC!$A:$A,0)),"Recommendation pending — check _REC data.")))</f>
        <v>Standardise Single Sign-On (SSO) &amp; Federation: formalise all documentation, apply the control consistently across all in-scope assets, close remaining coverage gaps, and ensure evidence is collected routinely. Exceptions must be formally managed with named owners and defined expiry dates.</v>
      </c>
      <c r="Q11" s="189" t="s">
        <v>781</v>
      </c>
      <c r="R11" s="209" t="s">
        <v>249</v>
      </c>
      <c r="S11" s="177"/>
      <c r="T11" s="191" t="str">
        <f aca="false">IF(S11="Exclude","⬛ Excluded",IF(S11="Apply","✅ Applicable","✅ Applicable"))</f>
        <v>✅ Applicable</v>
      </c>
    </row>
    <row r="12" customFormat="false" ht="69.75" hidden="false" customHeight="true" outlineLevel="0" collapsed="false">
      <c r="A12" s="104" t="n">
        <v>59</v>
      </c>
      <c r="B12" s="164" t="s">
        <v>742</v>
      </c>
      <c r="C12" s="165" t="s">
        <v>318</v>
      </c>
      <c r="D12" s="165" t="s">
        <v>782</v>
      </c>
      <c r="E12" s="165" t="s">
        <v>783</v>
      </c>
      <c r="F12" s="203" t="s">
        <v>784</v>
      </c>
      <c r="G12" s="203" t="s">
        <v>785</v>
      </c>
      <c r="H12" s="168" t="str">
        <f aca="false">HYPERLINK("#'📎 Evidence Register'!C64","ER-059  →  Row 64")</f>
        <v>ER-059  →  Row 64</v>
      </c>
      <c r="I12" s="204" t="s">
        <v>495</v>
      </c>
      <c r="J12" s="170" t="n">
        <f aca="false">IF(I12="","",IF(LEFT(I12,2)="L1",1,IF(LEFT(I12,2)="L2",2,IF(LEFT(I12,2)="L3",3,IF(LEFT(I12,2)="L4",4,IF(LEFT(I12,2)="L5",5,""))))))</f>
        <v>1</v>
      </c>
      <c r="K12" s="205" t="s">
        <v>545</v>
      </c>
      <c r="L12" s="172" t="n">
        <f aca="false">IF(K12="","",IF(LEFT(K12,2)="L1",1,IF(LEFT(K12,2)="L2",2,IF(LEFT(K12,2)="L3",3,IF(LEFT(K12,2)="L4",4,IF(LEFT(K12,2)="L5",5,""))))))</f>
        <v>4</v>
      </c>
      <c r="M12" s="173" t="n">
        <f aca="false">IFERROR(IF(OR(J12="",L12=""),"—",L12-J12),"—")</f>
        <v>3</v>
      </c>
      <c r="N12" s="174" t="str">
        <f aca="false">IFERROR(IF(I12="","⏳ Select a maturity rating to see the level description for this specific control.",INDEX(_DV!$1:$5,MATCH(LEFT(I12,2),{"L1","L2","L3","L4","L5"},0),59)),"⏳ Select a maturity rating.")</f>
        <v>L1 — Initial: Separation of Duties (SoD) Controls is absent or ad hoc. No formal process, no documentation, no named owner. Controls exist only reactively after incidents.</v>
      </c>
      <c r="O12" s="108" t="str">
        <f aca="false">IF(S12="Exclude","⬛ Not Applicable",IF(T12="⬛ Auto-Excluded","⬛ Not Applicable",IF(I12="","✅ Applicable",IF(J12=1,"🔴 Critical",IF(J12=2,"🟠 Developing",IF(J12=3,"🟡 Defined",IF(J12&gt;=4,"🟢 Managed","✅ Applicable")))))))</f>
        <v>🔴 Critical</v>
      </c>
      <c r="P12" s="164" t="str">
        <f aca="false">IF(OR(J12="",L12=""),"⏳ Complete rating and target to generate recommendation.",IF(L12&lt;=J12,"✅ Target met — sustain evidence and raise target when programme allows.",IFERROR(INDEX(_REC!$B:$B,MATCH(A12&amp;"|"&amp;IF(L12="","",LEFT(TEXT(L12,"0"),1)),_REC!$A:$A,0)),"Recommendation pending — check _REC data.")))</f>
        <v>Instrument Separation of Duties (SoD) Controls with measurable KPIs: define performance thresholds (coverage %, SLA adherence, exception count), establish automated telemetry where possible, and integrate reporting into quarterly governance cycles. Evidence must be system-generated and reviewed at each governance cycle.</v>
      </c>
      <c r="Q12" s="175" t="s">
        <v>786</v>
      </c>
      <c r="R12" s="206" t="s">
        <v>275</v>
      </c>
      <c r="S12" s="177"/>
      <c r="T12" s="178" t="str">
        <f aca="false">IF(S12="Exclude","⬛ Excluded",IF(S12="Apply","✅ Applicable","✅ Applicable"))</f>
        <v>✅ Applicable</v>
      </c>
    </row>
    <row r="13" customFormat="false" ht="69.75" hidden="false" customHeight="true" outlineLevel="0" collapsed="false">
      <c r="A13" s="104" t="n">
        <v>60</v>
      </c>
      <c r="B13" s="179" t="s">
        <v>742</v>
      </c>
      <c r="C13" s="180" t="s">
        <v>319</v>
      </c>
      <c r="D13" s="180" t="s">
        <v>787</v>
      </c>
      <c r="E13" s="180" t="s">
        <v>788</v>
      </c>
      <c r="F13" s="207" t="s">
        <v>789</v>
      </c>
      <c r="G13" s="207" t="s">
        <v>790</v>
      </c>
      <c r="H13" s="183" t="str">
        <f aca="false">HYPERLINK("#'📎 Evidence Register'!C65","ER-060  →  Row 65")</f>
        <v>ER-060  →  Row 65</v>
      </c>
      <c r="I13" s="204" t="s">
        <v>495</v>
      </c>
      <c r="J13" s="184" t="n">
        <f aca="false">IF(I13="","",IF(LEFT(I13,2)="L1",1,IF(LEFT(I13,2)="L2",2,IF(LEFT(I13,2)="L3",3,IF(LEFT(I13,2)="L4",4,IF(LEFT(I13,2)="L5",5,""))))))</f>
        <v>1</v>
      </c>
      <c r="K13" s="208" t="s">
        <v>545</v>
      </c>
      <c r="L13" s="186" t="n">
        <f aca="false">IF(K13="","",IF(LEFT(K13,2)="L1",1,IF(LEFT(K13,2)="L2",2,IF(LEFT(K13,2)="L3",3,IF(LEFT(K13,2)="L4",4,IF(LEFT(K13,2)="L5",5,""))))))</f>
        <v>4</v>
      </c>
      <c r="M13" s="187" t="n">
        <f aca="false">IFERROR(IF(OR(J13="",L13=""),"—",L13-J13),"—")</f>
        <v>3</v>
      </c>
      <c r="N13" s="188" t="str">
        <f aca="false">IFERROR(IF(I13="","⏳ Select a maturity rating to see the level description for this specific control.",INDEX(_DV!$1:$5,MATCH(LEFT(I13,2),{"L1","L2","L3","L4","L5"},0),60)),"⏳ Select a maturity rating.")</f>
        <v>L1 — Initial: Dormant Account Detection &amp; Management is absent or ad hoc. No formal process, no documentation, no named owner. Controls exist only reactively after incidents.</v>
      </c>
      <c r="O13" s="113" t="str">
        <f aca="false">IF(S13="Exclude","⬛ Not Applicable",IF(T13="⬛ Auto-Excluded","⬛ Not Applicable",IF(I13="","✅ Applicable",IF(J13=1,"🔴 Critical",IF(J13=2,"🟠 Developing",IF(J13=3,"🟡 Defined",IF(J13&gt;=4,"🟢 Managed","✅ Applicable")))))))</f>
        <v>🔴 Critical</v>
      </c>
      <c r="P13" s="179" t="str">
        <f aca="false">IF(OR(J13="",L13=""),"⏳ Complete rating and target to generate recommendation.",IF(L13&lt;=J13,"✅ Target met — sustain evidence and raise target when programme allows.",IFERROR(INDEX(_REC!$B:$B,MATCH(A13&amp;"|"&amp;IF(L13="","",LEFT(TEXT(L13,"0"),1)),_REC!$A:$A,0)),"Recommendation pending — check _REC data.")))</f>
        <v>Instrument Dormant Account Detection &amp; Management with measurable KPIs: define performance thresholds (coverage %, SLA adherence, exception count), establish automated telemetry where possible, and integrate reporting into quarterly governance cycles. Evidence must be system-generated and reviewed at each governance cycle.</v>
      </c>
      <c r="Q13" s="189" t="s">
        <v>791</v>
      </c>
      <c r="R13" s="209" t="s">
        <v>249</v>
      </c>
      <c r="S13" s="177"/>
      <c r="T13" s="191" t="str">
        <f aca="false">IF(S13="Exclude","⬛ Excluded",IF(S13="Apply","✅ Applicable","✅ Applicable"))</f>
        <v>✅ Applicable</v>
      </c>
    </row>
    <row r="14" customFormat="false" ht="69.75" hidden="false" customHeight="true" outlineLevel="0" collapsed="false">
      <c r="A14" s="104" t="n">
        <v>61</v>
      </c>
      <c r="B14" s="164" t="s">
        <v>742</v>
      </c>
      <c r="C14" s="165" t="s">
        <v>320</v>
      </c>
      <c r="D14" s="165" t="s">
        <v>792</v>
      </c>
      <c r="E14" s="165" t="s">
        <v>793</v>
      </c>
      <c r="F14" s="203" t="s">
        <v>794</v>
      </c>
      <c r="G14" s="203" t="s">
        <v>795</v>
      </c>
      <c r="H14" s="168" t="str">
        <f aca="false">HYPERLINK("#'📎 Evidence Register'!C66","ER-061  →  Row 66")</f>
        <v>ER-061  →  Row 66</v>
      </c>
      <c r="I14" s="204" t="s">
        <v>495</v>
      </c>
      <c r="J14" s="170" t="n">
        <f aca="false">IF(I14="","",IF(LEFT(I14,2)="L1",1,IF(LEFT(I14,2)="L2",2,IF(LEFT(I14,2)="L3",3,IF(LEFT(I14,2)="L4",4,IF(LEFT(I14,2)="L5",5,""))))))</f>
        <v>1</v>
      </c>
      <c r="K14" s="205" t="s">
        <v>496</v>
      </c>
      <c r="L14" s="172" t="n">
        <f aca="false">IF(K14="","",IF(LEFT(K14,2)="L1",1,IF(LEFT(K14,2)="L2",2,IF(LEFT(K14,2)="L3",3,IF(LEFT(K14,2)="L4",4,IF(LEFT(K14,2)="L5",5,""))))))</f>
        <v>3</v>
      </c>
      <c r="M14" s="173" t="n">
        <f aca="false">IFERROR(IF(OR(J14="",L14=""),"—",L14-J14),"—")</f>
        <v>2</v>
      </c>
      <c r="N14" s="174" t="str">
        <f aca="false">IFERROR(IF(I14="","⏳ Select a maturity rating to see the level description for this specific control.",INDEX(_DV!$1:$5,MATCH(LEFT(I14,2),{"L1","L2","L3","L4","L5"},0),61)),"⏳ Select a maturity rating.")</f>
        <v>L1 — Initial: Machine Identity &amp; Service Account Management is absent or ad hoc. No formal process, no documentation, no named owner. Controls exist only reactively after incidents.</v>
      </c>
      <c r="O14" s="108" t="str">
        <f aca="false">IF(S14="Exclude","⬛ Not Applicable",IF(T14="⬛ Auto-Excluded","⬛ Not Applicable",IF(I14="","✅ Applicable",IF(J14=1,"🔴 Critical",IF(J14=2,"🟠 Developing",IF(J14=3,"🟡 Defined",IF(J14&gt;=4,"🟢 Managed","✅ Applicable")))))))</f>
        <v>🔴 Critical</v>
      </c>
      <c r="P14" s="164" t="str">
        <f aca="false">IF(OR(J14="",L14=""),"⏳ Complete rating and target to generate recommendation.",IF(L14&lt;=J14,"✅ Target met — sustain evidence and raise target when programme allows.",IFERROR(INDEX(_REC!$B:$B,MATCH(A14&amp;"|"&amp;IF(L14="","",LEFT(TEXT(L14,"0"),1)),_REC!$A:$A,0)),"Recommendation pending — check _REC data.")))</f>
        <v>Standardise Machine Identity &amp; Service Account Management: formalise all documentation, apply the control consistently across all in-scope assets, close remaining coverage gaps, and ensure evidence is collected routinely. Exceptions must be formally managed with named owners and defined expiry dates.</v>
      </c>
      <c r="Q14" s="175" t="s">
        <v>796</v>
      </c>
      <c r="R14" s="206" t="s">
        <v>287</v>
      </c>
      <c r="S14" s="177"/>
      <c r="T14" s="178" t="str">
        <f aca="false">IF(S14="Exclude","⬛ Excluded",IF(S14="Apply","✅ Applicable","✅ Applicable"))</f>
        <v>✅ Applicable</v>
      </c>
    </row>
    <row r="15" customFormat="false" ht="69.75" hidden="false" customHeight="true" outlineLevel="0" collapsed="false">
      <c r="A15" s="104" t="n">
        <v>62</v>
      </c>
      <c r="B15" s="179" t="s">
        <v>742</v>
      </c>
      <c r="C15" s="180" t="s">
        <v>321</v>
      </c>
      <c r="D15" s="180" t="s">
        <v>797</v>
      </c>
      <c r="E15" s="180" t="s">
        <v>798</v>
      </c>
      <c r="F15" s="207" t="s">
        <v>799</v>
      </c>
      <c r="G15" s="207" t="s">
        <v>800</v>
      </c>
      <c r="H15" s="183" t="str">
        <f aca="false">HYPERLINK("#'📎 Evidence Register'!C67","ER-062  →  Row 67")</f>
        <v>ER-062  →  Row 67</v>
      </c>
      <c r="I15" s="204" t="s">
        <v>495</v>
      </c>
      <c r="J15" s="184" t="n">
        <f aca="false">IF(I15="","",IF(LEFT(I15,2)="L1",1,IF(LEFT(I15,2)="L2",2,IF(LEFT(I15,2)="L3",3,IF(LEFT(I15,2)="L4",4,IF(LEFT(I15,2)="L5",5,""))))))</f>
        <v>1</v>
      </c>
      <c r="K15" s="208" t="s">
        <v>496</v>
      </c>
      <c r="L15" s="186" t="n">
        <f aca="false">IF(K15="","",IF(LEFT(K15,2)="L1",1,IF(LEFT(K15,2)="L2",2,IF(LEFT(K15,2)="L3",3,IF(LEFT(K15,2)="L4",4,IF(LEFT(K15,2)="L5",5,""))))))</f>
        <v>3</v>
      </c>
      <c r="M15" s="187" t="n">
        <f aca="false">IFERROR(IF(OR(J15="",L15=""),"—",L15-J15),"—")</f>
        <v>2</v>
      </c>
      <c r="N15" s="188" t="str">
        <f aca="false">IFERROR(IF(I15="","⏳ Select a maturity rating to see the level description for this specific control.",INDEX(_DV!$1:$5,MATCH(LEFT(I15,2),{"L1","L2","L3","L4","L5"},0),62)),"⏳ Select a maturity rating.")</f>
        <v>L1 — Initial: API Key &amp; Secrets Management is absent or ad hoc. No formal process, no documentation, no named owner. Controls exist only reactively after incidents.</v>
      </c>
      <c r="O15" s="113" t="str">
        <f aca="false">IF(S15="Exclude","⬛ Not Applicable",IF(T15="⬛ Auto-Excluded","⬛ Not Applicable",IF(I15="","✅ Applicable",IF(J15=1,"🔴 Critical",IF(J15=2,"🟠 Developing",IF(J15=3,"🟡 Defined",IF(J15&gt;=4,"🟢 Managed","✅ Applicable")))))))</f>
        <v>🔴 Critical</v>
      </c>
      <c r="P15" s="179" t="str">
        <f aca="false">IF(OR(J15="",L15=""),"⏳ Complete rating and target to generate recommendation.",IF(L15&lt;=J15,"✅ Target met — sustain evidence and raise target when programme allows.",IFERROR(INDEX(_REC!$B:$B,MATCH(A15&amp;"|"&amp;IF(L15="","",LEFT(TEXT(L15,"0"),1)),_REC!$A:$A,0)),"Recommendation pending — check _REC data.")))</f>
        <v>Standardise API Key &amp; Secrets Management: formalise all documentation, apply the control consistently across all in-scope assets, close remaining coverage gaps, and ensure evidence is collected routinely. Exceptions must be formally managed with named owners and defined expiry dates.</v>
      </c>
      <c r="Q15" s="189" t="s">
        <v>801</v>
      </c>
      <c r="R15" s="209" t="s">
        <v>275</v>
      </c>
      <c r="S15" s="177"/>
      <c r="T15" s="191" t="str">
        <f aca="false">IF(S15="Exclude","⬛ Excluded",IF(S15="Apply","✅ Applicable","✅ Applicable"))</f>
        <v>✅ Applicable</v>
      </c>
    </row>
    <row r="16" customFormat="false" ht="69.75" hidden="false" customHeight="true" outlineLevel="0" collapsed="false">
      <c r="A16" s="104" t="n">
        <v>63</v>
      </c>
      <c r="B16" s="164" t="s">
        <v>742</v>
      </c>
      <c r="C16" s="165" t="s">
        <v>322</v>
      </c>
      <c r="D16" s="165" t="s">
        <v>802</v>
      </c>
      <c r="E16" s="165" t="s">
        <v>803</v>
      </c>
      <c r="F16" s="203" t="s">
        <v>804</v>
      </c>
      <c r="G16" s="203" t="s">
        <v>566</v>
      </c>
      <c r="H16" s="168" t="str">
        <f aca="false">HYPERLINK("#'📎 Evidence Register'!C68","ER-063  →  Row 68")</f>
        <v>ER-063  →  Row 68</v>
      </c>
      <c r="I16" s="204" t="s">
        <v>495</v>
      </c>
      <c r="J16" s="170" t="n">
        <f aca="false">IF(I16="","",IF(LEFT(I16,2)="L1",1,IF(LEFT(I16,2)="L2",2,IF(LEFT(I16,2)="L3",3,IF(LEFT(I16,2)="L4",4,IF(LEFT(I16,2)="L5",5,""))))))</f>
        <v>1</v>
      </c>
      <c r="K16" s="205" t="s">
        <v>496</v>
      </c>
      <c r="L16" s="172" t="n">
        <f aca="false">IF(K16="","",IF(LEFT(K16,2)="L1",1,IF(LEFT(K16,2)="L2",2,IF(LEFT(K16,2)="L3",3,IF(LEFT(K16,2)="L4",4,IF(LEFT(K16,2)="L5",5,""))))))</f>
        <v>3</v>
      </c>
      <c r="M16" s="173" t="n">
        <f aca="false">IFERROR(IF(OR(J16="",L16=""),"—",L16-J16),"—")</f>
        <v>2</v>
      </c>
      <c r="N16" s="174" t="str">
        <f aca="false">IFERROR(IF(I16="","⏳ Select a maturity rating to see the level description for this specific control.",INDEX(_DV!$1:$5,MATCH(LEFT(I16,2),{"L1","L2","L3","L4","L5"},0),63)),"⏳ Select a maturity rating.")</f>
        <v>L1 — Initial: Zero Trust Architecture (ZTA) Implementation is absent or ad hoc. No formal process, no documentation, no named owner. Controls exist only reactively after incidents.</v>
      </c>
      <c r="O16" s="108" t="str">
        <f aca="false">IF(S16="Exclude","⬛ Not Applicable",IF(T16="⬛ Auto-Excluded","⬛ Not Applicable",IF(I16="","✅ Applicable",IF(J16=1,"🔴 Critical",IF(J16=2,"🟠 Developing",IF(J16=3,"🟡 Defined",IF(J16&gt;=4,"🟢 Managed","✅ Applicable")))))))</f>
        <v>🔴 Critical</v>
      </c>
      <c r="P16" s="164" t="str">
        <f aca="false">IF(OR(J16="",L16=""),"⏳ Complete rating and target to generate recommendation.",IF(L16&lt;=J16,"✅ Target met — sustain evidence and raise target when programme allows.",IFERROR(INDEX(_REC!$B:$B,MATCH(A16&amp;"|"&amp;IF(L16="","",LEFT(TEXT(L16,"0"),1)),_REC!$A:$A,0)),"Recommendation pending — check _REC data.")))</f>
        <v>Standardise Zero Trust Architecture (ZTA) Implementation: formalise all documentation, apply the control consistently across all in-scope assets, close remaining coverage gaps, and ensure evidence is collected routinely. Exceptions must be formally managed with named owners and defined expiry dates.</v>
      </c>
      <c r="Q16" s="175" t="s">
        <v>805</v>
      </c>
      <c r="R16" s="206" t="s">
        <v>249</v>
      </c>
      <c r="S16" s="177"/>
      <c r="T16" s="178" t="str">
        <f aca="false">IF(S16="Exclude","⬛ Excluded",IF(S16="Apply","✅ Applicable","✅ Applicable"))</f>
        <v>✅ Applicable</v>
      </c>
    </row>
    <row r="17" customFormat="false" ht="69.75" hidden="false" customHeight="true" outlineLevel="0" collapsed="false">
      <c r="A17" s="104" t="n">
        <v>64</v>
      </c>
      <c r="B17" s="179" t="s">
        <v>806</v>
      </c>
      <c r="C17" s="180" t="s">
        <v>323</v>
      </c>
      <c r="D17" s="180" t="s">
        <v>807</v>
      </c>
      <c r="E17" s="180" t="s">
        <v>808</v>
      </c>
      <c r="F17" s="207" t="s">
        <v>809</v>
      </c>
      <c r="G17" s="207" t="s">
        <v>810</v>
      </c>
      <c r="H17" s="183" t="str">
        <f aca="false">HYPERLINK("#'📎 Evidence Register'!C69","ER-064  →  Row 69")</f>
        <v>ER-064  →  Row 69</v>
      </c>
      <c r="I17" s="204" t="s">
        <v>508</v>
      </c>
      <c r="J17" s="184" t="n">
        <f aca="false">IF(I17="","",IF(LEFT(I17,2)="L1",1,IF(LEFT(I17,2)="L2",2,IF(LEFT(I17,2)="L3",3,IF(LEFT(I17,2)="L4",4,IF(LEFT(I17,2)="L5",5,""))))))</f>
        <v>2</v>
      </c>
      <c r="K17" s="208" t="s">
        <v>545</v>
      </c>
      <c r="L17" s="186" t="n">
        <f aca="false">IF(K17="","",IF(LEFT(K17,2)="L1",1,IF(LEFT(K17,2)="L2",2,IF(LEFT(K17,2)="L3",3,IF(LEFT(K17,2)="L4",4,IF(LEFT(K17,2)="L5",5,""))))))</f>
        <v>4</v>
      </c>
      <c r="M17" s="187" t="n">
        <f aca="false">IFERROR(IF(OR(J17="",L17=""),"—",L17-J17),"—")</f>
        <v>2</v>
      </c>
      <c r="N17" s="188" t="str">
        <f aca="false">IFERROR(IF(I17="","⏳ Select a maturity rating to see the level description for this specific control.",INDEX(_DV!$1:$5,MATCH(LEFT(I17,2),{"L1","L2","L3","L4","L5"},0),64)),"⏳ Select a maturity rating.")</f>
        <v>L2 — Developing: Encryption at Rest — Sensitive Data has basic controls in place but coverage is incomplete and execution is manual. Not consistently applied across all in-scope assets. Formal governance is absent.</v>
      </c>
      <c r="O17" s="113" t="str">
        <f aca="false">IF(S17="Exclude","⬛ Not Applicable",IF(T17="⬛ Auto-Excluded","⬛ Not Applicable",IF(I17="","✅ Applicable",IF(J17=1,"🔴 Critical",IF(J17=2,"🟠 Developing",IF(J17=3,"🟡 Defined",IF(J17&gt;=4,"🟢 Managed","✅ Applicable")))))))</f>
        <v>🟠 Developing</v>
      </c>
      <c r="P17" s="179" t="str">
        <f aca="false">IF(OR(J17="",L17=""),"⏳ Complete rating and target to generate recommendation.",IF(L17&lt;=J17,"✅ Target met — sustain evidence and raise target when programme allows.",IFERROR(INDEX(_REC!$B:$B,MATCH(A17&amp;"|"&amp;IF(L17="","",LEFT(TEXT(L17,"0"),1)),_REC!$A:$A,0)),"Recommendation pending — check _REC data.")))</f>
        <v>Instrument Encryption at Rest — Sensitive Data with measurable KPIs: define performance thresholds (coverage %, SLA adherence, exception count), establish automated telemetry where possible, and integrate reporting into quarterly governance cycles. Evidence must be system-generated and reviewed at each governance cycle.</v>
      </c>
      <c r="Q17" s="189" t="s">
        <v>811</v>
      </c>
      <c r="R17" s="209" t="s">
        <v>287</v>
      </c>
      <c r="S17" s="177"/>
      <c r="T17" s="191" t="str">
        <f aca="false">IF(S17="Exclude","⬛ Excluded",IF(S17="Apply","✅ Applicable","✅ Applicable"))</f>
        <v>✅ Applicable</v>
      </c>
    </row>
    <row r="18" customFormat="false" ht="69.75" hidden="false" customHeight="true" outlineLevel="0" collapsed="false">
      <c r="A18" s="104" t="n">
        <v>65</v>
      </c>
      <c r="B18" s="164" t="s">
        <v>806</v>
      </c>
      <c r="C18" s="165" t="s">
        <v>324</v>
      </c>
      <c r="D18" s="165" t="s">
        <v>812</v>
      </c>
      <c r="E18" s="165" t="s">
        <v>813</v>
      </c>
      <c r="F18" s="203" t="s">
        <v>814</v>
      </c>
      <c r="G18" s="203" t="s">
        <v>815</v>
      </c>
      <c r="H18" s="168" t="str">
        <f aca="false">HYPERLINK("#'📎 Evidence Register'!C70","ER-065  →  Row 70")</f>
        <v>ER-065  →  Row 70</v>
      </c>
      <c r="I18" s="204" t="s">
        <v>496</v>
      </c>
      <c r="J18" s="170" t="n">
        <f aca="false">IF(I18="","",IF(LEFT(I18,2)="L1",1,IF(LEFT(I18,2)="L2",2,IF(LEFT(I18,2)="L3",3,IF(LEFT(I18,2)="L4",4,IF(LEFT(I18,2)="L5",5,""))))))</f>
        <v>3</v>
      </c>
      <c r="K18" s="205" t="s">
        <v>545</v>
      </c>
      <c r="L18" s="172" t="n">
        <f aca="false">IF(K18="","",IF(LEFT(K18,2)="L1",1,IF(LEFT(K18,2)="L2",2,IF(LEFT(K18,2)="L3",3,IF(LEFT(K18,2)="L4",4,IF(LEFT(K18,2)="L5",5,""))))))</f>
        <v>4</v>
      </c>
      <c r="M18" s="173" t="n">
        <f aca="false">IFERROR(IF(OR(J18="",L18=""),"—",L18-J18),"—")</f>
        <v>1</v>
      </c>
      <c r="N18" s="174" t="str">
        <f aca="false">IFERROR(IF(I18="","⏳ Select a maturity rating to see the level description for this specific control.",INDEX(_DV!$1:$5,MATCH(LEFT(I18,2),{"L1","L2","L3","L4","L5"},0),65)),"⏳ Select a maturity rating.")</f>
        <v>L3 — Defined: Encryption in Transit — TLS Enforcement is documented, consistently applied organisation-wide, and reviewed at least annually. Evidence is routinely collected and exceptions are formally managed with named owners.</v>
      </c>
      <c r="O18" s="108" t="str">
        <f aca="false">IF(S18="Exclude","⬛ Not Applicable",IF(T18="⬛ Auto-Excluded","⬛ Not Applicable",IF(I18="","✅ Applicable",IF(J18=1,"🔴 Critical",IF(J18=2,"🟠 Developing",IF(J18=3,"🟡 Defined",IF(J18&gt;=4,"🟢 Managed","✅ Applicable")))))))</f>
        <v>🟡 Defined</v>
      </c>
      <c r="P18" s="164" t="str">
        <f aca="false">IF(OR(J18="",L18=""),"⏳ Complete rating and target to generate recommendation.",IF(L18&lt;=J18,"✅ Target met — sustain evidence and raise target when programme allows.",IFERROR(INDEX(_REC!$B:$B,MATCH(A18&amp;"|"&amp;IF(L18="","",LEFT(TEXT(L18,"0"),1)),_REC!$A:$A,0)),"Recommendation pending — check _REC data.")))</f>
        <v>Instrument Encryption in Transit — TLS Enforcement with measurable KPIs: define performance thresholds (coverage %, SLA adherence, exception count), establish automated telemetry where possible, and integrate reporting into quarterly governance cycles. Evidence must be system-generated and reviewed at each governance cycle.</v>
      </c>
      <c r="Q18" s="175" t="s">
        <v>816</v>
      </c>
      <c r="R18" s="206" t="s">
        <v>287</v>
      </c>
      <c r="S18" s="177"/>
      <c r="T18" s="178" t="str">
        <f aca="false">IF(S18="Exclude","⬛ Excluded",IF(S18="Apply","✅ Applicable","✅ Applicable"))</f>
        <v>✅ Applicable</v>
      </c>
    </row>
    <row r="19" customFormat="false" ht="69.75" hidden="false" customHeight="true" outlineLevel="0" collapsed="false">
      <c r="A19" s="104" t="n">
        <v>66</v>
      </c>
      <c r="B19" s="179" t="s">
        <v>806</v>
      </c>
      <c r="C19" s="180" t="s">
        <v>325</v>
      </c>
      <c r="D19" s="180" t="s">
        <v>817</v>
      </c>
      <c r="E19" s="180" t="s">
        <v>818</v>
      </c>
      <c r="F19" s="207" t="s">
        <v>819</v>
      </c>
      <c r="G19" s="207" t="s">
        <v>820</v>
      </c>
      <c r="H19" s="183" t="str">
        <f aca="false">HYPERLINK("#'📎 Evidence Register'!C71","ER-066  →  Row 71")</f>
        <v>ER-066  →  Row 71</v>
      </c>
      <c r="I19" s="204" t="s">
        <v>495</v>
      </c>
      <c r="J19" s="184" t="n">
        <f aca="false">IF(I19="","",IF(LEFT(I19,2)="L1",1,IF(LEFT(I19,2)="L2",2,IF(LEFT(I19,2)="L3",3,IF(LEFT(I19,2)="L4",4,IF(LEFT(I19,2)="L5",5,""))))))</f>
        <v>1</v>
      </c>
      <c r="K19" s="208" t="s">
        <v>545</v>
      </c>
      <c r="L19" s="186" t="n">
        <f aca="false">IF(K19="","",IF(LEFT(K19,2)="L1",1,IF(LEFT(K19,2)="L2",2,IF(LEFT(K19,2)="L3",3,IF(LEFT(K19,2)="L4",4,IF(LEFT(K19,2)="L5",5,""))))))</f>
        <v>4</v>
      </c>
      <c r="M19" s="187" t="n">
        <f aca="false">IFERROR(IF(OR(J19="",L19=""),"—",L19-J19),"—")</f>
        <v>3</v>
      </c>
      <c r="N19" s="188" t="str">
        <f aca="false">IFERROR(IF(I19="","⏳ Select a maturity rating to see the level description for this specific control.",INDEX(_DV!$1:$5,MATCH(LEFT(I19,2),{"L1","L2","L3","L4","L5"},0),66)),"⏳ Select a maturity rating.")</f>
        <v>L1 — Initial: Data Loss Prevention (DLP) — Email is absent or ad hoc. No formal process, no documentation, no named owner. Controls exist only reactively after incidents.</v>
      </c>
      <c r="O19" s="113" t="str">
        <f aca="false">IF(S19="Exclude","⬛ Not Applicable",IF(T19="⬛ Auto-Excluded","⬛ Not Applicable",IF(I19="","✅ Applicable",IF(J19=1,"🔴 Critical",IF(J19=2,"🟠 Developing",IF(J19=3,"🟡 Defined",IF(J19&gt;=4,"🟢 Managed","✅ Applicable")))))))</f>
        <v>🔴 Critical</v>
      </c>
      <c r="P19" s="179" t="str">
        <f aca="false">IF(OR(J19="",L19=""),"⏳ Complete rating and target to generate recommendation.",IF(L19&lt;=J19,"✅ Target met — sustain evidence and raise target when programme allows.",IFERROR(INDEX(_REC!$B:$B,MATCH(A19&amp;"|"&amp;IF(L19="","",LEFT(TEXT(L19,"0"),1)),_REC!$A:$A,0)),"Recommendation pending — check _REC data.")))</f>
        <v>Instrument Data Loss Prevention (DLP) — Email with measurable KPIs: define performance thresholds (coverage %, SLA adherence, exception count), establish automated telemetry where possible, and integrate reporting into quarterly governance cycles. Evidence must be system-generated and reviewed at each governance cycle.</v>
      </c>
      <c r="Q19" s="189" t="s">
        <v>821</v>
      </c>
      <c r="R19" s="209" t="s">
        <v>249</v>
      </c>
      <c r="S19" s="177"/>
      <c r="T19" s="191" t="str">
        <f aca="false">IF(S19="Exclude","⬛ Excluded",IF(S19="Apply","✅ Applicable","✅ Applicable"))</f>
        <v>✅ Applicable</v>
      </c>
    </row>
    <row r="20" customFormat="false" ht="69.75" hidden="false" customHeight="true" outlineLevel="0" collapsed="false">
      <c r="A20" s="104" t="n">
        <v>67</v>
      </c>
      <c r="B20" s="164" t="s">
        <v>806</v>
      </c>
      <c r="C20" s="165" t="s">
        <v>326</v>
      </c>
      <c r="D20" s="165" t="s">
        <v>822</v>
      </c>
      <c r="E20" s="165" t="s">
        <v>823</v>
      </c>
      <c r="F20" s="203" t="s">
        <v>824</v>
      </c>
      <c r="G20" s="203" t="s">
        <v>566</v>
      </c>
      <c r="H20" s="168" t="str">
        <f aca="false">HYPERLINK("#'📎 Evidence Register'!C72","ER-067  →  Row 72")</f>
        <v>ER-067  →  Row 72</v>
      </c>
      <c r="I20" s="204" t="s">
        <v>495</v>
      </c>
      <c r="J20" s="170" t="n">
        <f aca="false">IF(I20="","",IF(LEFT(I20,2)="L1",1,IF(LEFT(I20,2)="L2",2,IF(LEFT(I20,2)="L3",3,IF(LEFT(I20,2)="L4",4,IF(LEFT(I20,2)="L5",5,""))))))</f>
        <v>1</v>
      </c>
      <c r="K20" s="205" t="s">
        <v>545</v>
      </c>
      <c r="L20" s="172" t="n">
        <f aca="false">IF(K20="","",IF(LEFT(K20,2)="L1",1,IF(LEFT(K20,2)="L2",2,IF(LEFT(K20,2)="L3",3,IF(LEFT(K20,2)="L4",4,IF(LEFT(K20,2)="L5",5,""))))))</f>
        <v>4</v>
      </c>
      <c r="M20" s="173" t="n">
        <f aca="false">IFERROR(IF(OR(J20="",L20=""),"—",L20-J20),"—")</f>
        <v>3</v>
      </c>
      <c r="N20" s="174" t="str">
        <f aca="false">IFERROR(IF(I20="","⏳ Select a maturity rating to see the level description for this specific control.",INDEX(_DV!$1:$5,MATCH(LEFT(I20,2),{"L1","L2","L3","L4","L5"},0),67)),"⏳ Select a maturity rating.")</f>
        <v>L1 — Initial: Data Loss Prevention (DLP) — Endpoint is absent or ad hoc. No formal process, no documentation, no named owner. Controls exist only reactively after incidents.</v>
      </c>
      <c r="O20" s="108" t="str">
        <f aca="false">IF(S20="Exclude","⬛ Not Applicable",IF(T20="⬛ Auto-Excluded","⬛ Not Applicable",IF(I20="","✅ Applicable",IF(J20=1,"🔴 Critical",IF(J20=2,"🟠 Developing",IF(J20=3,"🟡 Defined",IF(J20&gt;=4,"🟢 Managed","✅ Applicable")))))))</f>
        <v>🔴 Critical</v>
      </c>
      <c r="P20" s="164" t="str">
        <f aca="false">IF(OR(J20="",L20=""),"⏳ Complete rating and target to generate recommendation.",IF(L20&lt;=J20,"✅ Target met — sustain evidence and raise target when programme allows.",IFERROR(INDEX(_REC!$B:$B,MATCH(A20&amp;"|"&amp;IF(L20="","",LEFT(TEXT(L20,"0"),1)),_REC!$A:$A,0)),"Recommendation pending — check _REC data.")))</f>
        <v>Instrument Data Loss Prevention (DLP) — Endpoint with measurable KPIs: define performance thresholds (coverage %, SLA adherence, exception count), establish automated telemetry where possible, and integrate reporting into quarterly governance cycles. Evidence must be system-generated and reviewed at each governance cycle.</v>
      </c>
      <c r="Q20" s="175" t="s">
        <v>825</v>
      </c>
      <c r="R20" s="206" t="s">
        <v>249</v>
      </c>
      <c r="S20" s="177"/>
      <c r="T20" s="178" t="str">
        <f aca="false">IF(S20="Exclude","⬛ Excluded",IF(S20="Apply","✅ Applicable","✅ Applicable"))</f>
        <v>✅ Applicable</v>
      </c>
    </row>
    <row r="21" customFormat="false" ht="69.75" hidden="false" customHeight="true" outlineLevel="0" collapsed="false">
      <c r="A21" s="104" t="n">
        <v>68</v>
      </c>
      <c r="B21" s="179" t="s">
        <v>806</v>
      </c>
      <c r="C21" s="180" t="s">
        <v>327</v>
      </c>
      <c r="D21" s="180" t="s">
        <v>826</v>
      </c>
      <c r="E21" s="180" t="s">
        <v>827</v>
      </c>
      <c r="F21" s="207" t="s">
        <v>828</v>
      </c>
      <c r="G21" s="207" t="s">
        <v>566</v>
      </c>
      <c r="H21" s="183" t="str">
        <f aca="false">HYPERLINK("#'📎 Evidence Register'!C73","ER-068  →  Row 73")</f>
        <v>ER-068  →  Row 73</v>
      </c>
      <c r="I21" s="204" t="s">
        <v>495</v>
      </c>
      <c r="J21" s="184" t="n">
        <f aca="false">IF(I21="","",IF(LEFT(I21,2)="L1",1,IF(LEFT(I21,2)="L2",2,IF(LEFT(I21,2)="L3",3,IF(LEFT(I21,2)="L4",4,IF(LEFT(I21,2)="L5",5,""))))))</f>
        <v>1</v>
      </c>
      <c r="K21" s="208" t="s">
        <v>545</v>
      </c>
      <c r="L21" s="186" t="n">
        <f aca="false">IF(K21="","",IF(LEFT(K21,2)="L1",1,IF(LEFT(K21,2)="L2",2,IF(LEFT(K21,2)="L3",3,IF(LEFT(K21,2)="L4",4,IF(LEFT(K21,2)="L5",5,""))))))</f>
        <v>4</v>
      </c>
      <c r="M21" s="187" t="n">
        <f aca="false">IFERROR(IF(OR(J21="",L21=""),"—",L21-J21),"—")</f>
        <v>3</v>
      </c>
      <c r="N21" s="188" t="str">
        <f aca="false">IFERROR(IF(I21="","⏳ Select a maturity rating to see the level description for this specific control.",INDEX(_DV!$1:$5,MATCH(LEFT(I21,2),{"L1","L2","L3","L4","L5"},0),68)),"⏳ Select a maturity rating.")</f>
        <v>L1 — Initial: Data Loss Prevention (DLP) — Cloud &amp; SaaS is absent or ad hoc. No formal process, no documentation, no named owner. Controls exist only reactively after incidents.</v>
      </c>
      <c r="O21" s="113" t="str">
        <f aca="false">IF(S21="Exclude","⬛ Not Applicable",IF(T21="⬛ Auto-Excluded","⬛ Not Applicable",IF(I21="","✅ Applicable",IF(J21=1,"🔴 Critical",IF(J21=2,"🟠 Developing",IF(J21=3,"🟡 Defined",IF(J21&gt;=4,"🟢 Managed","✅ Applicable")))))))</f>
        <v>🔴 Critical</v>
      </c>
      <c r="P21" s="179" t="str">
        <f aca="false">IF(OR(J21="",L21=""),"⏳ Complete rating and target to generate recommendation.",IF(L21&lt;=J21,"✅ Target met — sustain evidence and raise target when programme allows.",IFERROR(INDEX(_REC!$B:$B,MATCH(A21&amp;"|"&amp;IF(L21="","",LEFT(TEXT(L21,"0"),1)),_REC!$A:$A,0)),"Recommendation pending — check _REC data.")))</f>
        <v>Instrument Data Loss Prevention (DLP) — Cloud &amp; SaaS with measurable KPIs: define performance thresholds (coverage %, SLA adherence, exception count), establish automated telemetry where possible, and integrate reporting into quarterly governance cycles. Evidence must be system-generated and reviewed at each governance cycle.</v>
      </c>
      <c r="Q21" s="189" t="s">
        <v>829</v>
      </c>
      <c r="R21" s="209" t="s">
        <v>249</v>
      </c>
      <c r="S21" s="177"/>
      <c r="T21" s="191" t="str">
        <f aca="false">IF(S21="Exclude","⬛ Excluded",IF(S21="Apply","✅ Applicable","✅ Applicable"))</f>
        <v>✅ Applicable</v>
      </c>
    </row>
    <row r="22" customFormat="false" ht="69.75" hidden="false" customHeight="true" outlineLevel="0" collapsed="false">
      <c r="A22" s="104" t="n">
        <v>69</v>
      </c>
      <c r="B22" s="164" t="s">
        <v>806</v>
      </c>
      <c r="C22" s="165" t="s">
        <v>328</v>
      </c>
      <c r="D22" s="165" t="s">
        <v>830</v>
      </c>
      <c r="E22" s="165" t="s">
        <v>831</v>
      </c>
      <c r="F22" s="203" t="s">
        <v>832</v>
      </c>
      <c r="G22" s="203" t="s">
        <v>833</v>
      </c>
      <c r="H22" s="168" t="str">
        <f aca="false">HYPERLINK("#'📎 Evidence Register'!C74","ER-069  →  Row 74")</f>
        <v>ER-069  →  Row 74</v>
      </c>
      <c r="I22" s="204" t="s">
        <v>495</v>
      </c>
      <c r="J22" s="170" t="n">
        <f aca="false">IF(I22="","",IF(LEFT(I22,2)="L1",1,IF(LEFT(I22,2)="L2",2,IF(LEFT(I22,2)="L3",3,IF(LEFT(I22,2)="L4",4,IF(LEFT(I22,2)="L5",5,""))))))</f>
        <v>1</v>
      </c>
      <c r="K22" s="205" t="s">
        <v>545</v>
      </c>
      <c r="L22" s="172" t="n">
        <f aca="false">IF(K22="","",IF(LEFT(K22,2)="L1",1,IF(LEFT(K22,2)="L2",2,IF(LEFT(K22,2)="L3",3,IF(LEFT(K22,2)="L4",4,IF(LEFT(K22,2)="L5",5,""))))))</f>
        <v>4</v>
      </c>
      <c r="M22" s="173" t="n">
        <f aca="false">IFERROR(IF(OR(J22="",L22=""),"—",L22-J22),"—")</f>
        <v>3</v>
      </c>
      <c r="N22" s="174" t="str">
        <f aca="false">IFERROR(IF(I22="","⏳ Select a maturity rating to see the level description for this specific control.",INDEX(_DV!$1:$5,MATCH(LEFT(I22,2),{"L1","L2","L3","L4","L5"},0),69)),"⏳ Select a maturity rating.")</f>
        <v>L1 — Initial: Data Masking &amp; Pseudonymisation is absent or ad hoc. No formal process, no documentation, no named owner. Controls exist only reactively after incidents.</v>
      </c>
      <c r="O22" s="108" t="str">
        <f aca="false">IF(S22="Exclude","⬛ Not Applicable",IF(T22="⬛ Auto-Excluded","⬛ Not Applicable",IF(I22="","✅ Applicable",IF(J22=1,"🔴 Critical",IF(J22=2,"🟠 Developing",IF(J22=3,"🟡 Defined",IF(J22&gt;=4,"🟢 Managed","✅ Applicable")))))))</f>
        <v>🔴 Critical</v>
      </c>
      <c r="P22" s="164" t="str">
        <f aca="false">IF(OR(J22="",L22=""),"⏳ Complete rating and target to generate recommendation.",IF(L22&lt;=J22,"✅ Target met — sustain evidence and raise target when programme allows.",IFERROR(INDEX(_REC!$B:$B,MATCH(A22&amp;"|"&amp;IF(L22="","",LEFT(TEXT(L22,"0"),1)),_REC!$A:$A,0)),"Recommendation pending — check _REC data.")))</f>
        <v>Instrument Data Masking &amp; Pseudonymisation with measurable KPIs: define performance thresholds (coverage %, SLA adherence, exception count), establish automated telemetry where possible, and integrate reporting into quarterly governance cycles. Evidence must be system-generated and reviewed at each governance cycle.</v>
      </c>
      <c r="Q22" s="175" t="s">
        <v>834</v>
      </c>
      <c r="R22" s="206" t="s">
        <v>275</v>
      </c>
      <c r="S22" s="177"/>
      <c r="T22" s="178" t="str">
        <f aca="false">IF(S22="Exclude","⬛ Excluded",IF(S22="Apply","✅ Applicable","✅ Applicable"))</f>
        <v>✅ Applicable</v>
      </c>
    </row>
    <row r="23" customFormat="false" ht="69.75" hidden="false" customHeight="true" outlineLevel="0" collapsed="false">
      <c r="A23" s="104" t="n">
        <v>70</v>
      </c>
      <c r="B23" s="179" t="s">
        <v>806</v>
      </c>
      <c r="C23" s="180" t="s">
        <v>329</v>
      </c>
      <c r="D23" s="180" t="s">
        <v>835</v>
      </c>
      <c r="E23" s="180" t="s">
        <v>836</v>
      </c>
      <c r="F23" s="207" t="s">
        <v>837</v>
      </c>
      <c r="G23" s="207" t="s">
        <v>838</v>
      </c>
      <c r="H23" s="183" t="str">
        <f aca="false">HYPERLINK("#'📎 Evidence Register'!C75","ER-070  →  Row 75")</f>
        <v>ER-070  →  Row 75</v>
      </c>
      <c r="I23" s="204" t="s">
        <v>508</v>
      </c>
      <c r="J23" s="184" t="n">
        <f aca="false">IF(I23="","",IF(LEFT(I23,2)="L1",1,IF(LEFT(I23,2)="L2",2,IF(LEFT(I23,2)="L3",3,IF(LEFT(I23,2)="L4",4,IF(LEFT(I23,2)="L5",5,""))))))</f>
        <v>2</v>
      </c>
      <c r="K23" s="208" t="s">
        <v>545</v>
      </c>
      <c r="L23" s="186" t="n">
        <f aca="false">IF(K23="","",IF(LEFT(K23,2)="L1",1,IF(LEFT(K23,2)="L2",2,IF(LEFT(K23,2)="L3",3,IF(LEFT(K23,2)="L4",4,IF(LEFT(K23,2)="L5",5,""))))))</f>
        <v>4</v>
      </c>
      <c r="M23" s="187" t="n">
        <f aca="false">IFERROR(IF(OR(J23="",L23=""),"—",L23-J23),"—")</f>
        <v>2</v>
      </c>
      <c r="N23" s="188" t="str">
        <f aca="false">IFERROR(IF(I23="","⏳ Select a maturity rating to see the level description for this specific control.",INDEX(_DV!$1:$5,MATCH(LEFT(I23,2),{"L1","L2","L3","L4","L5"},0),70)),"⏳ Select a maturity rating.")</f>
        <v>L2 — Developing: Payment Card Data (PAN) Protection has basic controls in place but coverage is incomplete and execution is manual. Not consistently applied across all in-scope assets. Formal governance is absent.</v>
      </c>
      <c r="O23" s="113" t="str">
        <f aca="false">IF(S23="Exclude","⬛ Not Applicable",IF(T23="⬛ Auto-Excluded","⬛ Not Applicable",IF(I23="","✅ Applicable",IF(J23=1,"🔴 Critical",IF(J23=2,"🟠 Developing",IF(J23=3,"🟡 Defined",IF(J23&gt;=4,"🟢 Managed","✅ Applicable")))))))</f>
        <v>🟠 Developing</v>
      </c>
      <c r="P23" s="179" t="str">
        <f aca="false">IF(OR(J23="",L23=""),"⏳ Complete rating and target to generate recommendation.",IF(L23&lt;=J23,"✅ Target met — sustain evidence and raise target when programme allows.",IFERROR(INDEX(_REC!$B:$B,MATCH(A23&amp;"|"&amp;IF(L23="","",LEFT(TEXT(L23,"0"),1)),_REC!$A:$A,0)),"Recommendation pending — check _REC data.")))</f>
        <v>Instrument Payment Card Data (PAN) Protection with measurable KPIs: define performance thresholds (coverage %, SLA adherence, exception count), establish automated telemetry where possible, and integrate reporting into quarterly governance cycles. Evidence must be system-generated and reviewed at each governance cycle.</v>
      </c>
      <c r="Q23" s="189" t="s">
        <v>839</v>
      </c>
      <c r="R23" s="209" t="s">
        <v>287</v>
      </c>
      <c r="S23" s="177"/>
      <c r="T23" s="191" t="str">
        <f aca="false">IF(S23="Exclude","⬛ Excluded",IF(S23="Apply","✅ Applicable",IF((('🔍 Scoping'!$E$9="No"))&gt;0,"⬛ Auto-Excluded","✅ Applicable")))</f>
        <v>✅ Applicable</v>
      </c>
    </row>
    <row r="24" customFormat="false" ht="69.75" hidden="false" customHeight="true" outlineLevel="0" collapsed="false">
      <c r="A24" s="104" t="n">
        <v>71</v>
      </c>
      <c r="B24" s="164" t="s">
        <v>806</v>
      </c>
      <c r="C24" s="165" t="s">
        <v>330</v>
      </c>
      <c r="D24" s="165" t="s">
        <v>840</v>
      </c>
      <c r="E24" s="165" t="s">
        <v>841</v>
      </c>
      <c r="F24" s="203" t="s">
        <v>842</v>
      </c>
      <c r="G24" s="203" t="s">
        <v>843</v>
      </c>
      <c r="H24" s="168" t="str">
        <f aca="false">HYPERLINK("#'📎 Evidence Register'!C76","ER-071  →  Row 76")</f>
        <v>ER-071  →  Row 76</v>
      </c>
      <c r="I24" s="204" t="s">
        <v>508</v>
      </c>
      <c r="J24" s="170" t="n">
        <f aca="false">IF(I24="","",IF(LEFT(I24,2)="L1",1,IF(LEFT(I24,2)="L2",2,IF(LEFT(I24,2)="L3",3,IF(LEFT(I24,2)="L4",4,IF(LEFT(I24,2)="L5",5,""))))))</f>
        <v>2</v>
      </c>
      <c r="K24" s="205" t="s">
        <v>496</v>
      </c>
      <c r="L24" s="172" t="n">
        <f aca="false">IF(K24="","",IF(LEFT(K24,2)="L1",1,IF(LEFT(K24,2)="L2",2,IF(LEFT(K24,2)="L3",3,IF(LEFT(K24,2)="L4",4,IF(LEFT(K24,2)="L5",5,""))))))</f>
        <v>3</v>
      </c>
      <c r="M24" s="173" t="n">
        <f aca="false">IFERROR(IF(OR(J24="",L24=""),"—",L24-J24),"—")</f>
        <v>1</v>
      </c>
      <c r="N24" s="174" t="str">
        <f aca="false">IFERROR(IF(I24="","⏳ Select a maturity rating to see the level description for this specific control.",INDEX(_DV!$1:$5,MATCH(LEFT(I24,2),{"L1","L2","L3","L4","L5"},0),71)),"⏳ Select a maturity rating.")</f>
        <v>L2 — Developing: Backup — Architecture &amp; Immutability has basic controls in place but coverage is incomplete and execution is manual. Not consistently applied across all in-scope assets. Formal governance is absent.</v>
      </c>
      <c r="O24" s="108" t="str">
        <f aca="false">IF(S24="Exclude","⬛ Not Applicable",IF(T24="⬛ Auto-Excluded","⬛ Not Applicable",IF(I24="","✅ Applicable",IF(J24=1,"🔴 Critical",IF(J24=2,"🟠 Developing",IF(J24=3,"🟡 Defined",IF(J24&gt;=4,"🟢 Managed","✅ Applicable")))))))</f>
        <v>🟠 Developing</v>
      </c>
      <c r="P24" s="164" t="str">
        <f aca="false">IF(OR(J24="",L24=""),"⏳ Complete rating and target to generate recommendation.",IF(L24&lt;=J24,"✅ Target met — sustain evidence and raise target when programme allows.",IFERROR(INDEX(_REC!$B:$B,MATCH(A24&amp;"|"&amp;IF(L24="","",LEFT(TEXT(L24,"0"),1)),_REC!$A:$A,0)),"Recommendation pending — check _REC data.")))</f>
        <v>Standardise Backup — Architecture &amp; Immutability: formalise all documentation, apply the control consistently across all in-scope assets, close remaining coverage gaps, and ensure evidence is collected routinely. Exceptions must be formally managed with named owners and defined expiry dates.</v>
      </c>
      <c r="Q24" s="175" t="s">
        <v>844</v>
      </c>
      <c r="R24" s="206" t="s">
        <v>284</v>
      </c>
      <c r="S24" s="177"/>
      <c r="T24" s="178" t="str">
        <f aca="false">IF(S24="Exclude","⬛ Excluded",IF(S24="Apply","✅ Applicable","✅ Applicable"))</f>
        <v>✅ Applicable</v>
      </c>
    </row>
    <row r="25" customFormat="false" ht="69.75" hidden="false" customHeight="true" outlineLevel="0" collapsed="false">
      <c r="A25" s="104" t="n">
        <v>72</v>
      </c>
      <c r="B25" s="179" t="s">
        <v>806</v>
      </c>
      <c r="C25" s="180" t="s">
        <v>331</v>
      </c>
      <c r="D25" s="180" t="s">
        <v>845</v>
      </c>
      <c r="E25" s="180" t="s">
        <v>846</v>
      </c>
      <c r="F25" s="207" t="s">
        <v>847</v>
      </c>
      <c r="G25" s="207" t="s">
        <v>848</v>
      </c>
      <c r="H25" s="183" t="str">
        <f aca="false">HYPERLINK("#'📎 Evidence Register'!C77","ER-072  →  Row 77")</f>
        <v>ER-072  →  Row 77</v>
      </c>
      <c r="I25" s="204" t="s">
        <v>495</v>
      </c>
      <c r="J25" s="184" t="n">
        <f aca="false">IF(I25="","",IF(LEFT(I25,2)="L1",1,IF(LEFT(I25,2)="L2",2,IF(LEFT(I25,2)="L3",3,IF(LEFT(I25,2)="L4",4,IF(LEFT(I25,2)="L5",5,""))))))</f>
        <v>1</v>
      </c>
      <c r="K25" s="208" t="s">
        <v>496</v>
      </c>
      <c r="L25" s="186" t="n">
        <f aca="false">IF(K25="","",IF(LEFT(K25,2)="L1",1,IF(LEFT(K25,2)="L2",2,IF(LEFT(K25,2)="L3",3,IF(LEFT(K25,2)="L4",4,IF(LEFT(K25,2)="L5",5,""))))))</f>
        <v>3</v>
      </c>
      <c r="M25" s="187" t="n">
        <f aca="false">IFERROR(IF(OR(J25="",L25=""),"—",L25-J25),"—")</f>
        <v>2</v>
      </c>
      <c r="N25" s="188" t="str">
        <f aca="false">IFERROR(IF(I25="","⏳ Select a maturity rating to see the level description for this specific control.",INDEX(_DV!$1:$5,MATCH(LEFT(I25,2),{"L1","L2","L3","L4","L5"},0),72)),"⏳ Select a maturity rating.")</f>
        <v>L1 — Initial: Backup — Restoration Testing is absent or ad hoc. No formal process, no documentation, no named owner. Controls exist only reactively after incidents.</v>
      </c>
      <c r="O25" s="113" t="str">
        <f aca="false">IF(S25="Exclude","⬛ Not Applicable",IF(T25="⬛ Auto-Excluded","⬛ Not Applicable",IF(I25="","✅ Applicable",IF(J25=1,"🔴 Critical",IF(J25=2,"🟠 Developing",IF(J25=3,"🟡 Defined",IF(J25&gt;=4,"🟢 Managed","✅ Applicable")))))))</f>
        <v>🔴 Critical</v>
      </c>
      <c r="P25" s="179" t="str">
        <f aca="false">IF(OR(J25="",L25=""),"⏳ Complete rating and target to generate recommendation.",IF(L25&lt;=J25,"✅ Target met — sustain evidence and raise target when programme allows.",IFERROR(INDEX(_REC!$B:$B,MATCH(A25&amp;"|"&amp;IF(L25="","",LEFT(TEXT(L25,"0"),1)),_REC!$A:$A,0)),"Recommendation pending — check _REC data.")))</f>
        <v>Standardise Backup — Restoration Testing: formalise all documentation, apply the control consistently across all in-scope assets, close remaining coverage gaps, and ensure evidence is collected routinely. Exceptions must be formally managed with named owners and defined expiry dates.</v>
      </c>
      <c r="Q25" s="189" t="s">
        <v>849</v>
      </c>
      <c r="R25" s="209" t="s">
        <v>284</v>
      </c>
      <c r="S25" s="177"/>
      <c r="T25" s="191" t="str">
        <f aca="false">IF(S25="Exclude","⬛ Excluded",IF(S25="Apply","✅ Applicable","✅ Applicable"))</f>
        <v>✅ Applicable</v>
      </c>
    </row>
    <row r="26" customFormat="false" ht="69.75" hidden="false" customHeight="true" outlineLevel="0" collapsed="false">
      <c r="A26" s="104" t="n">
        <v>73</v>
      </c>
      <c r="B26" s="164" t="s">
        <v>806</v>
      </c>
      <c r="C26" s="165" t="s">
        <v>332</v>
      </c>
      <c r="D26" s="165" t="s">
        <v>850</v>
      </c>
      <c r="E26" s="165" t="s">
        <v>851</v>
      </c>
      <c r="F26" s="203" t="s">
        <v>852</v>
      </c>
      <c r="G26" s="203" t="s">
        <v>853</v>
      </c>
      <c r="H26" s="168" t="str">
        <f aca="false">HYPERLINK("#'📎 Evidence Register'!C78","ER-073  →  Row 78")</f>
        <v>ER-073  →  Row 78</v>
      </c>
      <c r="I26" s="204" t="s">
        <v>508</v>
      </c>
      <c r="J26" s="170" t="n">
        <f aca="false">IF(I26="","",IF(LEFT(I26,2)="L1",1,IF(LEFT(I26,2)="L2",2,IF(LEFT(I26,2)="L3",3,IF(LEFT(I26,2)="L4",4,IF(LEFT(I26,2)="L5",5,""))))))</f>
        <v>2</v>
      </c>
      <c r="K26" s="205" t="s">
        <v>496</v>
      </c>
      <c r="L26" s="172" t="n">
        <f aca="false">IF(K26="","",IF(LEFT(K26,2)="L1",1,IF(LEFT(K26,2)="L2",2,IF(LEFT(K26,2)="L3",3,IF(LEFT(K26,2)="L4",4,IF(LEFT(K26,2)="L5",5,""))))))</f>
        <v>3</v>
      </c>
      <c r="M26" s="173" t="n">
        <f aca="false">IFERROR(IF(OR(J26="",L26=""),"—",L26-J26),"—")</f>
        <v>1</v>
      </c>
      <c r="N26" s="174" t="str">
        <f aca="false">IFERROR(IF(I26="","⏳ Select a maturity rating to see the level description for this specific control.",INDEX(_DV!$1:$5,MATCH(LEFT(I26,2),{"L1","L2","L3","L4","L5"},0),73)),"⏳ Select a maturity rating.")</f>
        <v>L2 — Developing: Email Security — DMARC, DKIM, SPF has basic controls in place but coverage is incomplete and execution is manual. Not consistently applied across all in-scope assets. Formal governance is absent.</v>
      </c>
      <c r="O26" s="108" t="str">
        <f aca="false">IF(S26="Exclude","⬛ Not Applicable",IF(T26="⬛ Auto-Excluded","⬛ Not Applicable",IF(I26="","✅ Applicable",IF(J26=1,"🔴 Critical",IF(J26=2,"🟠 Developing",IF(J26=3,"🟡 Defined",IF(J26&gt;=4,"🟢 Managed","✅ Applicable")))))))</f>
        <v>🟠 Developing</v>
      </c>
      <c r="P26" s="164" t="str">
        <f aca="false">IF(OR(J26="",L26=""),"⏳ Complete rating and target to generate recommendation.",IF(L26&lt;=J26,"✅ Target met — sustain evidence and raise target when programme allows.",IFERROR(INDEX(_REC!$B:$B,MATCH(A26&amp;"|"&amp;IF(L26="","",LEFT(TEXT(L26,"0"),1)),_REC!$A:$A,0)),"Recommendation pending — check _REC data.")))</f>
        <v>Standardise Email Security — DMARC, DKIM, SPF: formalise all documentation, apply the control consistently across all in-scope assets, close remaining coverage gaps, and ensure evidence is collected routinely. Exceptions must be formally managed with named owners and defined expiry dates.</v>
      </c>
      <c r="Q26" s="175" t="s">
        <v>854</v>
      </c>
      <c r="R26" s="206" t="s">
        <v>287</v>
      </c>
      <c r="S26" s="177"/>
      <c r="T26" s="178" t="str">
        <f aca="false">IF(S26="Exclude","⬛ Excluded",IF(S26="Apply","✅ Applicable","✅ Applicable"))</f>
        <v>✅ Applicable</v>
      </c>
    </row>
    <row r="27" customFormat="false" ht="69.75" hidden="false" customHeight="true" outlineLevel="0" collapsed="false">
      <c r="A27" s="104" t="n">
        <v>74</v>
      </c>
      <c r="B27" s="179" t="s">
        <v>806</v>
      </c>
      <c r="C27" s="180" t="s">
        <v>333</v>
      </c>
      <c r="D27" s="180" t="s">
        <v>855</v>
      </c>
      <c r="E27" s="180" t="s">
        <v>856</v>
      </c>
      <c r="F27" s="207" t="s">
        <v>857</v>
      </c>
      <c r="G27" s="207" t="s">
        <v>858</v>
      </c>
      <c r="H27" s="183" t="str">
        <f aca="false">HYPERLINK("#'📎 Evidence Register'!C79","ER-074  →  Row 79")</f>
        <v>ER-074  →  Row 79</v>
      </c>
      <c r="I27" s="204" t="s">
        <v>508</v>
      </c>
      <c r="J27" s="184" t="n">
        <f aca="false">IF(I27="","",IF(LEFT(I27,2)="L1",1,IF(LEFT(I27,2)="L2",2,IF(LEFT(I27,2)="L3",3,IF(LEFT(I27,2)="L4",4,IF(LEFT(I27,2)="L5",5,""))))))</f>
        <v>2</v>
      </c>
      <c r="K27" s="208" t="s">
        <v>496</v>
      </c>
      <c r="L27" s="186" t="n">
        <f aca="false">IF(K27="","",IF(LEFT(K27,2)="L1",1,IF(LEFT(K27,2)="L2",2,IF(LEFT(K27,2)="L3",3,IF(LEFT(K27,2)="L4",4,IF(LEFT(K27,2)="L5",5,""))))))</f>
        <v>3</v>
      </c>
      <c r="M27" s="187" t="n">
        <f aca="false">IFERROR(IF(OR(J27="",L27=""),"—",L27-J27),"—")</f>
        <v>1</v>
      </c>
      <c r="N27" s="188" t="str">
        <f aca="false">IFERROR(IF(I27="","⏳ Select a maturity rating to see the level description for this specific control.",INDEX(_DV!$1:$5,MATCH(LEFT(I27,2),{"L1","L2","L3","L4","L5"},0),74)),"⏳ Select a maturity rating.")</f>
        <v>L2 — Developing: Email Security — Anti-Phishing &amp; Sandboxing has basic controls in place but coverage is incomplete and execution is manual. Not consistently applied across all in-scope assets. Formal governance is absent.</v>
      </c>
      <c r="O27" s="113" t="str">
        <f aca="false">IF(S27="Exclude","⬛ Not Applicable",IF(T27="⬛ Auto-Excluded","⬛ Not Applicable",IF(I27="","✅ Applicable",IF(J27=1,"🔴 Critical",IF(J27=2,"🟠 Developing",IF(J27=3,"🟡 Defined",IF(J27&gt;=4,"🟢 Managed","✅ Applicable")))))))</f>
        <v>🟠 Developing</v>
      </c>
      <c r="P27" s="179" t="str">
        <f aca="false">IF(OR(J27="",L27=""),"⏳ Complete rating and target to generate recommendation.",IF(L27&lt;=J27,"✅ Target met — sustain evidence and raise target when programme allows.",IFERROR(INDEX(_REC!$B:$B,MATCH(A27&amp;"|"&amp;IF(L27="","",LEFT(TEXT(L27,"0"),1)),_REC!$A:$A,0)),"Recommendation pending — check _REC data.")))</f>
        <v>Standardise Email Security — Anti-Phishing &amp; Sandboxing: formalise all documentation, apply the control consistently across all in-scope assets, close remaining coverage gaps, and ensure evidence is collected routinely. Exceptions must be formally managed with named owners and defined expiry dates.</v>
      </c>
      <c r="Q27" s="189" t="s">
        <v>859</v>
      </c>
      <c r="R27" s="209" t="s">
        <v>249</v>
      </c>
      <c r="S27" s="177"/>
      <c r="T27" s="191" t="str">
        <f aca="false">IF(S27="Exclude","⬛ Excluded",IF(S27="Apply","✅ Applicable","✅ Applicable"))</f>
        <v>✅ Applicable</v>
      </c>
    </row>
    <row r="28" customFormat="false" ht="69.75" hidden="false" customHeight="true" outlineLevel="0" collapsed="false">
      <c r="A28" s="104" t="n">
        <v>75</v>
      </c>
      <c r="B28" s="164" t="s">
        <v>806</v>
      </c>
      <c r="C28" s="165" t="s">
        <v>334</v>
      </c>
      <c r="D28" s="165" t="s">
        <v>860</v>
      </c>
      <c r="E28" s="165" t="s">
        <v>861</v>
      </c>
      <c r="F28" s="203" t="s">
        <v>862</v>
      </c>
      <c r="G28" s="203" t="s">
        <v>566</v>
      </c>
      <c r="H28" s="168" t="str">
        <f aca="false">HYPERLINK("#'📎 Evidence Register'!C80","ER-075  →  Row 80")</f>
        <v>ER-075  →  Row 80</v>
      </c>
      <c r="I28" s="204" t="s">
        <v>495</v>
      </c>
      <c r="J28" s="170" t="n">
        <f aca="false">IF(I28="","",IF(LEFT(I28,2)="L1",1,IF(LEFT(I28,2)="L2",2,IF(LEFT(I28,2)="L3",3,IF(LEFT(I28,2)="L4",4,IF(LEFT(I28,2)="L5",5,""))))))</f>
        <v>1</v>
      </c>
      <c r="K28" s="205" t="s">
        <v>545</v>
      </c>
      <c r="L28" s="172" t="n">
        <f aca="false">IF(K28="","",IF(LEFT(K28,2)="L1",1,IF(LEFT(K28,2)="L2",2,IF(LEFT(K28,2)="L3",3,IF(LEFT(K28,2)="L4",4,IF(LEFT(K28,2)="L5",5,""))))))</f>
        <v>4</v>
      </c>
      <c r="M28" s="173" t="n">
        <f aca="false">IFERROR(IF(OR(J28="",L28=""),"—",L28-J28),"—")</f>
        <v>3</v>
      </c>
      <c r="N28" s="174" t="str">
        <f aca="false">IFERROR(IF(I28="","⏳ Select a maturity rating to see the level description for this specific control.",INDEX(_DV!$1:$5,MATCH(LEFT(I28,2),{"L1","L2","L3","L4","L5"},0),75)),"⏳ Select a maturity rating.")</f>
        <v>L1 — Initial: Cryptographic Standards &amp; Key Lifecycle is absent or ad hoc. No formal process, no documentation, no named owner. Controls exist only reactively after incidents.</v>
      </c>
      <c r="O28" s="108" t="str">
        <f aca="false">IF(S28="Exclude","⬛ Not Applicable",IF(T28="⬛ Auto-Excluded","⬛ Not Applicable",IF(I28="","✅ Applicable",IF(J28=1,"🔴 Critical",IF(J28=2,"🟠 Developing",IF(J28=3,"🟡 Defined",IF(J28&gt;=4,"🟢 Managed","✅ Applicable")))))))</f>
        <v>🔴 Critical</v>
      </c>
      <c r="P28" s="164" t="str">
        <f aca="false">IF(OR(J28="",L28=""),"⏳ Complete rating and target to generate recommendation.",IF(L28&lt;=J28,"✅ Target met — sustain evidence and raise target when programme allows.",IFERROR(INDEX(_REC!$B:$B,MATCH(A28&amp;"|"&amp;IF(L28="","",LEFT(TEXT(L28,"0"),1)),_REC!$A:$A,0)),"Recommendation pending — check _REC data.")))</f>
        <v>Instrument Cryptographic Standards &amp; Key Lifecycle with measurable KPIs: define performance thresholds (coverage %, SLA adherence, exception count), establish automated telemetry where possible, and integrate reporting into quarterly governance cycles. Evidence must be system-generated and reviewed at each governance cycle.</v>
      </c>
      <c r="Q28" s="175" t="s">
        <v>863</v>
      </c>
      <c r="R28" s="206" t="s">
        <v>287</v>
      </c>
      <c r="S28" s="177"/>
      <c r="T28" s="178" t="str">
        <f aca="false">IF(S28="Exclude","⬛ Excluded",IF(S28="Apply","✅ Applicable","✅ Applicable"))</f>
        <v>✅ Applicable</v>
      </c>
    </row>
    <row r="29" customFormat="false" ht="69.75" hidden="false" customHeight="true" outlineLevel="0" collapsed="false">
      <c r="A29" s="104" t="n">
        <v>76</v>
      </c>
      <c r="B29" s="179" t="s">
        <v>864</v>
      </c>
      <c r="C29" s="180" t="s">
        <v>335</v>
      </c>
      <c r="D29" s="180" t="s">
        <v>865</v>
      </c>
      <c r="E29" s="180" t="s">
        <v>866</v>
      </c>
      <c r="F29" s="207" t="s">
        <v>867</v>
      </c>
      <c r="G29" s="207" t="s">
        <v>868</v>
      </c>
      <c r="H29" s="183" t="str">
        <f aca="false">HYPERLINK("#'📎 Evidence Register'!C81","ER-076  →  Row 81")</f>
        <v>ER-076  →  Row 81</v>
      </c>
      <c r="I29" s="204" t="s">
        <v>508</v>
      </c>
      <c r="J29" s="184" t="n">
        <f aca="false">IF(I29="","",IF(LEFT(I29,2)="L1",1,IF(LEFT(I29,2)="L2",2,IF(LEFT(I29,2)="L3",3,IF(LEFT(I29,2)="L4",4,IF(LEFT(I29,2)="L5",5,""))))))</f>
        <v>2</v>
      </c>
      <c r="K29" s="208" t="s">
        <v>496</v>
      </c>
      <c r="L29" s="186" t="n">
        <f aca="false">IF(K29="","",IF(LEFT(K29,2)="L1",1,IF(LEFT(K29,2)="L2",2,IF(LEFT(K29,2)="L3",3,IF(LEFT(K29,2)="L4",4,IF(LEFT(K29,2)="L5",5,""))))))</f>
        <v>3</v>
      </c>
      <c r="M29" s="187" t="n">
        <f aca="false">IFERROR(IF(OR(J29="",L29=""),"—",L29-J29),"—")</f>
        <v>1</v>
      </c>
      <c r="N29" s="188" t="str">
        <f aca="false">IFERROR(IF(I29="","⏳ Select a maturity rating to see the level description for this specific control.",INDEX(_DV!$1:$5,MATCH(LEFT(I29,2),{"L1","L2","L3","L4","L5"},0),76)),"⏳ Select a maturity rating.")</f>
        <v>L2 — Developing: Endpoint Detection &amp; Response (EDR) has basic controls in place but coverage is incomplete and execution is manual. Not consistently applied across all in-scope assets. Formal governance is absent.</v>
      </c>
      <c r="O29" s="113" t="str">
        <f aca="false">IF(S29="Exclude","⬛ Not Applicable",IF(T29="⬛ Auto-Excluded","⬛ Not Applicable",IF(I29="","✅ Applicable",IF(J29=1,"🔴 Critical",IF(J29=2,"🟠 Developing",IF(J29=3,"🟡 Defined",IF(J29&gt;=4,"🟢 Managed","✅ Applicable")))))))</f>
        <v>🟠 Developing</v>
      </c>
      <c r="P29" s="179" t="str">
        <f aca="false">IF(OR(J29="",L29=""),"⏳ Complete rating and target to generate recommendation.",IF(L29&lt;=J29,"✅ Target met — sustain evidence and raise target when programme allows.",IFERROR(INDEX(_REC!$B:$B,MATCH(A29&amp;"|"&amp;IF(L29="","",LEFT(TEXT(L29,"0"),1)),_REC!$A:$A,0)),"Recommendation pending — check _REC data.")))</f>
        <v>Standardise Endpoint Detection &amp; Response (EDR): formalise all documentation, apply the control consistently across all in-scope assets, close remaining coverage gaps, and ensure evidence is collected routinely. Exceptions must be formally managed with named owners and defined expiry dates.</v>
      </c>
      <c r="Q29" s="189" t="s">
        <v>869</v>
      </c>
      <c r="R29" s="209" t="s">
        <v>249</v>
      </c>
      <c r="S29" s="177"/>
      <c r="T29" s="191" t="str">
        <f aca="false">IF(S29="Exclude","⬛ Excluded",IF(S29="Apply","✅ Applicable","✅ Applicable"))</f>
        <v>✅ Applicable</v>
      </c>
    </row>
    <row r="30" customFormat="false" ht="69.75" hidden="false" customHeight="true" outlineLevel="0" collapsed="false">
      <c r="A30" s="104" t="n">
        <v>77</v>
      </c>
      <c r="B30" s="164" t="s">
        <v>864</v>
      </c>
      <c r="C30" s="165" t="s">
        <v>336</v>
      </c>
      <c r="D30" s="165" t="s">
        <v>870</v>
      </c>
      <c r="E30" s="165" t="s">
        <v>871</v>
      </c>
      <c r="F30" s="203" t="s">
        <v>872</v>
      </c>
      <c r="G30" s="203" t="s">
        <v>873</v>
      </c>
      <c r="H30" s="168" t="str">
        <f aca="false">HYPERLINK("#'📎 Evidence Register'!C82","ER-077  →  Row 82")</f>
        <v>ER-077  →  Row 82</v>
      </c>
      <c r="I30" s="204" t="s">
        <v>495</v>
      </c>
      <c r="J30" s="170" t="n">
        <f aca="false">IF(I30="","",IF(LEFT(I30,2)="L1",1,IF(LEFT(I30,2)="L2",2,IF(LEFT(I30,2)="L3",3,IF(LEFT(I30,2)="L4",4,IF(LEFT(I30,2)="L5",5,""))))))</f>
        <v>1</v>
      </c>
      <c r="K30" s="205" t="s">
        <v>496</v>
      </c>
      <c r="L30" s="172" t="n">
        <f aca="false">IF(K30="","",IF(LEFT(K30,2)="L1",1,IF(LEFT(K30,2)="L2",2,IF(LEFT(K30,2)="L3",3,IF(LEFT(K30,2)="L4",4,IF(LEFT(K30,2)="L5",5,""))))))</f>
        <v>3</v>
      </c>
      <c r="M30" s="173" t="n">
        <f aca="false">IFERROR(IF(OR(J30="",L30=""),"—",L30-J30),"—")</f>
        <v>2</v>
      </c>
      <c r="N30" s="174" t="str">
        <f aca="false">IFERROR(IF(I30="","⏳ Select a maturity rating to see the level description for this specific control.",INDEX(_DV!$1:$5,MATCH(LEFT(I30,2),{"L1","L2","L3","L4","L5"},0),77)),"⏳ Select a maturity rating.")</f>
        <v>L1 — Initial: Endpoint Hardening &amp; CIS Benchmark Compliance is absent or ad hoc. No formal process, no documentation, no named owner. Controls exist only reactively after incidents.</v>
      </c>
      <c r="O30" s="108" t="str">
        <f aca="false">IF(S30="Exclude","⬛ Not Applicable",IF(T30="⬛ Auto-Excluded","⬛ Not Applicable",IF(I30="","✅ Applicable",IF(J30=1,"🔴 Critical",IF(J30=2,"🟠 Developing",IF(J30=3,"🟡 Defined",IF(J30&gt;=4,"🟢 Managed","✅ Applicable")))))))</f>
        <v>🔴 Critical</v>
      </c>
      <c r="P30" s="164" t="str">
        <f aca="false">IF(OR(J30="",L30=""),"⏳ Complete rating and target to generate recommendation.",IF(L30&lt;=J30,"✅ Target met — sustain evidence and raise target when programme allows.",IFERROR(INDEX(_REC!$B:$B,MATCH(A30&amp;"|"&amp;IF(L30="","",LEFT(TEXT(L30,"0"),1)),_REC!$A:$A,0)),"Recommendation pending — check _REC data.")))</f>
        <v>Standardise Endpoint Hardening &amp; CIS Benchmark Compliance: formalise all documentation, apply the control consistently across all in-scope assets, close remaining coverage gaps, and ensure evidence is collected routinely. Exceptions must be formally managed with named owners and defined expiry dates.</v>
      </c>
      <c r="Q30" s="175" t="s">
        <v>874</v>
      </c>
      <c r="R30" s="206" t="s">
        <v>284</v>
      </c>
      <c r="S30" s="177"/>
      <c r="T30" s="178" t="str">
        <f aca="false">IF(S30="Exclude","⬛ Excluded",IF(S30="Apply","✅ Applicable","✅ Applicable"))</f>
        <v>✅ Applicable</v>
      </c>
    </row>
    <row r="31" customFormat="false" ht="69.75" hidden="false" customHeight="true" outlineLevel="0" collapsed="false">
      <c r="A31" s="104" t="n">
        <v>78</v>
      </c>
      <c r="B31" s="179" t="s">
        <v>864</v>
      </c>
      <c r="C31" s="180" t="s">
        <v>337</v>
      </c>
      <c r="D31" s="180" t="s">
        <v>875</v>
      </c>
      <c r="E31" s="180" t="s">
        <v>876</v>
      </c>
      <c r="F31" s="207" t="s">
        <v>877</v>
      </c>
      <c r="G31" s="207" t="s">
        <v>878</v>
      </c>
      <c r="H31" s="183" t="str">
        <f aca="false">HYPERLINK("#'📎 Evidence Register'!C83","ER-078  →  Row 83")</f>
        <v>ER-078  →  Row 83</v>
      </c>
      <c r="I31" s="204" t="s">
        <v>508</v>
      </c>
      <c r="J31" s="184" t="n">
        <f aca="false">IF(I31="","",IF(LEFT(I31,2)="L1",1,IF(LEFT(I31,2)="L2",2,IF(LEFT(I31,2)="L3",3,IF(LEFT(I31,2)="L4",4,IF(LEFT(I31,2)="L5",5,""))))))</f>
        <v>2</v>
      </c>
      <c r="K31" s="208" t="s">
        <v>545</v>
      </c>
      <c r="L31" s="186" t="n">
        <f aca="false">IF(K31="","",IF(LEFT(K31,2)="L1",1,IF(LEFT(K31,2)="L2",2,IF(LEFT(K31,2)="L3",3,IF(LEFT(K31,2)="L4",4,IF(LEFT(K31,2)="L5",5,""))))))</f>
        <v>4</v>
      </c>
      <c r="M31" s="187" t="n">
        <f aca="false">IFERROR(IF(OR(J31="",L31=""),"—",L31-J31),"—")</f>
        <v>2</v>
      </c>
      <c r="N31" s="188" t="str">
        <f aca="false">IFERROR(IF(I31="","⏳ Select a maturity rating to see the level description for this specific control.",INDEX(_DV!$1:$5,MATCH(LEFT(I31,2),{"L1","L2","L3","L4","L5"},0),78)),"⏳ Select a maturity rating.")</f>
        <v>L2 — Developing: Patch Management — Critical &amp; High Vulnerabilities has basic controls in place but coverage is incomplete and execution is manual. Not consistently applied across all in-scope assets. Formal governance is absent.</v>
      </c>
      <c r="O31" s="113" t="str">
        <f aca="false">IF(S31="Exclude","⬛ Not Applicable",IF(T31="⬛ Auto-Excluded","⬛ Not Applicable",IF(I31="","✅ Applicable",IF(J31=1,"🔴 Critical",IF(J31=2,"🟠 Developing",IF(J31=3,"🟡 Defined",IF(J31&gt;=4,"🟢 Managed","✅ Applicable")))))))</f>
        <v>🟠 Developing</v>
      </c>
      <c r="P31" s="179" t="str">
        <f aca="false">IF(OR(J31="",L31=""),"⏳ Complete rating and target to generate recommendation.",IF(L31&lt;=J31,"✅ Target met — sustain evidence and raise target when programme allows.",IFERROR(INDEX(_REC!$B:$B,MATCH(A31&amp;"|"&amp;IF(L31="","",LEFT(TEXT(L31,"0"),1)),_REC!$A:$A,0)),"Recommendation pending — check _REC data.")))</f>
        <v>Instrument Patch Management — Critical &amp; High Vulnerabilities with measurable KPIs: define performance thresholds (coverage %, SLA adherence, exception count), establish automated telemetry where possible, and integrate reporting into quarterly governance cycles. Evidence must be system-generated and reviewed at each governance cycle.</v>
      </c>
      <c r="Q31" s="189" t="s">
        <v>712</v>
      </c>
      <c r="R31" s="209" t="s">
        <v>284</v>
      </c>
      <c r="S31" s="177"/>
      <c r="T31" s="191" t="str">
        <f aca="false">IF(S31="Exclude","⬛ Excluded",IF(S31="Apply","✅ Applicable","✅ Applicable"))</f>
        <v>✅ Applicable</v>
      </c>
    </row>
    <row r="32" customFormat="false" ht="69.75" hidden="false" customHeight="true" outlineLevel="0" collapsed="false">
      <c r="A32" s="104" t="n">
        <v>79</v>
      </c>
      <c r="B32" s="164" t="s">
        <v>864</v>
      </c>
      <c r="C32" s="165" t="s">
        <v>338</v>
      </c>
      <c r="D32" s="165" t="s">
        <v>879</v>
      </c>
      <c r="E32" s="165" t="s">
        <v>880</v>
      </c>
      <c r="F32" s="203" t="s">
        <v>881</v>
      </c>
      <c r="G32" s="203" t="s">
        <v>566</v>
      </c>
      <c r="H32" s="168" t="str">
        <f aca="false">HYPERLINK("#'📎 Evidence Register'!C84","ER-079  →  Row 84")</f>
        <v>ER-079  →  Row 84</v>
      </c>
      <c r="I32" s="204" t="s">
        <v>495</v>
      </c>
      <c r="J32" s="170" t="n">
        <f aca="false">IF(I32="","",IF(LEFT(I32,2)="L1",1,IF(LEFT(I32,2)="L2",2,IF(LEFT(I32,2)="L3",3,IF(LEFT(I32,2)="L4",4,IF(LEFT(I32,2)="L5",5,""))))))</f>
        <v>1</v>
      </c>
      <c r="K32" s="205" t="s">
        <v>496</v>
      </c>
      <c r="L32" s="172" t="n">
        <f aca="false">IF(K32="","",IF(LEFT(K32,2)="L1",1,IF(LEFT(K32,2)="L2",2,IF(LEFT(K32,2)="L3",3,IF(LEFT(K32,2)="L4",4,IF(LEFT(K32,2)="L5",5,""))))))</f>
        <v>3</v>
      </c>
      <c r="M32" s="173" t="n">
        <f aca="false">IFERROR(IF(OR(J32="",L32=""),"—",L32-J32),"—")</f>
        <v>2</v>
      </c>
      <c r="N32" s="174" t="str">
        <f aca="false">IFERROR(IF(I32="","⏳ Select a maturity rating to see the level description for this specific control.",INDEX(_DV!$1:$5,MATCH(LEFT(I32,2),{"L1","L2","L3","L4","L5"},0),79)),"⏳ Select a maturity rating.")</f>
        <v>L1 — Initial: Patch Management — Medium &amp; Low Vulnerabilities is absent or ad hoc. No formal process, no documentation, no named owner. Controls exist only reactively after incidents.</v>
      </c>
      <c r="O32" s="108" t="str">
        <f aca="false">IF(S32="Exclude","⬛ Not Applicable",IF(T32="⬛ Auto-Excluded","⬛ Not Applicable",IF(I32="","✅ Applicable",IF(J32=1,"🔴 Critical",IF(J32=2,"🟠 Developing",IF(J32=3,"🟡 Defined",IF(J32&gt;=4,"🟢 Managed","✅ Applicable")))))))</f>
        <v>🔴 Critical</v>
      </c>
      <c r="P32" s="164" t="str">
        <f aca="false">IF(OR(J32="",L32=""),"⏳ Complete rating and target to generate recommendation.",IF(L32&lt;=J32,"✅ Target met — sustain evidence and raise target when programme allows.",IFERROR(INDEX(_REC!$B:$B,MATCH(A32&amp;"|"&amp;IF(L32="","",LEFT(TEXT(L32,"0"),1)),_REC!$A:$A,0)),"Recommendation pending — check _REC data.")))</f>
        <v>Standardise Patch Management — Medium &amp; Low Vulnerabilities: formalise all documentation, apply the control consistently across all in-scope assets, close remaining coverage gaps, and ensure evidence is collected routinely. Exceptions must be formally managed with named owners and defined expiry dates.</v>
      </c>
      <c r="Q32" s="175" t="s">
        <v>882</v>
      </c>
      <c r="R32" s="206" t="s">
        <v>284</v>
      </c>
      <c r="S32" s="177"/>
      <c r="T32" s="178" t="str">
        <f aca="false">IF(S32="Exclude","⬛ Excluded",IF(S32="Apply","✅ Applicable","✅ Applicable"))</f>
        <v>✅ Applicable</v>
      </c>
    </row>
    <row r="33" customFormat="false" ht="69.75" hidden="false" customHeight="true" outlineLevel="0" collapsed="false">
      <c r="A33" s="104" t="n">
        <v>80</v>
      </c>
      <c r="B33" s="179" t="s">
        <v>864</v>
      </c>
      <c r="C33" s="180" t="s">
        <v>339</v>
      </c>
      <c r="D33" s="180" t="s">
        <v>883</v>
      </c>
      <c r="E33" s="180" t="s">
        <v>884</v>
      </c>
      <c r="F33" s="207" t="s">
        <v>885</v>
      </c>
      <c r="G33" s="207" t="s">
        <v>886</v>
      </c>
      <c r="H33" s="183" t="str">
        <f aca="false">HYPERLINK("#'📎 Evidence Register'!C85","ER-080  →  Row 85")</f>
        <v>ER-080  →  Row 85</v>
      </c>
      <c r="I33" s="204" t="s">
        <v>495</v>
      </c>
      <c r="J33" s="184" t="n">
        <f aca="false">IF(I33="","",IF(LEFT(I33,2)="L1",1,IF(LEFT(I33,2)="L2",2,IF(LEFT(I33,2)="L3",3,IF(LEFT(I33,2)="L4",4,IF(LEFT(I33,2)="L5",5,""))))))</f>
        <v>1</v>
      </c>
      <c r="K33" s="208" t="s">
        <v>496</v>
      </c>
      <c r="L33" s="186" t="n">
        <f aca="false">IF(K33="","",IF(LEFT(K33,2)="L1",1,IF(LEFT(K33,2)="L2",2,IF(LEFT(K33,2)="L3",3,IF(LEFT(K33,2)="L4",4,IF(LEFT(K33,2)="L5",5,""))))))</f>
        <v>3</v>
      </c>
      <c r="M33" s="187" t="n">
        <f aca="false">IFERROR(IF(OR(J33="",L33=""),"—",L33-J33),"—")</f>
        <v>2</v>
      </c>
      <c r="N33" s="188" t="str">
        <f aca="false">IFERROR(IF(I33="","⏳ Select a maturity rating to see the level description for this specific control.",INDEX(_DV!$1:$5,MATCH(LEFT(I33,2),{"L1","L2","L3","L4","L5"},0),80)),"⏳ Select a maturity rating.")</f>
        <v>L1 — Initial: End-of-Life (EOL) Software &amp; OS Management is absent or ad hoc. No formal process, no documentation, no named owner. Controls exist only reactively after incidents.</v>
      </c>
      <c r="O33" s="113" t="str">
        <f aca="false">IF(S33="Exclude","⬛ Not Applicable",IF(T33="⬛ Auto-Excluded","⬛ Not Applicable",IF(I33="","✅ Applicable",IF(J33=1,"🔴 Critical",IF(J33=2,"🟠 Developing",IF(J33=3,"🟡 Defined",IF(J33&gt;=4,"🟢 Managed","✅ Applicable")))))))</f>
        <v>🔴 Critical</v>
      </c>
      <c r="P33" s="179" t="str">
        <f aca="false">IF(OR(J33="",L33=""),"⏳ Complete rating and target to generate recommendation.",IF(L33&lt;=J33,"✅ Target met — sustain evidence and raise target when programme allows.",IFERROR(INDEX(_REC!$B:$B,MATCH(A33&amp;"|"&amp;IF(L33="","",LEFT(TEXT(L33,"0"),1)),_REC!$A:$A,0)),"Recommendation pending — check _REC data.")))</f>
        <v>Standardise End-of-Life (EOL) Software &amp; OS Management: formalise all documentation, apply the control consistently across all in-scope assets, close remaining coverage gaps, and ensure evidence is collected routinely. Exceptions must be formally managed with named owners and defined expiry dates.</v>
      </c>
      <c r="Q33" s="189" t="s">
        <v>887</v>
      </c>
      <c r="R33" s="209" t="s">
        <v>284</v>
      </c>
      <c r="S33" s="177"/>
      <c r="T33" s="191" t="str">
        <f aca="false">IF(S33="Exclude","⬛ Excluded",IF(S33="Apply","✅ Applicable","✅ Applicable"))</f>
        <v>✅ Applicable</v>
      </c>
    </row>
    <row r="34" customFormat="false" ht="69.75" hidden="false" customHeight="true" outlineLevel="0" collapsed="false">
      <c r="A34" s="104" t="n">
        <v>81</v>
      </c>
      <c r="B34" s="164" t="s">
        <v>864</v>
      </c>
      <c r="C34" s="165" t="s">
        <v>340</v>
      </c>
      <c r="D34" s="165" t="s">
        <v>888</v>
      </c>
      <c r="E34" s="165" t="s">
        <v>889</v>
      </c>
      <c r="F34" s="203" t="s">
        <v>890</v>
      </c>
      <c r="G34" s="203" t="s">
        <v>891</v>
      </c>
      <c r="H34" s="168" t="str">
        <f aca="false">HYPERLINK("#'📎 Evidence Register'!C86","ER-081  →  Row 86")</f>
        <v>ER-081  →  Row 86</v>
      </c>
      <c r="I34" s="204" t="s">
        <v>495</v>
      </c>
      <c r="J34" s="170" t="n">
        <f aca="false">IF(I34="","",IF(LEFT(I34,2)="L1",1,IF(LEFT(I34,2)="L2",2,IF(LEFT(I34,2)="L3",3,IF(LEFT(I34,2)="L4",4,IF(LEFT(I34,2)="L5",5,""))))))</f>
        <v>1</v>
      </c>
      <c r="K34" s="205" t="s">
        <v>496</v>
      </c>
      <c r="L34" s="172" t="n">
        <f aca="false">IF(K34="","",IF(LEFT(K34,2)="L1",1,IF(LEFT(K34,2)="L2",2,IF(LEFT(K34,2)="L3",3,IF(LEFT(K34,2)="L4",4,IF(LEFT(K34,2)="L5",5,""))))))</f>
        <v>3</v>
      </c>
      <c r="M34" s="173" t="n">
        <f aca="false">IFERROR(IF(OR(J34="",L34=""),"—",L34-J34),"—")</f>
        <v>2</v>
      </c>
      <c r="N34" s="174" t="str">
        <f aca="false">IFERROR(IF(I34="","⏳ Select a maturity rating to see the level description for this specific control.",INDEX(_DV!$1:$5,MATCH(LEFT(I34,2),{"L1","L2","L3","L4","L5"},0),81)),"⏳ Select a maturity rating.")</f>
        <v>L1 — Initial: Application Whitelisting / Allowlisting is absent or ad hoc. No formal process, no documentation, no named owner. Controls exist only reactively after incidents.</v>
      </c>
      <c r="O34" s="108" t="str">
        <f aca="false">IF(S34="Exclude","⬛ Not Applicable",IF(T34="⬛ Auto-Excluded","⬛ Not Applicable",IF(I34="","✅ Applicable",IF(J34=1,"🔴 Critical",IF(J34=2,"🟠 Developing",IF(J34=3,"🟡 Defined",IF(J34&gt;=4,"🟢 Managed","✅ Applicable")))))))</f>
        <v>🔴 Critical</v>
      </c>
      <c r="P34" s="164" t="str">
        <f aca="false">IF(OR(J34="",L34=""),"⏳ Complete rating and target to generate recommendation.",IF(L34&lt;=J34,"✅ Target met — sustain evidence and raise target when programme allows.",IFERROR(INDEX(_REC!$B:$B,MATCH(A34&amp;"|"&amp;IF(L34="","",LEFT(TEXT(L34,"0"),1)),_REC!$A:$A,0)),"Recommendation pending — check _REC data.")))</f>
        <v>Standardise Application Whitelisting / Allowlisting: formalise all documentation, apply the control consistently across all in-scope assets, close remaining coverage gaps, and ensure evidence is collected routinely. Exceptions must be formally managed with named owners and defined expiry dates.</v>
      </c>
      <c r="Q34" s="175" t="s">
        <v>892</v>
      </c>
      <c r="R34" s="206" t="s">
        <v>249</v>
      </c>
      <c r="S34" s="177"/>
      <c r="T34" s="178" t="str">
        <f aca="false">IF(S34="Exclude","⬛ Excluded",IF(S34="Apply","✅ Applicable","✅ Applicable"))</f>
        <v>✅ Applicable</v>
      </c>
    </row>
    <row r="35" customFormat="false" ht="69.75" hidden="false" customHeight="true" outlineLevel="0" collapsed="false">
      <c r="A35" s="104" t="n">
        <v>82</v>
      </c>
      <c r="B35" s="179" t="s">
        <v>864</v>
      </c>
      <c r="C35" s="180" t="s">
        <v>341</v>
      </c>
      <c r="D35" s="180" t="s">
        <v>893</v>
      </c>
      <c r="E35" s="180" t="s">
        <v>894</v>
      </c>
      <c r="F35" s="207" t="s">
        <v>895</v>
      </c>
      <c r="G35" s="207" t="s">
        <v>896</v>
      </c>
      <c r="H35" s="183" t="str">
        <f aca="false">HYPERLINK("#'📎 Evidence Register'!C87","ER-082  →  Row 87")</f>
        <v>ER-082  →  Row 87</v>
      </c>
      <c r="I35" s="204" t="s">
        <v>495</v>
      </c>
      <c r="J35" s="184" t="n">
        <f aca="false">IF(I35="","",IF(LEFT(I35,2)="L1",1,IF(LEFT(I35,2)="L2",2,IF(LEFT(I35,2)="L3",3,IF(LEFT(I35,2)="L4",4,IF(LEFT(I35,2)="L5",5,""))))))</f>
        <v>1</v>
      </c>
      <c r="K35" s="208" t="s">
        <v>545</v>
      </c>
      <c r="L35" s="186" t="n">
        <f aca="false">IF(K35="","",IF(LEFT(K35,2)="L1",1,IF(LEFT(K35,2)="L2",2,IF(LEFT(K35,2)="L3",3,IF(LEFT(K35,2)="L4",4,IF(LEFT(K35,2)="L5",5,""))))))</f>
        <v>4</v>
      </c>
      <c r="M35" s="187" t="n">
        <f aca="false">IFERROR(IF(OR(J35="",L35=""),"—",L35-J35),"—")</f>
        <v>3</v>
      </c>
      <c r="N35" s="188" t="str">
        <f aca="false">IFERROR(IF(I35="","⏳ Select a maturity rating to see the level description for this specific control.",INDEX(_DV!$1:$5,MATCH(LEFT(I35,2),{"L1","L2","L3","L4","L5"},0),82)),"⏳ Select a maturity rating.")</f>
        <v>L1 — Initial: Removable Media Controls is absent or ad hoc. No formal process, no documentation, no named owner. Controls exist only reactively after incidents.</v>
      </c>
      <c r="O35" s="113" t="str">
        <f aca="false">IF(S35="Exclude","⬛ Not Applicable",IF(T35="⬛ Auto-Excluded","⬛ Not Applicable",IF(I35="","✅ Applicable",IF(J35=1,"🔴 Critical",IF(J35=2,"🟠 Developing",IF(J35=3,"🟡 Defined",IF(J35&gt;=4,"🟢 Managed","✅ Applicable")))))))</f>
        <v>🔴 Critical</v>
      </c>
      <c r="P35" s="179" t="str">
        <f aca="false">IF(OR(J35="",L35=""),"⏳ Complete rating and target to generate recommendation.",IF(L35&lt;=J35,"✅ Target met — sustain evidence and raise target when programme allows.",IFERROR(INDEX(_REC!$B:$B,MATCH(A35&amp;"|"&amp;IF(L35="","",LEFT(TEXT(L35,"0"),1)),_REC!$A:$A,0)),"Recommendation pending — check _REC data.")))</f>
        <v>Instrument Removable Media Controls with measurable KPIs: define performance thresholds (coverage %, SLA adherence, exception count), establish automated telemetry where possible, and integrate reporting into quarterly governance cycles. Evidence must be system-generated and reviewed at each governance cycle.</v>
      </c>
      <c r="Q35" s="189" t="s">
        <v>897</v>
      </c>
      <c r="R35" s="209" t="s">
        <v>249</v>
      </c>
      <c r="S35" s="177"/>
      <c r="T35" s="191" t="str">
        <f aca="false">IF(S35="Exclude","⬛ Excluded",IF(S35="Apply","✅ Applicable","✅ Applicable"))</f>
        <v>✅ Applicable</v>
      </c>
    </row>
    <row r="36" customFormat="false" ht="69.75" hidden="false" customHeight="true" outlineLevel="0" collapsed="false">
      <c r="A36" s="104" t="n">
        <v>83</v>
      </c>
      <c r="B36" s="164" t="s">
        <v>864</v>
      </c>
      <c r="C36" s="165" t="s">
        <v>342</v>
      </c>
      <c r="D36" s="165" t="s">
        <v>898</v>
      </c>
      <c r="E36" s="165" t="s">
        <v>899</v>
      </c>
      <c r="F36" s="203" t="s">
        <v>900</v>
      </c>
      <c r="G36" s="203" t="s">
        <v>901</v>
      </c>
      <c r="H36" s="168" t="str">
        <f aca="false">HYPERLINK("#'📎 Evidence Register'!C88","ER-083  →  Row 88")</f>
        <v>ER-083  →  Row 88</v>
      </c>
      <c r="I36" s="204" t="s">
        <v>508</v>
      </c>
      <c r="J36" s="170" t="n">
        <f aca="false">IF(I36="","",IF(LEFT(I36,2)="L1",1,IF(LEFT(I36,2)="L2",2,IF(LEFT(I36,2)="L3",3,IF(LEFT(I36,2)="L4",4,IF(LEFT(I36,2)="L5",5,""))))))</f>
        <v>2</v>
      </c>
      <c r="K36" s="205" t="s">
        <v>496</v>
      </c>
      <c r="L36" s="172" t="n">
        <f aca="false">IF(K36="","",IF(LEFT(K36,2)="L1",1,IF(LEFT(K36,2)="L2",2,IF(LEFT(K36,2)="L3",3,IF(LEFT(K36,2)="L4",4,IF(LEFT(K36,2)="L5",5,""))))))</f>
        <v>3</v>
      </c>
      <c r="M36" s="173" t="n">
        <f aca="false">IFERROR(IF(OR(J36="",L36=""),"—",L36-J36),"—")</f>
        <v>1</v>
      </c>
      <c r="N36" s="174" t="str">
        <f aca="false">IFERROR(IF(I36="","⏳ Select a maturity rating to see the level description for this specific control.",INDEX(_DV!$1:$5,MATCH(LEFT(I36,2),{"L1","L2","L3","L4","L5"},0),83)),"⏳ Select a maturity rating.")</f>
        <v>L2 — Developing: Mobile Device Management (MDM) has basic controls in place but coverage is incomplete and execution is manual. Not consistently applied across all in-scope assets. Formal governance is absent.</v>
      </c>
      <c r="O36" s="108" t="str">
        <f aca="false">IF(S36="Exclude","⬛ Not Applicable",IF(T36="⬛ Auto-Excluded","⬛ Not Applicable",IF(I36="","✅ Applicable",IF(J36=1,"🔴 Critical",IF(J36=2,"🟠 Developing",IF(J36=3,"🟡 Defined",IF(J36&gt;=4,"🟢 Managed","✅ Applicable")))))))</f>
        <v>🟠 Developing</v>
      </c>
      <c r="P36" s="164" t="str">
        <f aca="false">IF(OR(J36="",L36=""),"⏳ Complete rating and target to generate recommendation.",IF(L36&lt;=J36,"✅ Target met — sustain evidence and raise target when programme allows.",IFERROR(INDEX(_REC!$B:$B,MATCH(A36&amp;"|"&amp;IF(L36="","",LEFT(TEXT(L36,"0"),1)),_REC!$A:$A,0)),"Recommendation pending — check _REC data.")))</f>
        <v>Standardise Mobile Device Management (MDM): formalise all documentation, apply the control consistently across all in-scope assets, close remaining coverage gaps, and ensure evidence is collected routinely. Exceptions must be formally managed with named owners and defined expiry dates.</v>
      </c>
      <c r="Q36" s="175" t="s">
        <v>902</v>
      </c>
      <c r="R36" s="206" t="s">
        <v>249</v>
      </c>
      <c r="S36" s="177"/>
      <c r="T36" s="178" t="str">
        <f aca="false">IF(S36="Exclude","⬛ Excluded",IF(S36="Apply","✅ Applicable","✅ Applicable"))</f>
        <v>✅ Applicable</v>
      </c>
    </row>
    <row r="37" customFormat="false" ht="69.75" hidden="false" customHeight="true" outlineLevel="0" collapsed="false">
      <c r="A37" s="104" t="n">
        <v>84</v>
      </c>
      <c r="B37" s="179" t="s">
        <v>903</v>
      </c>
      <c r="C37" s="180" t="s">
        <v>343</v>
      </c>
      <c r="D37" s="180" t="s">
        <v>904</v>
      </c>
      <c r="E37" s="180" t="s">
        <v>905</v>
      </c>
      <c r="F37" s="207" t="s">
        <v>906</v>
      </c>
      <c r="G37" s="207" t="s">
        <v>907</v>
      </c>
      <c r="H37" s="183" t="str">
        <f aca="false">HYPERLINK("#'📎 Evidence Register'!C89","ER-084  →  Row 89")</f>
        <v>ER-084  →  Row 89</v>
      </c>
      <c r="I37" s="204" t="s">
        <v>495</v>
      </c>
      <c r="J37" s="184" t="n">
        <f aca="false">IF(I37="","",IF(LEFT(I37,2)="L1",1,IF(LEFT(I37,2)="L2",2,IF(LEFT(I37,2)="L3",3,IF(LEFT(I37,2)="L4",4,IF(LEFT(I37,2)="L5",5,""))))))</f>
        <v>1</v>
      </c>
      <c r="K37" s="208" t="s">
        <v>545</v>
      </c>
      <c r="L37" s="186" t="n">
        <f aca="false">IF(K37="","",IF(LEFT(K37,2)="L1",1,IF(LEFT(K37,2)="L2",2,IF(LEFT(K37,2)="L3",3,IF(LEFT(K37,2)="L4",4,IF(LEFT(K37,2)="L5",5,""))))))</f>
        <v>4</v>
      </c>
      <c r="M37" s="187" t="n">
        <f aca="false">IFERROR(IF(OR(J37="",L37=""),"—",L37-J37),"—")</f>
        <v>3</v>
      </c>
      <c r="N37" s="188" t="str">
        <f aca="false">IFERROR(IF(I37="","⏳ Select a maturity rating to see the level description for this specific control.",INDEX(_DV!$1:$5,MATCH(LEFT(I37,2),{"L1","L2","L3","L4","L5"},0),84)),"⏳ Select a maturity rating.")</f>
        <v>L1 — Initial: Network Segmentation — Zone Architecture is absent or ad hoc. No formal process, no documentation, no named owner. Controls exist only reactively after incidents.</v>
      </c>
      <c r="O37" s="113" t="str">
        <f aca="false">IF(S37="Exclude","⬛ Not Applicable",IF(T37="⬛ Auto-Excluded","⬛ Not Applicable",IF(I37="","✅ Applicable",IF(J37=1,"🔴 Critical",IF(J37=2,"🟠 Developing",IF(J37=3,"🟡 Defined",IF(J37&gt;=4,"🟢 Managed","✅ Applicable")))))))</f>
        <v>🔴 Critical</v>
      </c>
      <c r="P37" s="179" t="str">
        <f aca="false">IF(OR(J37="",L37=""),"⏳ Complete rating and target to generate recommendation.",IF(L37&lt;=J37,"✅ Target met — sustain evidence and raise target when programme allows.",IFERROR(INDEX(_REC!$B:$B,MATCH(A37&amp;"|"&amp;IF(L37="","",LEFT(TEXT(L37,"0"),1)),_REC!$A:$A,0)),"Recommendation pending — check _REC data.")))</f>
        <v>Instrument Network Segmentation — Zone Architecture with measurable KPIs: define performance thresholds (coverage %, SLA adherence, exception count), establish automated telemetry where possible, and integrate reporting into quarterly governance cycles. Evidence must be system-generated and reviewed at each governance cycle.</v>
      </c>
      <c r="Q37" s="189" t="s">
        <v>908</v>
      </c>
      <c r="R37" s="209" t="s">
        <v>249</v>
      </c>
      <c r="S37" s="177"/>
      <c r="T37" s="191" t="str">
        <f aca="false">IF(S37="Exclude","⬛ Excluded",IF(S37="Apply","✅ Applicable","✅ Applicable"))</f>
        <v>✅ Applicable</v>
      </c>
    </row>
    <row r="38" customFormat="false" ht="69.75" hidden="false" customHeight="true" outlineLevel="0" collapsed="false">
      <c r="A38" s="104" t="n">
        <v>85</v>
      </c>
      <c r="B38" s="164" t="s">
        <v>903</v>
      </c>
      <c r="C38" s="165" t="s">
        <v>344</v>
      </c>
      <c r="D38" s="165" t="s">
        <v>909</v>
      </c>
      <c r="E38" s="165" t="s">
        <v>910</v>
      </c>
      <c r="F38" s="203" t="s">
        <v>911</v>
      </c>
      <c r="G38" s="203" t="s">
        <v>912</v>
      </c>
      <c r="H38" s="168" t="str">
        <f aca="false">HYPERLINK("#'📎 Evidence Register'!C90","ER-085  →  Row 90")</f>
        <v>ER-085  →  Row 90</v>
      </c>
      <c r="I38" s="204" t="s">
        <v>495</v>
      </c>
      <c r="J38" s="170" t="n">
        <f aca="false">IF(I38="","",IF(LEFT(I38,2)="L1",1,IF(LEFT(I38,2)="L2",2,IF(LEFT(I38,2)="L3",3,IF(LEFT(I38,2)="L4",4,IF(LEFT(I38,2)="L5",5,""))))))</f>
        <v>1</v>
      </c>
      <c r="K38" s="205" t="s">
        <v>496</v>
      </c>
      <c r="L38" s="172" t="n">
        <f aca="false">IF(K38="","",IF(LEFT(K38,2)="L1",1,IF(LEFT(K38,2)="L2",2,IF(LEFT(K38,2)="L3",3,IF(LEFT(K38,2)="L4",4,IF(LEFT(K38,2)="L5",5,""))))))</f>
        <v>3</v>
      </c>
      <c r="M38" s="173" t="n">
        <f aca="false">IFERROR(IF(OR(J38="",L38=""),"—",L38-J38),"—")</f>
        <v>2</v>
      </c>
      <c r="N38" s="174" t="str">
        <f aca="false">IFERROR(IF(I38="","⏳ Select a maturity rating to see the level description for this specific control.",INDEX(_DV!$1:$5,MATCH(LEFT(I38,2),{"L1","L2","L3","L4","L5"},0),85)),"⏳ Select a maturity rating.")</f>
        <v>L1 — Initial: Network Microsegmentation (Cloud &amp; Data Centre) is absent or ad hoc. No formal process, no documentation, no named owner. Controls exist only reactively after incidents.</v>
      </c>
      <c r="O38" s="108" t="str">
        <f aca="false">IF(S38="Exclude","⬛ Not Applicable",IF(T38="⬛ Auto-Excluded","⬛ Not Applicable",IF(I38="","✅ Applicable",IF(J38=1,"🔴 Critical",IF(J38=2,"🟠 Developing",IF(J38=3,"🟡 Defined",IF(J38&gt;=4,"🟢 Managed","✅ Applicable")))))))</f>
        <v>🔴 Critical</v>
      </c>
      <c r="P38" s="164" t="str">
        <f aca="false">IF(OR(J38="",L38=""),"⏳ Complete rating and target to generate recommendation.",IF(L38&lt;=J38,"✅ Target met — sustain evidence and raise target when programme allows.",IFERROR(INDEX(_REC!$B:$B,MATCH(A38&amp;"|"&amp;IF(L38="","",LEFT(TEXT(L38,"0"),1)),_REC!$A:$A,0)),"Recommendation pending — check _REC data.")))</f>
        <v>Standardise Network Microsegmentation (Cloud &amp; Data Centre): formalise all documentation, apply the control consistently across all in-scope assets, close remaining coverage gaps, and ensure evidence is collected routinely. Exceptions must be formally managed with named owners and defined expiry dates.</v>
      </c>
      <c r="Q38" s="175" t="s">
        <v>913</v>
      </c>
      <c r="R38" s="206" t="s">
        <v>287</v>
      </c>
      <c r="S38" s="177"/>
      <c r="T38" s="178" t="str">
        <f aca="false">IF(S38="Exclude","⬛ Excluded",IF(S38="Apply","✅ Applicable","✅ Applicable"))</f>
        <v>✅ Applicable</v>
      </c>
    </row>
    <row r="39" customFormat="false" ht="69.75" hidden="false" customHeight="true" outlineLevel="0" collapsed="false">
      <c r="A39" s="104" t="n">
        <v>86</v>
      </c>
      <c r="B39" s="179" t="s">
        <v>903</v>
      </c>
      <c r="C39" s="180" t="s">
        <v>345</v>
      </c>
      <c r="D39" s="180" t="s">
        <v>914</v>
      </c>
      <c r="E39" s="180" t="s">
        <v>915</v>
      </c>
      <c r="F39" s="207" t="s">
        <v>916</v>
      </c>
      <c r="G39" s="207" t="s">
        <v>917</v>
      </c>
      <c r="H39" s="183" t="str">
        <f aca="false">HYPERLINK("#'📎 Evidence Register'!C91","ER-086  →  Row 91")</f>
        <v>ER-086  →  Row 91</v>
      </c>
      <c r="I39" s="204" t="s">
        <v>495</v>
      </c>
      <c r="J39" s="184" t="n">
        <f aca="false">IF(I39="","",IF(LEFT(I39,2)="L1",1,IF(LEFT(I39,2)="L2",2,IF(LEFT(I39,2)="L3",3,IF(LEFT(I39,2)="L4",4,IF(LEFT(I39,2)="L5",5,""))))))</f>
        <v>1</v>
      </c>
      <c r="K39" s="208" t="s">
        <v>545</v>
      </c>
      <c r="L39" s="186" t="n">
        <f aca="false">IF(K39="","",IF(LEFT(K39,2)="L1",1,IF(LEFT(K39,2)="L2",2,IF(LEFT(K39,2)="L3",3,IF(LEFT(K39,2)="L4",4,IF(LEFT(K39,2)="L5",5,""))))))</f>
        <v>4</v>
      </c>
      <c r="M39" s="187" t="n">
        <f aca="false">IFERROR(IF(OR(J39="",L39=""),"—",L39-J39),"—")</f>
        <v>3</v>
      </c>
      <c r="N39" s="188" t="str">
        <f aca="false">IFERROR(IF(I39="","⏳ Select a maturity rating to see the level description for this specific control.",INDEX(_DV!$1:$5,MATCH(LEFT(I39,2),{"L1","L2","L3","L4","L5"},0),86)),"⏳ Select a maturity rating.")</f>
        <v>L1 — Initial: CDE Network Segmentation Validation is absent or ad hoc. No formal process, no documentation, no named owner. Controls exist only reactively after incidents.</v>
      </c>
      <c r="O39" s="113" t="str">
        <f aca="false">IF(S39="Exclude","⬛ Not Applicable",IF(T39="⬛ Auto-Excluded","⬛ Not Applicable",IF(I39="","✅ Applicable",IF(J39=1,"🔴 Critical",IF(J39=2,"🟠 Developing",IF(J39=3,"🟡 Defined",IF(J39&gt;=4,"🟢 Managed","✅ Applicable")))))))</f>
        <v>🔴 Critical</v>
      </c>
      <c r="P39" s="179" t="str">
        <f aca="false">IF(OR(J39="",L39=""),"⏳ Complete rating and target to generate recommendation.",IF(L39&lt;=J39,"✅ Target met — sustain evidence and raise target when programme allows.",IFERROR(INDEX(_REC!$B:$B,MATCH(A39&amp;"|"&amp;IF(L39="","",LEFT(TEXT(L39,"0"),1)),_REC!$A:$A,0)),"Recommendation pending — check _REC data.")))</f>
        <v>Instrument CDE Network Segmentation Validation with measurable KPIs: define performance thresholds (coverage %, SLA adherence, exception count), establish automated telemetry where possible, and integrate reporting into quarterly governance cycles. Evidence must be system-generated and reviewed at each governance cycle.</v>
      </c>
      <c r="Q39" s="189" t="s">
        <v>918</v>
      </c>
      <c r="R39" s="209" t="s">
        <v>287</v>
      </c>
      <c r="S39" s="177"/>
      <c r="T39" s="191" t="str">
        <f aca="false">IF(S39="Exclude","⬛ Excluded",IF(S39="Apply","✅ Applicable",IF((('🔍 Scoping'!$E$9="No"))&gt;0,"⬛ Auto-Excluded","✅ Applicable")))</f>
        <v>✅ Applicable</v>
      </c>
    </row>
    <row r="40" customFormat="false" ht="69.75" hidden="false" customHeight="true" outlineLevel="0" collapsed="false">
      <c r="A40" s="104" t="n">
        <v>87</v>
      </c>
      <c r="B40" s="164" t="s">
        <v>903</v>
      </c>
      <c r="C40" s="165" t="s">
        <v>346</v>
      </c>
      <c r="D40" s="165" t="s">
        <v>919</v>
      </c>
      <c r="E40" s="165" t="s">
        <v>920</v>
      </c>
      <c r="F40" s="203" t="s">
        <v>921</v>
      </c>
      <c r="G40" s="203" t="s">
        <v>922</v>
      </c>
      <c r="H40" s="168" t="str">
        <f aca="false">HYPERLINK("#'📎 Evidence Register'!C92","ER-087  →  Row 92")</f>
        <v>ER-087  →  Row 92</v>
      </c>
      <c r="I40" s="204" t="s">
        <v>508</v>
      </c>
      <c r="J40" s="170" t="n">
        <f aca="false">IF(I40="","",IF(LEFT(I40,2)="L1",1,IF(LEFT(I40,2)="L2",2,IF(LEFT(I40,2)="L3",3,IF(LEFT(I40,2)="L4",4,IF(LEFT(I40,2)="L5",5,""))))))</f>
        <v>2</v>
      </c>
      <c r="K40" s="205" t="s">
        <v>545</v>
      </c>
      <c r="L40" s="172" t="n">
        <f aca="false">IF(K40="","",IF(LEFT(K40,2)="L1",1,IF(LEFT(K40,2)="L2",2,IF(LEFT(K40,2)="L3",3,IF(LEFT(K40,2)="L4",4,IF(LEFT(K40,2)="L5",5,""))))))</f>
        <v>4</v>
      </c>
      <c r="M40" s="173" t="n">
        <f aca="false">IFERROR(IF(OR(J40="",L40=""),"—",L40-J40),"—")</f>
        <v>2</v>
      </c>
      <c r="N40" s="174" t="str">
        <f aca="false">IFERROR(IF(I40="","⏳ Select a maturity rating to see the level description for this specific control.",INDEX(_DV!$1:$5,MATCH(LEFT(I40,2),{"L1","L2","L3","L4","L5"},0),87)),"⏳ Select a maturity rating.")</f>
        <v>L2 — Developing: NGFW &amp; Firewall Rule Management has basic controls in place but coverage is incomplete and execution is manual. Not consistently applied across all in-scope assets. Formal governance is absent.</v>
      </c>
      <c r="O40" s="108" t="str">
        <f aca="false">IF(S40="Exclude","⬛ Not Applicable",IF(T40="⬛ Auto-Excluded","⬛ Not Applicable",IF(I40="","✅ Applicable",IF(J40=1,"🔴 Critical",IF(J40=2,"🟠 Developing",IF(J40=3,"🟡 Defined",IF(J40&gt;=4,"🟢 Managed","✅ Applicable")))))))</f>
        <v>🟠 Developing</v>
      </c>
      <c r="P40" s="164" t="str">
        <f aca="false">IF(OR(J40="",L40=""),"⏳ Complete rating and target to generate recommendation.",IF(L40&lt;=J40,"✅ Target met — sustain evidence and raise target when programme allows.",IFERROR(INDEX(_REC!$B:$B,MATCH(A40&amp;"|"&amp;IF(L40="","",LEFT(TEXT(L40,"0"),1)),_REC!$A:$A,0)),"Recommendation pending — check _REC data.")))</f>
        <v>Instrument NGFW &amp; Firewall Rule Management with measurable KPIs: define performance thresholds (coverage %, SLA adherence, exception count), establish automated telemetry where possible, and integrate reporting into quarterly governance cycles. Evidence must be system-generated and reviewed at each governance cycle.</v>
      </c>
      <c r="Q40" s="175" t="s">
        <v>923</v>
      </c>
      <c r="R40" s="206" t="s">
        <v>249</v>
      </c>
      <c r="S40" s="177"/>
      <c r="T40" s="178" t="str">
        <f aca="false">IF(S40="Exclude","⬛ Excluded",IF(S40="Apply","✅ Applicable","✅ Applicable"))</f>
        <v>✅ Applicable</v>
      </c>
    </row>
    <row r="41" customFormat="false" ht="69.75" hidden="false" customHeight="true" outlineLevel="0" collapsed="false">
      <c r="A41" s="104" t="n">
        <v>88</v>
      </c>
      <c r="B41" s="179" t="s">
        <v>903</v>
      </c>
      <c r="C41" s="180" t="s">
        <v>347</v>
      </c>
      <c r="D41" s="180" t="s">
        <v>924</v>
      </c>
      <c r="E41" s="180" t="s">
        <v>925</v>
      </c>
      <c r="F41" s="207" t="s">
        <v>926</v>
      </c>
      <c r="G41" s="207" t="s">
        <v>927</v>
      </c>
      <c r="H41" s="183" t="str">
        <f aca="false">HYPERLINK("#'📎 Evidence Register'!C93","ER-088  →  Row 93")</f>
        <v>ER-088  →  Row 93</v>
      </c>
      <c r="I41" s="204" t="s">
        <v>508</v>
      </c>
      <c r="J41" s="184" t="n">
        <f aca="false">IF(I41="","",IF(LEFT(I41,2)="L1",1,IF(LEFT(I41,2)="L2",2,IF(LEFT(I41,2)="L3",3,IF(LEFT(I41,2)="L4",4,IF(LEFT(I41,2)="L5",5,""))))))</f>
        <v>2</v>
      </c>
      <c r="K41" s="208" t="s">
        <v>545</v>
      </c>
      <c r="L41" s="186" t="n">
        <f aca="false">IF(K41="","",IF(LEFT(K41,2)="L1",1,IF(LEFT(K41,2)="L2",2,IF(LEFT(K41,2)="L3",3,IF(LEFT(K41,2)="L4",4,IF(LEFT(K41,2)="L5",5,""))))))</f>
        <v>4</v>
      </c>
      <c r="M41" s="187" t="n">
        <f aca="false">IFERROR(IF(OR(J41="",L41=""),"—",L41-J41),"—")</f>
        <v>2</v>
      </c>
      <c r="N41" s="188" t="str">
        <f aca="false">IFERROR(IF(I41="","⏳ Select a maturity rating to see the level description for this specific control.",INDEX(_DV!$1:$5,MATCH(LEFT(I41,2),{"L1","L2","L3","L4","L5"},0),88)),"⏳ Select a maturity rating.")</f>
        <v>L2 — Developing: Web Application Firewall (WAF) has basic controls in place but coverage is incomplete and execution is manual. Not consistently applied across all in-scope assets. Formal governance is absent.</v>
      </c>
      <c r="O41" s="113" t="str">
        <f aca="false">IF(S41="Exclude","⬛ Not Applicable",IF(T41="⬛ Auto-Excluded","⬛ Not Applicable",IF(I41="","✅ Applicable",IF(J41=1,"🔴 Critical",IF(J41=2,"🟠 Developing",IF(J41=3,"🟡 Defined",IF(J41&gt;=4,"🟢 Managed","✅ Applicable")))))))</f>
        <v>🟠 Developing</v>
      </c>
      <c r="P41" s="179" t="str">
        <f aca="false">IF(OR(J41="",L41=""),"⏳ Complete rating and target to generate recommendation.",IF(L41&lt;=J41,"✅ Target met — sustain evidence and raise target when programme allows.",IFERROR(INDEX(_REC!$B:$B,MATCH(A41&amp;"|"&amp;IF(L41="","",LEFT(TEXT(L41,"0"),1)),_REC!$A:$A,0)),"Recommendation pending — check _REC data.")))</f>
        <v>Instrument Web Application Firewall (WAF) with measurable KPIs: define performance thresholds (coverage %, SLA adherence, exception count), establish automated telemetry where possible, and integrate reporting into quarterly governance cycles. Evidence must be system-generated and reviewed at each governance cycle.</v>
      </c>
      <c r="Q41" s="189" t="s">
        <v>928</v>
      </c>
      <c r="R41" s="209" t="s">
        <v>287</v>
      </c>
      <c r="S41" s="177"/>
      <c r="T41" s="191" t="str">
        <f aca="false">IF(S41="Exclude","⬛ Excluded",IF(S41="Apply","✅ Applicable","✅ Applicable"))</f>
        <v>✅ Applicable</v>
      </c>
    </row>
    <row r="42" customFormat="false" ht="69.75" hidden="false" customHeight="true" outlineLevel="0" collapsed="false">
      <c r="A42" s="104" t="n">
        <v>89</v>
      </c>
      <c r="B42" s="164" t="s">
        <v>903</v>
      </c>
      <c r="C42" s="165" t="s">
        <v>348</v>
      </c>
      <c r="D42" s="165" t="s">
        <v>929</v>
      </c>
      <c r="E42" s="165" t="s">
        <v>930</v>
      </c>
      <c r="F42" s="203" t="s">
        <v>931</v>
      </c>
      <c r="G42" s="203" t="s">
        <v>932</v>
      </c>
      <c r="H42" s="168" t="str">
        <f aca="false">HYPERLINK("#'📎 Evidence Register'!C94","ER-089  →  Row 94")</f>
        <v>ER-089  →  Row 94</v>
      </c>
      <c r="I42" s="204" t="s">
        <v>495</v>
      </c>
      <c r="J42" s="170" t="n">
        <f aca="false">IF(I42="","",IF(LEFT(I42,2)="L1",1,IF(LEFT(I42,2)="L2",2,IF(LEFT(I42,2)="L3",3,IF(LEFT(I42,2)="L4",4,IF(LEFT(I42,2)="L5",5,""))))))</f>
        <v>1</v>
      </c>
      <c r="K42" s="205" t="s">
        <v>496</v>
      </c>
      <c r="L42" s="172" t="n">
        <f aca="false">IF(K42="","",IF(LEFT(K42,2)="L1",1,IF(LEFT(K42,2)="L2",2,IF(LEFT(K42,2)="L3",3,IF(LEFT(K42,2)="L4",4,IF(LEFT(K42,2)="L5",5,""))))))</f>
        <v>3</v>
      </c>
      <c r="M42" s="173" t="n">
        <f aca="false">IFERROR(IF(OR(J42="",L42=""),"—",L42-J42),"—")</f>
        <v>2</v>
      </c>
      <c r="N42" s="174" t="str">
        <f aca="false">IFERROR(IF(I42="","⏳ Select a maturity rating to see the level description for this specific control.",INDEX(_DV!$1:$5,MATCH(LEFT(I42,2),{"L1","L2","L3","L4","L5"},0),89)),"⏳ Select a maturity rating.")</f>
        <v>L1 — Initial: Zero Trust Network Access (ZTNA) is absent or ad hoc. No formal process, no documentation, no named owner. Controls exist only reactively after incidents.</v>
      </c>
      <c r="O42" s="108" t="str">
        <f aca="false">IF(S42="Exclude","⬛ Not Applicable",IF(T42="⬛ Auto-Excluded","⬛ Not Applicable",IF(I42="","✅ Applicable",IF(J42=1,"🔴 Critical",IF(J42=2,"🟠 Developing",IF(J42=3,"🟡 Defined",IF(J42&gt;=4,"🟢 Managed","✅ Applicable")))))))</f>
        <v>🔴 Critical</v>
      </c>
      <c r="P42" s="164" t="str">
        <f aca="false">IF(OR(J42="",L42=""),"⏳ Complete rating and target to generate recommendation.",IF(L42&lt;=J42,"✅ Target met — sustain evidence and raise target when programme allows.",IFERROR(INDEX(_REC!$B:$B,MATCH(A42&amp;"|"&amp;IF(L42="","",LEFT(TEXT(L42,"0"),1)),_REC!$A:$A,0)),"Recommendation pending — check _REC data.")))</f>
        <v>Standardise Zero Trust Network Access (ZTNA): formalise all documentation, apply the control consistently across all in-scope assets, close remaining coverage gaps, and ensure evidence is collected routinely. Exceptions must be formally managed with named owners and defined expiry dates.</v>
      </c>
      <c r="Q42" s="175" t="s">
        <v>805</v>
      </c>
      <c r="R42" s="206" t="s">
        <v>249</v>
      </c>
      <c r="S42" s="177"/>
      <c r="T42" s="178" t="str">
        <f aca="false">IF(S42="Exclude","⬛ Excluded",IF(S42="Apply","✅ Applicable","✅ Applicable"))</f>
        <v>✅ Applicable</v>
      </c>
    </row>
    <row r="43" customFormat="false" ht="69.75" hidden="false" customHeight="true" outlineLevel="0" collapsed="false">
      <c r="A43" s="104" t="n">
        <v>90</v>
      </c>
      <c r="B43" s="179" t="s">
        <v>903</v>
      </c>
      <c r="C43" s="180" t="s">
        <v>349</v>
      </c>
      <c r="D43" s="180" t="s">
        <v>933</v>
      </c>
      <c r="E43" s="180" t="s">
        <v>934</v>
      </c>
      <c r="F43" s="207" t="s">
        <v>935</v>
      </c>
      <c r="G43" s="207" t="s">
        <v>566</v>
      </c>
      <c r="H43" s="183" t="str">
        <f aca="false">HYPERLINK("#'📎 Evidence Register'!C95","ER-090  →  Row 95")</f>
        <v>ER-090  →  Row 95</v>
      </c>
      <c r="I43" s="204" t="s">
        <v>495</v>
      </c>
      <c r="J43" s="184" t="n">
        <f aca="false">IF(I43="","",IF(LEFT(I43,2)="L1",1,IF(LEFT(I43,2)="L2",2,IF(LEFT(I43,2)="L3",3,IF(LEFT(I43,2)="L4",4,IF(LEFT(I43,2)="L5",5,""))))))</f>
        <v>1</v>
      </c>
      <c r="K43" s="208" t="s">
        <v>496</v>
      </c>
      <c r="L43" s="186" t="n">
        <f aca="false">IF(K43="","",IF(LEFT(K43,2)="L1",1,IF(LEFT(K43,2)="L2",2,IF(LEFT(K43,2)="L3",3,IF(LEFT(K43,2)="L4",4,IF(LEFT(K43,2)="L5",5,""))))))</f>
        <v>3</v>
      </c>
      <c r="M43" s="187" t="n">
        <f aca="false">IFERROR(IF(OR(J43="",L43=""),"—",L43-J43),"—")</f>
        <v>2</v>
      </c>
      <c r="N43" s="188" t="str">
        <f aca="false">IFERROR(IF(I43="","⏳ Select a maturity rating to see the level description for this specific control.",INDEX(_DV!$1:$5,MATCH(LEFT(I43,2),{"L1","L2","L3","L4","L5"},0),90)),"⏳ Select a maturity rating.")</f>
        <v>L1 — Initial: SASE Architecture is absent or ad hoc. No formal process, no documentation, no named owner. Controls exist only reactively after incidents.</v>
      </c>
      <c r="O43" s="113" t="str">
        <f aca="false">IF(S43="Exclude","⬛ Not Applicable",IF(T43="⬛ Auto-Excluded","⬛ Not Applicable",IF(I43="","✅ Applicable",IF(J43=1,"🔴 Critical",IF(J43=2,"🟠 Developing",IF(J43=3,"🟡 Defined",IF(J43&gt;=4,"🟢 Managed","✅ Applicable")))))))</f>
        <v>🔴 Critical</v>
      </c>
      <c r="P43" s="179" t="str">
        <f aca="false">IF(OR(J43="",L43=""),"⏳ Complete rating and target to generate recommendation.",IF(L43&lt;=J43,"✅ Target met — sustain evidence and raise target when programme allows.",IFERROR(INDEX(_REC!$B:$B,MATCH(A43&amp;"|"&amp;IF(L43="","",LEFT(TEXT(L43,"0"),1)),_REC!$A:$A,0)),"Recommendation pending — check _REC data.")))</f>
        <v>Standardise SASE Architecture: formalise all documentation, apply the control consistently across all in-scope assets, close remaining coverage gaps, and ensure evidence is collected routinely. Exceptions must be formally managed with named owners and defined expiry dates.</v>
      </c>
      <c r="Q43" s="189" t="s">
        <v>936</v>
      </c>
      <c r="R43" s="209" t="s">
        <v>249</v>
      </c>
      <c r="S43" s="177"/>
      <c r="T43" s="191" t="str">
        <f aca="false">IF(S43="Exclude","⬛ Excluded",IF(S43="Apply","✅ Applicable","✅ Applicable"))</f>
        <v>✅ Applicable</v>
      </c>
    </row>
    <row r="44" customFormat="false" ht="69.75" hidden="false" customHeight="true" outlineLevel="0" collapsed="false">
      <c r="A44" s="104" t="n">
        <v>91</v>
      </c>
      <c r="B44" s="164" t="s">
        <v>903</v>
      </c>
      <c r="C44" s="165" t="s">
        <v>350</v>
      </c>
      <c r="D44" s="165" t="s">
        <v>937</v>
      </c>
      <c r="E44" s="165" t="s">
        <v>938</v>
      </c>
      <c r="F44" s="203" t="s">
        <v>939</v>
      </c>
      <c r="G44" s="203" t="s">
        <v>940</v>
      </c>
      <c r="H44" s="168" t="str">
        <f aca="false">HYPERLINK("#'📎 Evidence Register'!C96","ER-091  →  Row 96")</f>
        <v>ER-091  →  Row 96</v>
      </c>
      <c r="I44" s="204" t="s">
        <v>495</v>
      </c>
      <c r="J44" s="170" t="n">
        <f aca="false">IF(I44="","",IF(LEFT(I44,2)="L1",1,IF(LEFT(I44,2)="L2",2,IF(LEFT(I44,2)="L3",3,IF(LEFT(I44,2)="L4",4,IF(LEFT(I44,2)="L5",5,""))))))</f>
        <v>1</v>
      </c>
      <c r="K44" s="205" t="s">
        <v>496</v>
      </c>
      <c r="L44" s="172" t="n">
        <f aca="false">IF(K44="","",IF(LEFT(K44,2)="L1",1,IF(LEFT(K44,2)="L2",2,IF(LEFT(K44,2)="L3",3,IF(LEFT(K44,2)="L4",4,IF(LEFT(K44,2)="L5",5,""))))))</f>
        <v>3</v>
      </c>
      <c r="M44" s="173" t="n">
        <f aca="false">IFERROR(IF(OR(J44="",L44=""),"—",L44-J44),"—")</f>
        <v>2</v>
      </c>
      <c r="N44" s="174" t="str">
        <f aca="false">IFERROR(IF(I44="","⏳ Select a maturity rating to see the level description for this specific control.",INDEX(_DV!$1:$5,MATCH(LEFT(I44,2),{"L1","L2","L3","L4","L5"},0),91)),"⏳ Select a maturity rating.")</f>
        <v>L1 — Initial: Protective DNS &amp; DNS Security is absent or ad hoc. No formal process, no documentation, no named owner. Controls exist only reactively after incidents.</v>
      </c>
      <c r="O44" s="108" t="str">
        <f aca="false">IF(S44="Exclude","⬛ Not Applicable",IF(T44="⬛ Auto-Excluded","⬛ Not Applicable",IF(I44="","✅ Applicable",IF(J44=1,"🔴 Critical",IF(J44=2,"🟠 Developing",IF(J44=3,"🟡 Defined",IF(J44&gt;=4,"🟢 Managed","✅ Applicable")))))))</f>
        <v>🔴 Critical</v>
      </c>
      <c r="P44" s="164" t="str">
        <f aca="false">IF(OR(J44="",L44=""),"⏳ Complete rating and target to generate recommendation.",IF(L44&lt;=J44,"✅ Target met — sustain evidence and raise target when programme allows.",IFERROR(INDEX(_REC!$B:$B,MATCH(A44&amp;"|"&amp;IF(L44="","",LEFT(TEXT(L44,"0"),1)),_REC!$A:$A,0)),"Recommendation pending — check _REC data.")))</f>
        <v>Standardise Protective DNS &amp; DNS Security: formalise all documentation, apply the control consistently across all in-scope assets, close remaining coverage gaps, and ensure evidence is collected routinely. Exceptions must be formally managed with named owners and defined expiry dates.</v>
      </c>
      <c r="Q44" s="175" t="s">
        <v>941</v>
      </c>
      <c r="R44" s="206" t="s">
        <v>249</v>
      </c>
      <c r="S44" s="177"/>
      <c r="T44" s="178" t="str">
        <f aca="false">IF(S44="Exclude","⬛ Excluded",IF(S44="Apply","✅ Applicable","✅ Applicable"))</f>
        <v>✅ Applicable</v>
      </c>
    </row>
    <row r="45" customFormat="false" ht="69.75" hidden="false" customHeight="true" outlineLevel="0" collapsed="false">
      <c r="A45" s="104" t="n">
        <v>92</v>
      </c>
      <c r="B45" s="179" t="s">
        <v>903</v>
      </c>
      <c r="C45" s="180" t="s">
        <v>351</v>
      </c>
      <c r="D45" s="180" t="s">
        <v>942</v>
      </c>
      <c r="E45" s="180" t="s">
        <v>943</v>
      </c>
      <c r="F45" s="207" t="s">
        <v>944</v>
      </c>
      <c r="G45" s="207" t="s">
        <v>945</v>
      </c>
      <c r="H45" s="183" t="str">
        <f aca="false">HYPERLINK("#'📎 Evidence Register'!C97","ER-092  →  Row 97")</f>
        <v>ER-092  →  Row 97</v>
      </c>
      <c r="I45" s="204" t="s">
        <v>495</v>
      </c>
      <c r="J45" s="184" t="n">
        <f aca="false">IF(I45="","",IF(LEFT(I45,2)="L1",1,IF(LEFT(I45,2)="L2",2,IF(LEFT(I45,2)="L3",3,IF(LEFT(I45,2)="L4",4,IF(LEFT(I45,2)="L5",5,""))))))</f>
        <v>1</v>
      </c>
      <c r="K45" s="208" t="s">
        <v>496</v>
      </c>
      <c r="L45" s="186" t="n">
        <f aca="false">IF(K45="","",IF(LEFT(K45,2)="L1",1,IF(LEFT(K45,2)="L2",2,IF(LEFT(K45,2)="L3",3,IF(LEFT(K45,2)="L4",4,IF(LEFT(K45,2)="L5",5,""))))))</f>
        <v>3</v>
      </c>
      <c r="M45" s="187" t="n">
        <f aca="false">IFERROR(IF(OR(J45="",L45=""),"—",L45-J45),"—")</f>
        <v>2</v>
      </c>
      <c r="N45" s="188" t="str">
        <f aca="false">IFERROR(IF(I45="","⏳ Select a maturity rating to see the level description for this specific control.",INDEX(_DV!$1:$5,MATCH(LEFT(I45,2),{"L1","L2","L3","L4","L5"},0),92)),"⏳ Select a maturity rating.")</f>
        <v>L1 — Initial: Egress Filtering &amp; Allowlisting is absent or ad hoc. No formal process, no documentation, no named owner. Controls exist only reactively after incidents.</v>
      </c>
      <c r="O45" s="113" t="str">
        <f aca="false">IF(S45="Exclude","⬛ Not Applicable",IF(T45="⬛ Auto-Excluded","⬛ Not Applicable",IF(I45="","✅ Applicable",IF(J45=1,"🔴 Critical",IF(J45=2,"🟠 Developing",IF(J45=3,"🟡 Defined",IF(J45&gt;=4,"🟢 Managed","✅ Applicable")))))))</f>
        <v>🔴 Critical</v>
      </c>
      <c r="P45" s="179" t="str">
        <f aca="false">IF(OR(J45="",L45=""),"⏳ Complete rating and target to generate recommendation.",IF(L45&lt;=J45,"✅ Target met — sustain evidence and raise target when programme allows.",IFERROR(INDEX(_REC!$B:$B,MATCH(A45&amp;"|"&amp;IF(L45="","",LEFT(TEXT(L45,"0"),1)),_REC!$A:$A,0)),"Recommendation pending — check _REC data.")))</f>
        <v>Standardise Egress Filtering &amp; Allowlisting: formalise all documentation, apply the control consistently across all in-scope assets, close remaining coverage gaps, and ensure evidence is collected routinely. Exceptions must be formally managed with named owners and defined expiry dates.</v>
      </c>
      <c r="Q45" s="189" t="s">
        <v>946</v>
      </c>
      <c r="R45" s="209" t="s">
        <v>287</v>
      </c>
      <c r="S45" s="177"/>
      <c r="T45" s="191" t="str">
        <f aca="false">IF(S45="Exclude","⬛ Excluded",IF(S45="Apply","✅ Applicable","✅ Applicable"))</f>
        <v>✅ Applicable</v>
      </c>
    </row>
    <row r="46" customFormat="false" ht="69.75" hidden="false" customHeight="true" outlineLevel="0" collapsed="false">
      <c r="A46" s="104" t="n">
        <v>93</v>
      </c>
      <c r="B46" s="164" t="s">
        <v>903</v>
      </c>
      <c r="C46" s="165" t="s">
        <v>352</v>
      </c>
      <c r="D46" s="165" t="s">
        <v>947</v>
      </c>
      <c r="E46" s="165" t="s">
        <v>948</v>
      </c>
      <c r="F46" s="203" t="s">
        <v>949</v>
      </c>
      <c r="G46" s="203" t="s">
        <v>950</v>
      </c>
      <c r="H46" s="168" t="str">
        <f aca="false">HYPERLINK("#'📎 Evidence Register'!C98","ER-093  →  Row 98")</f>
        <v>ER-093  →  Row 98</v>
      </c>
      <c r="I46" s="204" t="s">
        <v>508</v>
      </c>
      <c r="J46" s="170" t="n">
        <f aca="false">IF(I46="","",IF(LEFT(I46,2)="L1",1,IF(LEFT(I46,2)="L2",2,IF(LEFT(I46,2)="L3",3,IF(LEFT(I46,2)="L4",4,IF(LEFT(I46,2)="L5",5,""))))))</f>
        <v>2</v>
      </c>
      <c r="K46" s="205" t="s">
        <v>545</v>
      </c>
      <c r="L46" s="172" t="n">
        <f aca="false">IF(K46="","",IF(LEFT(K46,2)="L1",1,IF(LEFT(K46,2)="L2",2,IF(LEFT(K46,2)="L3",3,IF(LEFT(K46,2)="L4",4,IF(LEFT(K46,2)="L5",5,""))))))</f>
        <v>4</v>
      </c>
      <c r="M46" s="173" t="n">
        <f aca="false">IFERROR(IF(OR(J46="",L46=""),"—",L46-J46),"—")</f>
        <v>2</v>
      </c>
      <c r="N46" s="174" t="str">
        <f aca="false">IFERROR(IF(I46="","⏳ Select a maturity rating to see the level description for this specific control.",INDEX(_DV!$1:$5,MATCH(LEFT(I46,2),{"L1","L2","L3","L4","L5"},0),93)),"⏳ Select a maturity rating.")</f>
        <v>L2 — Developing: Network Intrusion Prevention (IPS) has basic controls in place but coverage is incomplete and execution is manual. Not consistently applied across all in-scope assets. Formal governance is absent.</v>
      </c>
      <c r="O46" s="108" t="str">
        <f aca="false">IF(S46="Exclude","⬛ Not Applicable",IF(T46="⬛ Auto-Excluded","⬛ Not Applicable",IF(I46="","✅ Applicable",IF(J46=1,"🔴 Critical",IF(J46=2,"🟠 Developing",IF(J46=3,"🟡 Defined",IF(J46&gt;=4,"🟢 Managed","✅ Applicable")))))))</f>
        <v>🟠 Developing</v>
      </c>
      <c r="P46" s="164" t="str">
        <f aca="false">IF(OR(J46="",L46=""),"⏳ Complete rating and target to generate recommendation.",IF(L46&lt;=J46,"✅ Target met — sustain evidence and raise target when programme allows.",IFERROR(INDEX(_REC!$B:$B,MATCH(A46&amp;"|"&amp;IF(L46="","",LEFT(TEXT(L46,"0"),1)),_REC!$A:$A,0)),"Recommendation pending — check _REC data.")))</f>
        <v>Instrument Network Intrusion Prevention (IPS) with measurable KPIs: define performance thresholds (coverage %, SLA adherence, exception count), establish automated telemetry where possible, and integrate reporting into quarterly governance cycles. Evidence must be system-generated and reviewed at each governance cycle.</v>
      </c>
      <c r="Q46" s="175" t="s">
        <v>951</v>
      </c>
      <c r="R46" s="206" t="s">
        <v>249</v>
      </c>
      <c r="S46" s="177"/>
      <c r="T46" s="178" t="str">
        <f aca="false">IF(S46="Exclude","⬛ Excluded",IF(S46="Apply","✅ Applicable","✅ Applicable"))</f>
        <v>✅ Applicable</v>
      </c>
    </row>
    <row r="47" customFormat="false" ht="69.75" hidden="false" customHeight="true" outlineLevel="0" collapsed="false">
      <c r="A47" s="104" t="n">
        <v>94</v>
      </c>
      <c r="B47" s="179" t="s">
        <v>903</v>
      </c>
      <c r="C47" s="180" t="s">
        <v>353</v>
      </c>
      <c r="D47" s="180" t="s">
        <v>952</v>
      </c>
      <c r="E47" s="180" t="s">
        <v>953</v>
      </c>
      <c r="F47" s="207" t="s">
        <v>954</v>
      </c>
      <c r="G47" s="207" t="s">
        <v>955</v>
      </c>
      <c r="H47" s="183" t="str">
        <f aca="false">HYPERLINK("#'📎 Evidence Register'!C99","ER-094  →  Row 99")</f>
        <v>ER-094  →  Row 99</v>
      </c>
      <c r="I47" s="204" t="s">
        <v>495</v>
      </c>
      <c r="J47" s="184" t="n">
        <f aca="false">IF(I47="","",IF(LEFT(I47,2)="L1",1,IF(LEFT(I47,2)="L2",2,IF(LEFT(I47,2)="L3",3,IF(LEFT(I47,2)="L4",4,IF(LEFT(I47,2)="L5",5,""))))))</f>
        <v>1</v>
      </c>
      <c r="K47" s="208" t="s">
        <v>545</v>
      </c>
      <c r="L47" s="186" t="n">
        <f aca="false">IF(K47="","",IF(LEFT(K47,2)="L1",1,IF(LEFT(K47,2)="L2",2,IF(LEFT(K47,2)="L3",3,IF(LEFT(K47,2)="L4",4,IF(LEFT(K47,2)="L5",5,""))))))</f>
        <v>4</v>
      </c>
      <c r="M47" s="187" t="n">
        <f aca="false">IFERROR(IF(OR(J47="",L47=""),"—",L47-J47),"—")</f>
        <v>3</v>
      </c>
      <c r="N47" s="188" t="str">
        <f aca="false">IFERROR(IF(I47="","⏳ Select a maturity rating to see the level description for this specific control.",INDEX(_DV!$1:$5,MATCH(LEFT(I47,2),{"L1","L2","L3","L4","L5"},0),94)),"⏳ Select a maturity rating.")</f>
        <v>L1 — Initial: Remote Administration Security is absent or ad hoc. No formal process, no documentation, no named owner. Controls exist only reactively after incidents.</v>
      </c>
      <c r="O47" s="113" t="str">
        <f aca="false">IF(S47="Exclude","⬛ Not Applicable",IF(T47="⬛ Auto-Excluded","⬛ Not Applicable",IF(I47="","✅ Applicable",IF(J47=1,"🔴 Critical",IF(J47=2,"🟠 Developing",IF(J47=3,"🟡 Defined",IF(J47&gt;=4,"🟢 Managed","✅ Applicable")))))))</f>
        <v>🔴 Critical</v>
      </c>
      <c r="P47" s="179" t="str">
        <f aca="false">IF(OR(J47="",L47=""),"⏳ Complete rating and target to generate recommendation.",IF(L47&lt;=J47,"✅ Target met — sustain evidence and raise target when programme allows.",IFERROR(INDEX(_REC!$B:$B,MATCH(A47&amp;"|"&amp;IF(L47="","",LEFT(TEXT(L47,"0"),1)),_REC!$A:$A,0)),"Recommendation pending — check _REC data.")))</f>
        <v>Instrument Remote Administration Security with measurable KPIs: define performance thresholds (coverage %, SLA adherence, exception count), establish automated telemetry where possible, and integrate reporting into quarterly governance cycles. Evidence must be system-generated and reviewed at each governance cycle.</v>
      </c>
      <c r="Q47" s="189" t="s">
        <v>956</v>
      </c>
      <c r="R47" s="209" t="s">
        <v>284</v>
      </c>
      <c r="S47" s="177"/>
      <c r="T47" s="191" t="str">
        <f aca="false">IF(S47="Exclude","⬛ Excluded",IF(S47="Apply","✅ Applicable","✅ Applicable"))</f>
        <v>✅ Applicable</v>
      </c>
    </row>
    <row r="48" customFormat="false" ht="69.75" hidden="false" customHeight="true" outlineLevel="0" collapsed="false">
      <c r="A48" s="104" t="n">
        <v>95</v>
      </c>
      <c r="B48" s="164" t="s">
        <v>903</v>
      </c>
      <c r="C48" s="165" t="s">
        <v>354</v>
      </c>
      <c r="D48" s="165" t="s">
        <v>957</v>
      </c>
      <c r="E48" s="165" t="s">
        <v>958</v>
      </c>
      <c r="F48" s="203" t="s">
        <v>959</v>
      </c>
      <c r="G48" s="203" t="s">
        <v>960</v>
      </c>
      <c r="H48" s="168" t="str">
        <f aca="false">HYPERLINK("#'📎 Evidence Register'!C100","ER-095  →  Row 100")</f>
        <v>ER-095  →  Row 100</v>
      </c>
      <c r="I48" s="204" t="s">
        <v>508</v>
      </c>
      <c r="J48" s="170" t="n">
        <f aca="false">IF(I48="","",IF(LEFT(I48,2)="L1",1,IF(LEFT(I48,2)="L2",2,IF(LEFT(I48,2)="L3",3,IF(LEFT(I48,2)="L4",4,IF(LEFT(I48,2)="L5",5,""))))))</f>
        <v>2</v>
      </c>
      <c r="K48" s="205" t="s">
        <v>545</v>
      </c>
      <c r="L48" s="172" t="n">
        <f aca="false">IF(K48="","",IF(LEFT(K48,2)="L1",1,IF(LEFT(K48,2)="L2",2,IF(LEFT(K48,2)="L3",3,IF(LEFT(K48,2)="L4",4,IF(LEFT(K48,2)="L5",5,""))))))</f>
        <v>4</v>
      </c>
      <c r="M48" s="173" t="n">
        <f aca="false">IFERROR(IF(OR(J48="",L48=""),"—",L48-J48),"—")</f>
        <v>2</v>
      </c>
      <c r="N48" s="174" t="str">
        <f aca="false">IFERROR(IF(I48="","⏳ Select a maturity rating to see the level description for this specific control.",INDEX(_DV!$1:$5,MATCH(LEFT(I48,2),{"L1","L2","L3","L4","L5"},0),95)),"⏳ Select a maturity rating.")</f>
        <v>L2 — Developing: Wireless Network Security has basic controls in place but coverage is incomplete and execution is manual. Not consistently applied across all in-scope assets. Formal governance is absent.</v>
      </c>
      <c r="O48" s="108" t="str">
        <f aca="false">IF(S48="Exclude","⬛ Not Applicable",IF(T48="⬛ Auto-Excluded","⬛ Not Applicable",IF(I48="","✅ Applicable",IF(J48=1,"🔴 Critical",IF(J48=2,"🟠 Developing",IF(J48=3,"🟡 Defined",IF(J48&gt;=4,"🟢 Managed","✅ Applicable")))))))</f>
        <v>🟠 Developing</v>
      </c>
      <c r="P48" s="164" t="str">
        <f aca="false">IF(OR(J48="",L48=""),"⏳ Complete rating and target to generate recommendation.",IF(L48&lt;=J48,"✅ Target met — sustain evidence and raise target when programme allows.",IFERROR(INDEX(_REC!$B:$B,MATCH(A48&amp;"|"&amp;IF(L48="","",LEFT(TEXT(L48,"0"),1)),_REC!$A:$A,0)),"Recommendation pending — check _REC data.")))</f>
        <v>Instrument Wireless Network Security with measurable KPIs: define performance thresholds (coverage %, SLA adherence, exception count), establish automated telemetry where possible, and integrate reporting into quarterly governance cycles. Evidence must be system-generated and reviewed at each governance cycle.</v>
      </c>
      <c r="Q48" s="175" t="s">
        <v>961</v>
      </c>
      <c r="R48" s="206" t="s">
        <v>249</v>
      </c>
      <c r="S48" s="177"/>
      <c r="T48" s="178" t="str">
        <f aca="false">IF(S48="Exclude","⬛ Excluded",IF(S48="Apply","✅ Applicable","✅ Applicable"))</f>
        <v>✅ Applicable</v>
      </c>
    </row>
    <row r="49" customFormat="false" ht="69.75" hidden="false" customHeight="true" outlineLevel="0" collapsed="false">
      <c r="A49" s="104" t="n">
        <v>96</v>
      </c>
      <c r="B49" s="179" t="s">
        <v>903</v>
      </c>
      <c r="C49" s="180" t="s">
        <v>355</v>
      </c>
      <c r="D49" s="180" t="s">
        <v>962</v>
      </c>
      <c r="E49" s="180" t="s">
        <v>963</v>
      </c>
      <c r="F49" s="207"/>
      <c r="G49" s="207"/>
      <c r="H49" s="183" t="str">
        <f aca="false">HYPERLINK("#'📎 Evidence Register'!C101","ER-096  →  Row 101")</f>
        <v>ER-096  →  Row 101</v>
      </c>
      <c r="I49" s="204"/>
      <c r="J49" s="184" t="str">
        <f aca="false">IF(I49="","",IF(LEFT(I49,2)="L1",1,IF(LEFT(I49,2)="L2",2,IF(LEFT(I49,2)="L3",3,IF(LEFT(I49,2)="L4",4,IF(LEFT(I49,2)="L5",5,""))))))</f>
        <v/>
      </c>
      <c r="K49" s="208"/>
      <c r="L49" s="186" t="str">
        <f aca="false">IF(K49="","",IF(LEFT(K49,2)="L1",1,IF(LEFT(K49,2)="L2",2,IF(LEFT(K49,2)="L3",3,IF(LEFT(K49,2)="L4",4,IF(LEFT(K49,2)="L5",5,""))))))</f>
        <v/>
      </c>
      <c r="M49" s="187" t="str">
        <f aca="false">IFERROR(IF(OR(J49="",L49=""),"—",L49-J49),"—")</f>
        <v>—</v>
      </c>
      <c r="N49" s="188" t="str">
        <f aca="false">IFERROR(IF(I49="","⏳ Select a maturity rating to see the level description for this specific control.",INDEX(_DV!$1:$5,MATCH(LEFT(I49,2),{"L1","L2","L3","L4","L5"},0),96)),"⏳ Select a maturity rating.")</f>
        <v>⏳ Select a maturity rating to see the level description for this specific control.</v>
      </c>
      <c r="O49" s="113" t="str">
        <f aca="false">IF(S49="Exclude","⬛ Not Applicable",IF(T49="⬛ Auto-Excluded","⬛ Not Applicable",IF(I49="","✅ Applicable",IF(J49=1,"🔴 Critical",IF(J49=2,"🟠 Developing",IF(J49=3,"🟡 Defined",IF(J49&gt;=4,"🟢 Managed","✅ Applicable")))))))</f>
        <v>⬛ Not Applicable</v>
      </c>
      <c r="P49" s="179" t="str">
        <f aca="false">IF(OR(J49="",L49=""),"⏳ Complete rating and target to generate recommendation.",IF(L49&lt;=J49,"✅ Target met — sustain evidence and raise target when programme allows.",IFERROR(INDEX(_REC!$B:$B,MATCH(A49&amp;"|"&amp;IF(L49="","",LEFT(TEXT(L49,"0"),1)),_REC!$A:$A,0)),"Recommendation pending — check _REC data.")))</f>
        <v>⏳ Complete rating and target to generate recommendation.</v>
      </c>
      <c r="Q49" s="189" t="s">
        <v>964</v>
      </c>
      <c r="R49" s="209"/>
      <c r="S49" s="177" t="s">
        <v>603</v>
      </c>
      <c r="T49" s="191" t="str">
        <f aca="false">IF(S49="Exclude","⬛ Excluded",IF(S49="Apply","✅ Applicable",IF((('🔍 Scoping'!$E$21="No"))&gt;0,"⬛ Auto-Excluded","✅ Applicable")))</f>
        <v>⬛ Excluded</v>
      </c>
    </row>
    <row r="50" customFormat="false" ht="69.75" hidden="false" customHeight="true" outlineLevel="0" collapsed="false">
      <c r="A50" s="104" t="n">
        <v>97</v>
      </c>
      <c r="B50" s="164" t="s">
        <v>965</v>
      </c>
      <c r="C50" s="165" t="s">
        <v>356</v>
      </c>
      <c r="D50" s="165" t="s">
        <v>966</v>
      </c>
      <c r="E50" s="165" t="s">
        <v>967</v>
      </c>
      <c r="F50" s="203" t="s">
        <v>968</v>
      </c>
      <c r="G50" s="203" t="s">
        <v>969</v>
      </c>
      <c r="H50" s="168" t="str">
        <f aca="false">HYPERLINK("#'📎 Evidence Register'!C102","ER-097  →  Row 102")</f>
        <v>ER-097  →  Row 102</v>
      </c>
      <c r="I50" s="204" t="s">
        <v>495</v>
      </c>
      <c r="J50" s="170" t="n">
        <f aca="false">IF(I50="","",IF(LEFT(I50,2)="L1",1,IF(LEFT(I50,2)="L2",2,IF(LEFT(I50,2)="L3",3,IF(LEFT(I50,2)="L4",4,IF(LEFT(I50,2)="L5",5,""))))))</f>
        <v>1</v>
      </c>
      <c r="K50" s="205" t="s">
        <v>496</v>
      </c>
      <c r="L50" s="172" t="n">
        <f aca="false">IF(K50="","",IF(LEFT(K50,2)="L1",1,IF(LEFT(K50,2)="L2",2,IF(LEFT(K50,2)="L3",3,IF(LEFT(K50,2)="L4",4,IF(LEFT(K50,2)="L5",5,""))))))</f>
        <v>3</v>
      </c>
      <c r="M50" s="173" t="n">
        <f aca="false">IFERROR(IF(OR(J50="",L50=""),"—",L50-J50),"—")</f>
        <v>2</v>
      </c>
      <c r="N50" s="174" t="str">
        <f aca="false">IFERROR(IF(I50="","⏳ Select a maturity rating to see the level description for this specific control.",INDEX(_DV!$1:$5,MATCH(LEFT(I50,2),{"L1","L2","L3","L4","L5"},0),97)),"⏳ Select a maturity rating.")</f>
        <v>L1 — Initial: Secure SDLC — Security Requirements is absent or ad hoc. No formal process, no documentation, no named owner. Controls exist only reactively after incidents.</v>
      </c>
      <c r="O50" s="108" t="str">
        <f aca="false">IF(S50="Exclude","⬛ Not Applicable",IF(T50="⬛ Auto-Excluded","⬛ Not Applicable",IF(I50="","✅ Applicable",IF(J50=1,"🔴 Critical",IF(J50=2,"🟠 Developing",IF(J50=3,"🟡 Defined",IF(J50&gt;=4,"🟢 Managed","✅ Applicable")))))))</f>
        <v>🔴 Critical</v>
      </c>
      <c r="P50" s="164" t="str">
        <f aca="false">IF(OR(J50="",L50=""),"⏳ Complete rating and target to generate recommendation.",IF(L50&lt;=J50,"✅ Target met — sustain evidence and raise target when programme allows.",IFERROR(INDEX(_REC!$B:$B,MATCH(A50&amp;"|"&amp;IF(L50="","",LEFT(TEXT(L50,"0"),1)),_REC!$A:$A,0)),"Recommendation pending — check _REC data.")))</f>
        <v>Standardise Secure SDLC — Security Requirements: formalise all documentation, apply the control consistently across all in-scope assets, close remaining coverage gaps, and ensure evidence is collected routinely. Exceptions must be formally managed with named owners and defined expiry dates.</v>
      </c>
      <c r="Q50" s="175" t="s">
        <v>970</v>
      </c>
      <c r="R50" s="206" t="s">
        <v>275</v>
      </c>
      <c r="S50" s="177"/>
      <c r="T50" s="178" t="str">
        <f aca="false">IF(S50="Exclude","⬛ Excluded",IF(S50="Apply","✅ Applicable",IF((('🔍 Scoping'!$E$24="No"))&gt;0,"⬛ Auto-Excluded","✅ Applicable")))</f>
        <v>✅ Applicable</v>
      </c>
    </row>
    <row r="51" customFormat="false" ht="69.75" hidden="false" customHeight="true" outlineLevel="0" collapsed="false">
      <c r="A51" s="104" t="n">
        <v>98</v>
      </c>
      <c r="B51" s="179" t="s">
        <v>965</v>
      </c>
      <c r="C51" s="180" t="s">
        <v>357</v>
      </c>
      <c r="D51" s="180" t="s">
        <v>971</v>
      </c>
      <c r="E51" s="180" t="s">
        <v>972</v>
      </c>
      <c r="F51" s="207" t="s">
        <v>973</v>
      </c>
      <c r="G51" s="207" t="s">
        <v>974</v>
      </c>
      <c r="H51" s="183" t="str">
        <f aca="false">HYPERLINK("#'📎 Evidence Register'!C103","ER-098  →  Row 103")</f>
        <v>ER-098  →  Row 103</v>
      </c>
      <c r="I51" s="204" t="s">
        <v>508</v>
      </c>
      <c r="J51" s="184" t="n">
        <f aca="false">IF(I51="","",IF(LEFT(I51,2)="L1",1,IF(LEFT(I51,2)="L2",2,IF(LEFT(I51,2)="L3",3,IF(LEFT(I51,2)="L4",4,IF(LEFT(I51,2)="L5",5,""))))))</f>
        <v>2</v>
      </c>
      <c r="K51" s="208" t="s">
        <v>545</v>
      </c>
      <c r="L51" s="186" t="n">
        <f aca="false">IF(K51="","",IF(LEFT(K51,2)="L1",1,IF(LEFT(K51,2)="L2",2,IF(LEFT(K51,2)="L3",3,IF(LEFT(K51,2)="L4",4,IF(LEFT(K51,2)="L5",5,""))))))</f>
        <v>4</v>
      </c>
      <c r="M51" s="187" t="n">
        <f aca="false">IFERROR(IF(OR(J51="",L51=""),"—",L51-J51),"—")</f>
        <v>2</v>
      </c>
      <c r="N51" s="188" t="str">
        <f aca="false">IFERROR(IF(I51="","⏳ Select a maturity rating to see the level description for this specific control.",INDEX(_DV!$1:$5,MATCH(LEFT(I51,2),{"L1","L2","L3","L4","L5"},0),98)),"⏳ Select a maturity rating.")</f>
        <v>L2 — Developing: Secure SDLC — Static Analysis (SAST) has basic controls in place but coverage is incomplete and execution is manual. Not consistently applied across all in-scope assets. Formal governance is absent.</v>
      </c>
      <c r="O51" s="113" t="str">
        <f aca="false">IF(S51="Exclude","⬛ Not Applicable",IF(T51="⬛ Auto-Excluded","⬛ Not Applicable",IF(I51="","✅ Applicable",IF(J51=1,"🔴 Critical",IF(J51=2,"🟠 Developing",IF(J51=3,"🟡 Defined",IF(J51&gt;=4,"🟢 Managed","✅ Applicable")))))))</f>
        <v>🟠 Developing</v>
      </c>
      <c r="P51" s="179" t="str">
        <f aca="false">IF(OR(J51="",L51=""),"⏳ Complete rating and target to generate recommendation.",IF(L51&lt;=J51,"✅ Target met — sustain evidence and raise target when programme allows.",IFERROR(INDEX(_REC!$B:$B,MATCH(A51&amp;"|"&amp;IF(L51="","",LEFT(TEXT(L51,"0"),1)),_REC!$A:$A,0)),"Recommendation pending — check _REC data.")))</f>
        <v>Instrument Secure SDLC — Static Analysis (SAST) with measurable KPIs: define performance thresholds (coverage %, SLA adherence, exception count), establish automated telemetry where possible, and integrate reporting into quarterly governance cycles. Evidence must be system-generated and reviewed at each governance cycle.</v>
      </c>
      <c r="Q51" s="189" t="s">
        <v>975</v>
      </c>
      <c r="R51" s="209" t="s">
        <v>275</v>
      </c>
      <c r="S51" s="177"/>
      <c r="T51" s="191" t="str">
        <f aca="false">IF(S51="Exclude","⬛ Excluded",IF(S51="Apply","✅ Applicable",IF((('🔍 Scoping'!$E$24="No"))&gt;0,"⬛ Auto-Excluded","✅ Applicable")))</f>
        <v>✅ Applicable</v>
      </c>
    </row>
    <row r="52" customFormat="false" ht="69.75" hidden="false" customHeight="true" outlineLevel="0" collapsed="false">
      <c r="A52" s="104" t="n">
        <v>99</v>
      </c>
      <c r="B52" s="164" t="s">
        <v>965</v>
      </c>
      <c r="C52" s="165" t="s">
        <v>358</v>
      </c>
      <c r="D52" s="165" t="s">
        <v>976</v>
      </c>
      <c r="E52" s="165" t="s">
        <v>977</v>
      </c>
      <c r="F52" s="203" t="s">
        <v>978</v>
      </c>
      <c r="G52" s="203" t="s">
        <v>979</v>
      </c>
      <c r="H52" s="168" t="str">
        <f aca="false">HYPERLINK("#'📎 Evidence Register'!C104","ER-099  →  Row 104")</f>
        <v>ER-099  →  Row 104</v>
      </c>
      <c r="I52" s="204" t="s">
        <v>508</v>
      </c>
      <c r="J52" s="170" t="n">
        <f aca="false">IF(I52="","",IF(LEFT(I52,2)="L1",1,IF(LEFT(I52,2)="L2",2,IF(LEFT(I52,2)="L3",3,IF(LEFT(I52,2)="L4",4,IF(LEFT(I52,2)="L5",5,""))))))</f>
        <v>2</v>
      </c>
      <c r="K52" s="205" t="s">
        <v>496</v>
      </c>
      <c r="L52" s="172" t="n">
        <f aca="false">IF(K52="","",IF(LEFT(K52,2)="L1",1,IF(LEFT(K52,2)="L2",2,IF(LEFT(K52,2)="L3",3,IF(LEFT(K52,2)="L4",4,IF(LEFT(K52,2)="L5",5,""))))))</f>
        <v>3</v>
      </c>
      <c r="M52" s="173" t="n">
        <f aca="false">IFERROR(IF(OR(J52="",L52=""),"—",L52-J52),"—")</f>
        <v>1</v>
      </c>
      <c r="N52" s="174" t="str">
        <f aca="false">IFERROR(IF(I52="","⏳ Select a maturity rating to see the level description for this specific control.",INDEX(_DV!$1:$5,MATCH(LEFT(I52,2),{"L1","L2","L3","L4","L5"},0),99)),"⏳ Select a maturity rating.")</f>
        <v>L2 — Developing: Secure SDLC — Software Composition Analysis (SCA) has basic controls in place but coverage is incomplete and execution is manual. Not consistently applied across all in-scope assets. Formal governance is absent.</v>
      </c>
      <c r="O52" s="108" t="str">
        <f aca="false">IF(S52="Exclude","⬛ Not Applicable",IF(T52="⬛ Auto-Excluded","⬛ Not Applicable",IF(I52="","✅ Applicable",IF(J52=1,"🔴 Critical",IF(J52=2,"🟠 Developing",IF(J52=3,"🟡 Defined",IF(J52&gt;=4,"🟢 Managed","✅ Applicable")))))))</f>
        <v>🟠 Developing</v>
      </c>
      <c r="P52" s="164" t="str">
        <f aca="false">IF(OR(J52="",L52=""),"⏳ Complete rating and target to generate recommendation.",IF(L52&lt;=J52,"✅ Target met — sustain evidence and raise target when programme allows.",IFERROR(INDEX(_REC!$B:$B,MATCH(A52&amp;"|"&amp;IF(L52="","",LEFT(TEXT(L52,"0"),1)),_REC!$A:$A,0)),"Recommendation pending — check _REC data.")))</f>
        <v>Standardise Secure SDLC — Software Composition Analysis (SCA): formalise all documentation, apply the control consistently across all in-scope assets, close remaining coverage gaps, and ensure evidence is collected routinely. Exceptions must be formally managed with named owners and defined expiry dates.</v>
      </c>
      <c r="Q52" s="175" t="s">
        <v>980</v>
      </c>
      <c r="R52" s="206" t="s">
        <v>275</v>
      </c>
      <c r="S52" s="177"/>
      <c r="T52" s="178" t="str">
        <f aca="false">IF(S52="Exclude","⬛ Excluded",IF(S52="Apply","✅ Applicable",IF((('🔍 Scoping'!$E$24="No"))&gt;0,"⬛ Auto-Excluded","✅ Applicable")))</f>
        <v>✅ Applicable</v>
      </c>
    </row>
    <row r="53" customFormat="false" ht="69.75" hidden="false" customHeight="true" outlineLevel="0" collapsed="false">
      <c r="A53" s="104" t="n">
        <v>100</v>
      </c>
      <c r="B53" s="179" t="s">
        <v>965</v>
      </c>
      <c r="C53" s="180" t="s">
        <v>359</v>
      </c>
      <c r="D53" s="180" t="s">
        <v>981</v>
      </c>
      <c r="E53" s="180" t="s">
        <v>982</v>
      </c>
      <c r="F53" s="207" t="s">
        <v>983</v>
      </c>
      <c r="G53" s="207" t="s">
        <v>566</v>
      </c>
      <c r="H53" s="183" t="str">
        <f aca="false">HYPERLINK("#'📎 Evidence Register'!C105","ER-100  →  Row 105")</f>
        <v>ER-100  →  Row 105</v>
      </c>
      <c r="I53" s="204" t="s">
        <v>495</v>
      </c>
      <c r="J53" s="184" t="n">
        <f aca="false">IF(I53="","",IF(LEFT(I53,2)="L1",1,IF(LEFT(I53,2)="L2",2,IF(LEFT(I53,2)="L3",3,IF(LEFT(I53,2)="L4",4,IF(LEFT(I53,2)="L5",5,""))))))</f>
        <v>1</v>
      </c>
      <c r="K53" s="208" t="s">
        <v>545</v>
      </c>
      <c r="L53" s="186" t="n">
        <f aca="false">IF(K53="","",IF(LEFT(K53,2)="L1",1,IF(LEFT(K53,2)="L2",2,IF(LEFT(K53,2)="L3",3,IF(LEFT(K53,2)="L4",4,IF(LEFT(K53,2)="L5",5,""))))))</f>
        <v>4</v>
      </c>
      <c r="M53" s="187" t="n">
        <f aca="false">IFERROR(IF(OR(J53="",L53=""),"—",L53-J53),"—")</f>
        <v>3</v>
      </c>
      <c r="N53" s="188" t="str">
        <f aca="false">IFERROR(IF(I53="","⏳ Select a maturity rating to see the level description for this specific control.",INDEX(_DV!$1:$5,MATCH(LEFT(I53,2),{"L1","L2","L3","L4","L5"},0),100)),"⏳ Select a maturity rating.")</f>
        <v>L1 — Initial: Secure SDLC — Dynamic Analysis (DAST) is absent or ad hoc. No formal process, no documentation, no named owner. Controls exist only reactively after incidents.</v>
      </c>
      <c r="O53" s="113" t="str">
        <f aca="false">IF(S53="Exclude","⬛ Not Applicable",IF(T53="⬛ Auto-Excluded","⬛ Not Applicable",IF(I53="","✅ Applicable",IF(J53=1,"🔴 Critical",IF(J53=2,"🟠 Developing",IF(J53=3,"🟡 Defined",IF(J53&gt;=4,"🟢 Managed","✅ Applicable")))))))</f>
        <v>🔴 Critical</v>
      </c>
      <c r="P53" s="179" t="str">
        <f aca="false">IF(OR(J53="",L53=""),"⏳ Complete rating and target to generate recommendation.",IF(L53&lt;=J53,"✅ Target met — sustain evidence and raise target when programme allows.",IFERROR(INDEX(_REC!$B:$B,MATCH(A53&amp;"|"&amp;IF(L53="","",LEFT(TEXT(L53,"0"),1)),_REC!$A:$A,0)),"Recommendation pending — check _REC data.")))</f>
        <v>Instrument Secure SDLC — Dynamic Analysis (DAST) with measurable KPIs: define performance thresholds (coverage %, SLA adherence, exception count), establish automated telemetry where possible, and integrate reporting into quarterly governance cycles. Evidence must be system-generated and reviewed at each governance cycle.</v>
      </c>
      <c r="Q53" s="189" t="s">
        <v>984</v>
      </c>
      <c r="R53" s="209" t="s">
        <v>275</v>
      </c>
      <c r="S53" s="177"/>
      <c r="T53" s="191" t="str">
        <f aca="false">IF(S53="Exclude","⬛ Excluded",IF(S53="Apply","✅ Applicable",IF((('🔍 Scoping'!$E$24="No"))&gt;0,"⬛ Auto-Excluded","✅ Applicable")))</f>
        <v>✅ Applicable</v>
      </c>
    </row>
    <row r="54" customFormat="false" ht="69.75" hidden="false" customHeight="true" outlineLevel="0" collapsed="false">
      <c r="A54" s="104" t="n">
        <v>101</v>
      </c>
      <c r="B54" s="164" t="s">
        <v>965</v>
      </c>
      <c r="C54" s="165" t="s">
        <v>360</v>
      </c>
      <c r="D54" s="165" t="s">
        <v>985</v>
      </c>
      <c r="E54" s="165" t="s">
        <v>986</v>
      </c>
      <c r="F54" s="203" t="s">
        <v>987</v>
      </c>
      <c r="G54" s="203" t="s">
        <v>988</v>
      </c>
      <c r="H54" s="168" t="str">
        <f aca="false">HYPERLINK("#'📎 Evidence Register'!C106","ER-101  →  Row 106")</f>
        <v>ER-101  →  Row 106</v>
      </c>
      <c r="I54" s="204" t="s">
        <v>495</v>
      </c>
      <c r="J54" s="170" t="n">
        <f aca="false">IF(I54="","",IF(LEFT(I54,2)="L1",1,IF(LEFT(I54,2)="L2",2,IF(LEFT(I54,2)="L3",3,IF(LEFT(I54,2)="L4",4,IF(LEFT(I54,2)="L5",5,""))))))</f>
        <v>1</v>
      </c>
      <c r="K54" s="205" t="s">
        <v>545</v>
      </c>
      <c r="L54" s="172" t="n">
        <f aca="false">IF(K54="","",IF(LEFT(K54,2)="L1",1,IF(LEFT(K54,2)="L2",2,IF(LEFT(K54,2)="L3",3,IF(LEFT(K54,2)="L4",4,IF(LEFT(K54,2)="L5",5,""))))))</f>
        <v>4</v>
      </c>
      <c r="M54" s="173" t="n">
        <f aca="false">IFERROR(IF(OR(J54="",L54=""),"—",L54-J54),"—")</f>
        <v>3</v>
      </c>
      <c r="N54" s="174" t="str">
        <f aca="false">IFERROR(IF(I54="","⏳ Select a maturity rating to see the level description for this specific control.",INDEX(_DV!$1:$5,MATCH(LEFT(I54,2),{"L1","L2","L3","L4","L5"},0),101)),"⏳ Select a maturity rating.")</f>
        <v>L1 — Initial: Secure SDLC — Release Security Sign-Off is absent or ad hoc. No formal process, no documentation, no named owner. Controls exist only reactively after incidents.</v>
      </c>
      <c r="O54" s="108" t="str">
        <f aca="false">IF(S54="Exclude","⬛ Not Applicable",IF(T54="⬛ Auto-Excluded","⬛ Not Applicable",IF(I54="","✅ Applicable",IF(J54=1,"🔴 Critical",IF(J54=2,"🟠 Developing",IF(J54=3,"🟡 Defined",IF(J54&gt;=4,"🟢 Managed","✅ Applicable")))))))</f>
        <v>🔴 Critical</v>
      </c>
      <c r="P54" s="164" t="str">
        <f aca="false">IF(OR(J54="",L54=""),"⏳ Complete rating and target to generate recommendation.",IF(L54&lt;=J54,"✅ Target met — sustain evidence and raise target when programme allows.",IFERROR(INDEX(_REC!$B:$B,MATCH(A54&amp;"|"&amp;IF(L54="","",LEFT(TEXT(L54,"0"),1)),_REC!$A:$A,0)),"Recommendation pending — check _REC data.")))</f>
        <v>Instrument Secure SDLC — Release Security Sign-Off with measurable KPIs: define performance thresholds (coverage %, SLA adherence, exception count), establish automated telemetry where possible, and integrate reporting into quarterly governance cycles. Evidence must be system-generated and reviewed at each governance cycle.</v>
      </c>
      <c r="Q54" s="175" t="s">
        <v>989</v>
      </c>
      <c r="R54" s="206" t="s">
        <v>275</v>
      </c>
      <c r="S54" s="177"/>
      <c r="T54" s="178" t="str">
        <f aca="false">IF(S54="Exclude","⬛ Excluded",IF(S54="Apply","✅ Applicable",IF((('🔍 Scoping'!$E$24="No"))&gt;0,"⬛ Auto-Excluded","✅ Applicable")))</f>
        <v>✅ Applicable</v>
      </c>
    </row>
    <row r="55" customFormat="false" ht="69.75" hidden="false" customHeight="true" outlineLevel="0" collapsed="false">
      <c r="A55" s="104" t="n">
        <v>102</v>
      </c>
      <c r="B55" s="179" t="s">
        <v>965</v>
      </c>
      <c r="C55" s="180" t="s">
        <v>361</v>
      </c>
      <c r="D55" s="180" t="s">
        <v>990</v>
      </c>
      <c r="E55" s="180" t="s">
        <v>991</v>
      </c>
      <c r="F55" s="207" t="s">
        <v>992</v>
      </c>
      <c r="G55" s="207" t="s">
        <v>993</v>
      </c>
      <c r="H55" s="183" t="str">
        <f aca="false">HYPERLINK("#'📎 Evidence Register'!C107","ER-102  →  Row 107")</f>
        <v>ER-102  →  Row 107</v>
      </c>
      <c r="I55" s="204" t="s">
        <v>495</v>
      </c>
      <c r="J55" s="184" t="n">
        <f aca="false">IF(I55="","",IF(LEFT(I55,2)="L1",1,IF(LEFT(I55,2)="L2",2,IF(LEFT(I55,2)="L3",3,IF(LEFT(I55,2)="L4",4,IF(LEFT(I55,2)="L5",5,""))))))</f>
        <v>1</v>
      </c>
      <c r="K55" s="208" t="s">
        <v>496</v>
      </c>
      <c r="L55" s="186" t="n">
        <f aca="false">IF(K55="","",IF(LEFT(K55,2)="L1",1,IF(LEFT(K55,2)="L2",2,IF(LEFT(K55,2)="L3",3,IF(LEFT(K55,2)="L4",4,IF(LEFT(K55,2)="L5",5,""))))))</f>
        <v>3</v>
      </c>
      <c r="M55" s="187" t="n">
        <f aca="false">IFERROR(IF(OR(J55="",L55=""),"—",L55-J55),"—")</f>
        <v>2</v>
      </c>
      <c r="N55" s="188" t="str">
        <f aca="false">IFERROR(IF(I55="","⏳ Select a maturity rating to see the level description for this specific control.",INDEX(_DV!$1:$5,MATCH(LEFT(I55,2),{"L1","L2","L3","L4","L5"},0),102)),"⏳ Select a maturity rating.")</f>
        <v>L1 — Initial: API Security — Inventory &amp; Gateway is absent or ad hoc. No formal process, no documentation, no named owner. Controls exist only reactively after incidents.</v>
      </c>
      <c r="O55" s="113" t="str">
        <f aca="false">IF(S55="Exclude","⬛ Not Applicable",IF(T55="⬛ Auto-Excluded","⬛ Not Applicable",IF(I55="","✅ Applicable",IF(J55=1,"🔴 Critical",IF(J55=2,"🟠 Developing",IF(J55=3,"🟡 Defined",IF(J55&gt;=4,"🟢 Managed","✅ Applicable")))))))</f>
        <v>🔴 Critical</v>
      </c>
      <c r="P55" s="179" t="str">
        <f aca="false">IF(OR(J55="",L55=""),"⏳ Complete rating and target to generate recommendation.",IF(L55&lt;=J55,"✅ Target met — sustain evidence and raise target when programme allows.",IFERROR(INDEX(_REC!$B:$B,MATCH(A55&amp;"|"&amp;IF(L55="","",LEFT(TEXT(L55,"0"),1)),_REC!$A:$A,0)),"Recommendation pending — check _REC data.")))</f>
        <v>Standardise API Security — Inventory &amp; Gateway: formalise all documentation, apply the control consistently across all in-scope assets, close remaining coverage gaps, and ensure evidence is collected routinely. Exceptions must be formally managed with named owners and defined expiry dates.</v>
      </c>
      <c r="Q55" s="189" t="s">
        <v>994</v>
      </c>
      <c r="R55" s="209" t="s">
        <v>275</v>
      </c>
      <c r="S55" s="177"/>
      <c r="T55" s="191" t="str">
        <f aca="false">IF(S55="Exclude","⬛ Excluded",IF(S55="Apply","✅ Applicable",IF((('🔍 Scoping'!$E$24="No"))&gt;0,"⬛ Auto-Excluded","✅ Applicable")))</f>
        <v>✅ Applicable</v>
      </c>
    </row>
    <row r="56" customFormat="false" ht="69.75" hidden="false" customHeight="true" outlineLevel="0" collapsed="false">
      <c r="A56" s="104" t="n">
        <v>103</v>
      </c>
      <c r="B56" s="164" t="s">
        <v>965</v>
      </c>
      <c r="C56" s="165" t="s">
        <v>362</v>
      </c>
      <c r="D56" s="165" t="s">
        <v>995</v>
      </c>
      <c r="E56" s="165" t="s">
        <v>996</v>
      </c>
      <c r="F56" s="203" t="s">
        <v>997</v>
      </c>
      <c r="G56" s="203" t="s">
        <v>998</v>
      </c>
      <c r="H56" s="168" t="str">
        <f aca="false">HYPERLINK("#'📎 Evidence Register'!C108","ER-103  →  Row 108")</f>
        <v>ER-103  →  Row 108</v>
      </c>
      <c r="I56" s="204" t="s">
        <v>495</v>
      </c>
      <c r="J56" s="170" t="n">
        <f aca="false">IF(I56="","",IF(LEFT(I56,2)="L1",1,IF(LEFT(I56,2)="L2",2,IF(LEFT(I56,2)="L3",3,IF(LEFT(I56,2)="L4",4,IF(LEFT(I56,2)="L5",5,""))))))</f>
        <v>1</v>
      </c>
      <c r="K56" s="205" t="s">
        <v>496</v>
      </c>
      <c r="L56" s="172" t="n">
        <f aca="false">IF(K56="","",IF(LEFT(K56,2)="L1",1,IF(LEFT(K56,2)="L2",2,IF(LEFT(K56,2)="L3",3,IF(LEFT(K56,2)="L4",4,IF(LEFT(K56,2)="L5",5,""))))))</f>
        <v>3</v>
      </c>
      <c r="M56" s="173" t="n">
        <f aca="false">IFERROR(IF(OR(J56="",L56=""),"—",L56-J56),"—")</f>
        <v>2</v>
      </c>
      <c r="N56" s="174" t="str">
        <f aca="false">IFERROR(IF(I56="","⏳ Select a maturity rating to see the level description for this specific control.",INDEX(_DV!$1:$5,MATCH(LEFT(I56,2),{"L1","L2","L3","L4","L5"},0),103)),"⏳ Select a maturity rating.")</f>
        <v>L1 — Initial: Container Security — Image Scanning is absent or ad hoc. No formal process, no documentation, no named owner. Controls exist only reactively after incidents.</v>
      </c>
      <c r="O56" s="108" t="str">
        <f aca="false">IF(S56="Exclude","⬛ Not Applicable",IF(T56="⬛ Auto-Excluded","⬛ Not Applicable",IF(I56="","✅ Applicable",IF(J56=1,"🔴 Critical",IF(J56=2,"🟠 Developing",IF(J56=3,"🟡 Defined",IF(J56&gt;=4,"🟢 Managed","✅ Applicable")))))))</f>
        <v>🔴 Critical</v>
      </c>
      <c r="P56" s="164" t="str">
        <f aca="false">IF(OR(J56="",L56=""),"⏳ Complete rating and target to generate recommendation.",IF(L56&lt;=J56,"✅ Target met — sustain evidence and raise target when programme allows.",IFERROR(INDEX(_REC!$B:$B,MATCH(A56&amp;"|"&amp;IF(L56="","",LEFT(TEXT(L56,"0"),1)),_REC!$A:$A,0)),"Recommendation pending — check _REC data.")))</f>
        <v>Standardise Container Security — Image Scanning: formalise all documentation, apply the control consistently across all in-scope assets, close remaining coverage gaps, and ensure evidence is collected routinely. Exceptions must be formally managed with named owners and defined expiry dates.</v>
      </c>
      <c r="Q56" s="175" t="s">
        <v>999</v>
      </c>
      <c r="R56" s="206" t="s">
        <v>287</v>
      </c>
      <c r="S56" s="177"/>
      <c r="T56" s="178" t="str">
        <f aca="false">IF(S56="Exclude","⬛ Excluded",IF(S56="Apply","✅ Applicable",IF((('🔍 Scoping'!$E$24="No"))&gt;0,"⬛ Auto-Excluded","✅ Applicable")))</f>
        <v>✅ Applicable</v>
      </c>
    </row>
    <row r="57" customFormat="false" ht="69.75" hidden="false" customHeight="true" outlineLevel="0" collapsed="false">
      <c r="A57" s="104" t="n">
        <v>104</v>
      </c>
      <c r="B57" s="179" t="s">
        <v>965</v>
      </c>
      <c r="C57" s="180" t="s">
        <v>363</v>
      </c>
      <c r="D57" s="180" t="s">
        <v>1000</v>
      </c>
      <c r="E57" s="180" t="s">
        <v>1001</v>
      </c>
      <c r="F57" s="207" t="s">
        <v>1002</v>
      </c>
      <c r="G57" s="207" t="s">
        <v>566</v>
      </c>
      <c r="H57" s="183" t="str">
        <f aca="false">HYPERLINK("#'📎 Evidence Register'!C109","ER-104  →  Row 109")</f>
        <v>ER-104  →  Row 109</v>
      </c>
      <c r="I57" s="204" t="s">
        <v>495</v>
      </c>
      <c r="J57" s="184" t="n">
        <f aca="false">IF(I57="","",IF(LEFT(I57,2)="L1",1,IF(LEFT(I57,2)="L2",2,IF(LEFT(I57,2)="L3",3,IF(LEFT(I57,2)="L4",4,IF(LEFT(I57,2)="L5",5,""))))))</f>
        <v>1</v>
      </c>
      <c r="K57" s="208" t="s">
        <v>496</v>
      </c>
      <c r="L57" s="186" t="n">
        <f aca="false">IF(K57="","",IF(LEFT(K57,2)="L1",1,IF(LEFT(K57,2)="L2",2,IF(LEFT(K57,2)="L3",3,IF(LEFT(K57,2)="L4",4,IF(LEFT(K57,2)="L5",5,""))))))</f>
        <v>3</v>
      </c>
      <c r="M57" s="187" t="n">
        <f aca="false">IFERROR(IF(OR(J57="",L57=""),"—",L57-J57),"—")</f>
        <v>2</v>
      </c>
      <c r="N57" s="188" t="str">
        <f aca="false">IFERROR(IF(I57="","⏳ Select a maturity rating to see the level description for this specific control.",INDEX(_DV!$1:$5,MATCH(LEFT(I57,2),{"L1","L2","L3","L4","L5"},0),104)),"⏳ Select a maturity rating.")</f>
        <v>L1 — Initial: Container Security — Runtime Protection is absent or ad hoc. No formal process, no documentation, no named owner. Controls exist only reactively after incidents.</v>
      </c>
      <c r="O57" s="113" t="str">
        <f aca="false">IF(S57="Exclude","⬛ Not Applicable",IF(T57="⬛ Auto-Excluded","⬛ Not Applicable",IF(I57="","✅ Applicable",IF(J57=1,"🔴 Critical",IF(J57=2,"🟠 Developing",IF(J57=3,"🟡 Defined",IF(J57&gt;=4,"🟢 Managed","✅ Applicable")))))))</f>
        <v>🔴 Critical</v>
      </c>
      <c r="P57" s="179" t="str">
        <f aca="false">IF(OR(J57="",L57=""),"⏳ Complete rating and target to generate recommendation.",IF(L57&lt;=J57,"✅ Target met — sustain evidence and raise target when programme allows.",IFERROR(INDEX(_REC!$B:$B,MATCH(A57&amp;"|"&amp;IF(L57="","",LEFT(TEXT(L57,"0"),1)),_REC!$A:$A,0)),"Recommendation pending — check _REC data.")))</f>
        <v>Standardise Container Security — Runtime Protection: formalise all documentation, apply the control consistently across all in-scope assets, close remaining coverage gaps, and ensure evidence is collected routinely. Exceptions must be formally managed with named owners and defined expiry dates.</v>
      </c>
      <c r="Q57" s="189" t="s">
        <v>1003</v>
      </c>
      <c r="R57" s="209" t="s">
        <v>287</v>
      </c>
      <c r="S57" s="177"/>
      <c r="T57" s="191" t="str">
        <f aca="false">IF(S57="Exclude","⬛ Excluded",IF(S57="Apply","✅ Applicable",IF((('🔍 Scoping'!$E$24="No"))&gt;0,"⬛ Auto-Excluded","✅ Applicable")))</f>
        <v>✅ Applicable</v>
      </c>
    </row>
    <row r="58" customFormat="false" ht="69.75" hidden="false" customHeight="true" outlineLevel="0" collapsed="false">
      <c r="A58" s="104" t="n">
        <v>105</v>
      </c>
      <c r="B58" s="164" t="s">
        <v>965</v>
      </c>
      <c r="C58" s="165" t="s">
        <v>364</v>
      </c>
      <c r="D58" s="165" t="s">
        <v>1004</v>
      </c>
      <c r="E58" s="165" t="s">
        <v>1005</v>
      </c>
      <c r="F58" s="203" t="s">
        <v>1006</v>
      </c>
      <c r="G58" s="203" t="s">
        <v>1007</v>
      </c>
      <c r="H58" s="168" t="str">
        <f aca="false">HYPERLINK("#'📎 Evidence Register'!C110","ER-105  →  Row 110")</f>
        <v>ER-105  →  Row 110</v>
      </c>
      <c r="I58" s="204" t="s">
        <v>495</v>
      </c>
      <c r="J58" s="170" t="n">
        <f aca="false">IF(I58="","",IF(LEFT(I58,2)="L1",1,IF(LEFT(I58,2)="L2",2,IF(LEFT(I58,2)="L3",3,IF(LEFT(I58,2)="L4",4,IF(LEFT(I58,2)="L5",5,""))))))</f>
        <v>1</v>
      </c>
      <c r="K58" s="205" t="s">
        <v>496</v>
      </c>
      <c r="L58" s="172" t="n">
        <f aca="false">IF(K58="","",IF(LEFT(K58,2)="L1",1,IF(LEFT(K58,2)="L2",2,IF(LEFT(K58,2)="L3",3,IF(LEFT(K58,2)="L4",4,IF(LEFT(K58,2)="L5",5,""))))))</f>
        <v>3</v>
      </c>
      <c r="M58" s="173" t="n">
        <f aca="false">IFERROR(IF(OR(J58="",L58=""),"—",L58-J58),"—")</f>
        <v>2</v>
      </c>
      <c r="N58" s="174" t="str">
        <f aca="false">IFERROR(IF(I58="","⏳ Select a maturity rating to see the level description for this specific control.",INDEX(_DV!$1:$5,MATCH(LEFT(I58,2),{"L1","L2","L3","L4","L5"},0),105)),"⏳ Select a maturity rating.")</f>
        <v>L1 — Initial: Secrets Exposure Prevention in Code is absent or ad hoc. No formal process, no documentation, no named owner. Controls exist only reactively after incidents.</v>
      </c>
      <c r="O58" s="108" t="str">
        <f aca="false">IF(S58="Exclude","⬛ Not Applicable",IF(T58="⬛ Auto-Excluded","⬛ Not Applicable",IF(I58="","✅ Applicable",IF(J58=1,"🔴 Critical",IF(J58=2,"🟠 Developing",IF(J58=3,"🟡 Defined",IF(J58&gt;=4,"🟢 Managed","✅ Applicable")))))))</f>
        <v>🔴 Critical</v>
      </c>
      <c r="P58" s="164" t="str">
        <f aca="false">IF(OR(J58="",L58=""),"⏳ Complete rating and target to generate recommendation.",IF(L58&lt;=J58,"✅ Target met — sustain evidence and raise target when programme allows.",IFERROR(INDEX(_REC!$B:$B,MATCH(A58&amp;"|"&amp;IF(L58="","",LEFT(TEXT(L58,"0"),1)),_REC!$A:$A,0)),"Recommendation pending — check _REC data.")))</f>
        <v>Standardise Secrets Exposure Prevention in Code: formalise all documentation, apply the control consistently across all in-scope assets, close remaining coverage gaps, and ensure evidence is collected routinely. Exceptions must be formally managed with named owners and defined expiry dates.</v>
      </c>
      <c r="Q58" s="175" t="s">
        <v>1008</v>
      </c>
      <c r="R58" s="206" t="s">
        <v>275</v>
      </c>
      <c r="S58" s="177"/>
      <c r="T58" s="178" t="str">
        <f aca="false">IF(S58="Exclude","⬛ Excluded",IF(S58="Apply","✅ Applicable",IF((('🔍 Scoping'!$E$24="No"))&gt;0,"⬛ Auto-Excluded","✅ Applicable")))</f>
        <v>✅ Applicable</v>
      </c>
    </row>
    <row r="59" customFormat="false" ht="69.75" hidden="false" customHeight="true" outlineLevel="0" collapsed="false">
      <c r="A59" s="104" t="n">
        <v>106</v>
      </c>
      <c r="B59" s="179" t="s">
        <v>965</v>
      </c>
      <c r="C59" s="180" t="s">
        <v>365</v>
      </c>
      <c r="D59" s="180" t="s">
        <v>1009</v>
      </c>
      <c r="E59" s="180" t="s">
        <v>1010</v>
      </c>
      <c r="F59" s="207" t="s">
        <v>1011</v>
      </c>
      <c r="G59" s="207" t="s">
        <v>1012</v>
      </c>
      <c r="H59" s="183" t="str">
        <f aca="false">HYPERLINK("#'📎 Evidence Register'!C111","ER-106  →  Row 111")</f>
        <v>ER-106  →  Row 111</v>
      </c>
      <c r="I59" s="204" t="s">
        <v>495</v>
      </c>
      <c r="J59" s="184" t="n">
        <f aca="false">IF(I59="","",IF(LEFT(I59,2)="L1",1,IF(LEFT(I59,2)="L2",2,IF(LEFT(I59,2)="L3",3,IF(LEFT(I59,2)="L4",4,IF(LEFT(I59,2)="L5",5,""))))))</f>
        <v>1</v>
      </c>
      <c r="K59" s="208" t="s">
        <v>545</v>
      </c>
      <c r="L59" s="186" t="n">
        <f aca="false">IF(K59="","",IF(LEFT(K59,2)="L1",1,IF(LEFT(K59,2)="L2",2,IF(LEFT(K59,2)="L3",3,IF(LEFT(K59,2)="L4",4,IF(LEFT(K59,2)="L5",5,""))))))</f>
        <v>4</v>
      </c>
      <c r="M59" s="187" t="n">
        <f aca="false">IFERROR(IF(OR(J59="",L59=""),"—",L59-J59),"—")</f>
        <v>3</v>
      </c>
      <c r="N59" s="188" t="str">
        <f aca="false">IFERROR(IF(I59="","⏳ Select a maturity rating to see the level description for this specific control.",INDEX(_DV!$1:$5,MATCH(LEFT(I59,2),{"L1","L2","L3","L4","L5"},0),106)),"⏳ Select a maturity rating.")</f>
        <v>L1 — Initial: Payment Page &amp; Script Integrity is absent or ad hoc. No formal process, no documentation, no named owner. Controls exist only reactively after incidents.</v>
      </c>
      <c r="O59" s="113" t="str">
        <f aca="false">IF(S59="Exclude","⬛ Not Applicable",IF(T59="⬛ Auto-Excluded","⬛ Not Applicable",IF(I59="","✅ Applicable",IF(J59=1,"🔴 Critical",IF(J59=2,"🟠 Developing",IF(J59=3,"🟡 Defined",IF(J59&gt;=4,"🟢 Managed","✅ Applicable")))))))</f>
        <v>🔴 Critical</v>
      </c>
      <c r="P59" s="179" t="str">
        <f aca="false">IF(OR(J59="",L59=""),"⏳ Complete rating and target to generate recommendation.",IF(L59&lt;=J59,"✅ Target met — sustain evidence and raise target when programme allows.",IFERROR(INDEX(_REC!$B:$B,MATCH(A59&amp;"|"&amp;IF(L59="","",LEFT(TEXT(L59,"0"),1)),_REC!$A:$A,0)),"Recommendation pending — check _REC data.")))</f>
        <v>Instrument Payment Page &amp; Script Integrity with measurable KPIs: define performance thresholds (coverage %, SLA adherence, exception count), establish automated telemetry where possible, and integrate reporting into quarterly governance cycles. Evidence must be system-generated and reviewed at each governance cycle.</v>
      </c>
      <c r="Q59" s="189" t="s">
        <v>1013</v>
      </c>
      <c r="R59" s="209" t="s">
        <v>275</v>
      </c>
      <c r="S59" s="177"/>
      <c r="T59" s="191" t="str">
        <f aca="false">IF(S59="Exclude","⬛ Excluded",IF(S59="Apply","✅ Applicable",IF((('🔍 Scoping'!$E$9="No"))&gt;0,"⬛ Auto-Excluded","✅ Applicable")))</f>
        <v>✅ Applicable</v>
      </c>
    </row>
    <row r="60" customFormat="false" ht="69.75" hidden="false" customHeight="true" outlineLevel="0" collapsed="false">
      <c r="A60" s="104" t="n">
        <v>107</v>
      </c>
      <c r="B60" s="164" t="s">
        <v>965</v>
      </c>
      <c r="C60" s="165" t="s">
        <v>366</v>
      </c>
      <c r="D60" s="165" t="s">
        <v>1014</v>
      </c>
      <c r="E60" s="165" t="s">
        <v>1015</v>
      </c>
      <c r="F60" s="203" t="s">
        <v>1016</v>
      </c>
      <c r="G60" s="203" t="s">
        <v>566</v>
      </c>
      <c r="H60" s="168" t="str">
        <f aca="false">HYPERLINK("#'📎 Evidence Register'!C112","ER-107  →  Row 112")</f>
        <v>ER-107  →  Row 112</v>
      </c>
      <c r="I60" s="204" t="s">
        <v>495</v>
      </c>
      <c r="J60" s="170" t="n">
        <f aca="false">IF(I60="","",IF(LEFT(I60,2)="L1",1,IF(LEFT(I60,2)="L2",2,IF(LEFT(I60,2)="L3",3,IF(LEFT(I60,2)="L4",4,IF(LEFT(I60,2)="L5",5,""))))))</f>
        <v>1</v>
      </c>
      <c r="K60" s="205" t="s">
        <v>496</v>
      </c>
      <c r="L60" s="172" t="n">
        <f aca="false">IF(K60="","",IF(LEFT(K60,2)="L1",1,IF(LEFT(K60,2)="L2",2,IF(LEFT(K60,2)="L3",3,IF(LEFT(K60,2)="L4",4,IF(LEFT(K60,2)="L5",5,""))))))</f>
        <v>3</v>
      </c>
      <c r="M60" s="173" t="n">
        <f aca="false">IFERROR(IF(OR(J60="",L60=""),"—",L60-J60),"—")</f>
        <v>2</v>
      </c>
      <c r="N60" s="174" t="str">
        <f aca="false">IFERROR(IF(I60="","⏳ Select a maturity rating to see the level description for this specific control.",INDEX(_DV!$1:$5,MATCH(LEFT(I60,2),{"L1","L2","L3","L4","L5"},0),107)),"⏳ Select a maturity rating.")</f>
        <v>L1 — Initial: Software Supply Chain Security is absent or ad hoc. No formal process, no documentation, no named owner. Controls exist only reactively after incidents.</v>
      </c>
      <c r="O60" s="108" t="str">
        <f aca="false">IF(S60="Exclude","⬛ Not Applicable",IF(T60="⬛ Auto-Excluded","⬛ Not Applicable",IF(I60="","✅ Applicable",IF(J60=1,"🔴 Critical",IF(J60=2,"🟠 Developing",IF(J60=3,"🟡 Defined",IF(J60&gt;=4,"🟢 Managed","✅ Applicable")))))))</f>
        <v>🔴 Critical</v>
      </c>
      <c r="P60" s="164" t="str">
        <f aca="false">IF(OR(J60="",L60=""),"⏳ Complete rating and target to generate recommendation.",IF(L60&lt;=J60,"✅ Target met — sustain evidence and raise target when programme allows.",IFERROR(INDEX(_REC!$B:$B,MATCH(A60&amp;"|"&amp;IF(L60="","",LEFT(TEXT(L60,"0"),1)),_REC!$A:$A,0)),"Recommendation pending — check _REC data.")))</f>
        <v>Standardise Software Supply Chain Security: formalise all documentation, apply the control consistently across all in-scope assets, close remaining coverage gaps, and ensure evidence is collected routinely. Exceptions must be formally managed with named owners and defined expiry dates.</v>
      </c>
      <c r="Q60" s="175" t="s">
        <v>1017</v>
      </c>
      <c r="R60" s="206" t="s">
        <v>275</v>
      </c>
      <c r="S60" s="177"/>
      <c r="T60" s="178" t="str">
        <f aca="false">IF(S60="Exclude","⬛ Excluded",IF(S60="Apply","✅ Applicable",IF((('🔍 Scoping'!$E$24="No"))&gt;0,"⬛ Auto-Excluded","✅ Applicable")))</f>
        <v>✅ Applicable</v>
      </c>
    </row>
    <row r="61" customFormat="false" ht="69.75" hidden="false" customHeight="true" outlineLevel="0" collapsed="false">
      <c r="A61" s="104" t="n">
        <v>108</v>
      </c>
      <c r="B61" s="179" t="s">
        <v>965</v>
      </c>
      <c r="C61" s="180" t="s">
        <v>367</v>
      </c>
      <c r="D61" s="180" t="s">
        <v>1018</v>
      </c>
      <c r="E61" s="180" t="s">
        <v>1019</v>
      </c>
      <c r="F61" s="207" t="s">
        <v>1020</v>
      </c>
      <c r="G61" s="207" t="s">
        <v>566</v>
      </c>
      <c r="H61" s="183" t="str">
        <f aca="false">HYPERLINK("#'📎 Evidence Register'!C113","ER-108  →  Row 113")</f>
        <v>ER-108  →  Row 113</v>
      </c>
      <c r="I61" s="204" t="s">
        <v>495</v>
      </c>
      <c r="J61" s="184" t="n">
        <f aca="false">IF(I61="","",IF(LEFT(I61,2)="L1",1,IF(LEFT(I61,2)="L2",2,IF(LEFT(I61,2)="L3",3,IF(LEFT(I61,2)="L4",4,IF(LEFT(I61,2)="L5",5,""))))))</f>
        <v>1</v>
      </c>
      <c r="K61" s="208" t="s">
        <v>496</v>
      </c>
      <c r="L61" s="186" t="n">
        <f aca="false">IF(K61="","",IF(LEFT(K61,2)="L1",1,IF(LEFT(K61,2)="L2",2,IF(LEFT(K61,2)="L3",3,IF(LEFT(K61,2)="L4",4,IF(LEFT(K61,2)="L5",5,""))))))</f>
        <v>3</v>
      </c>
      <c r="M61" s="187" t="n">
        <f aca="false">IFERROR(IF(OR(J61="",L61=""),"—",L61-J61),"—")</f>
        <v>2</v>
      </c>
      <c r="N61" s="188" t="str">
        <f aca="false">IFERROR(IF(I61="","⏳ Select a maturity rating to see the level description for this specific control.",INDEX(_DV!$1:$5,MATCH(LEFT(I61,2),{"L1","L2","L3","L4","L5"},0),108)),"⏳ Select a maturity rating.")</f>
        <v>L1 — Initial: Threat Modelling Programme is absent or ad hoc. No formal process, no documentation, no named owner. Controls exist only reactively after incidents.</v>
      </c>
      <c r="O61" s="113" t="str">
        <f aca="false">IF(S61="Exclude","⬛ Not Applicable",IF(T61="⬛ Auto-Excluded","⬛ Not Applicable",IF(I61="","✅ Applicable",IF(J61=1,"🔴 Critical",IF(J61=2,"🟠 Developing",IF(J61=3,"🟡 Defined",IF(J61&gt;=4,"🟢 Managed","✅ Applicable")))))))</f>
        <v>🔴 Critical</v>
      </c>
      <c r="P61" s="179" t="str">
        <f aca="false">IF(OR(J61="",L61=""),"⏳ Complete rating and target to generate recommendation.",IF(L61&lt;=J61,"✅ Target met — sustain evidence and raise target when programme allows.",IFERROR(INDEX(_REC!$B:$B,MATCH(A61&amp;"|"&amp;IF(L61="","",LEFT(TEXT(L61,"0"),1)),_REC!$A:$A,0)),"Recommendation pending — check _REC data.")))</f>
        <v>Standardise Threat Modelling Programme: formalise all documentation, apply the control consistently across all in-scope assets, close remaining coverage gaps, and ensure evidence is collected routinely. Exceptions must be formally managed with named owners and defined expiry dates.</v>
      </c>
      <c r="Q61" s="189" t="s">
        <v>1021</v>
      </c>
      <c r="R61" s="209" t="s">
        <v>275</v>
      </c>
      <c r="S61" s="177"/>
      <c r="T61" s="191" t="str">
        <f aca="false">IF(S61="Exclude","⬛ Excluded",IF(S61="Apply","✅ Applicable",IF((('🔍 Scoping'!$E$24="No"))&gt;0,"⬛ Auto-Excluded","✅ Applicable")))</f>
        <v>✅ Applicable</v>
      </c>
    </row>
    <row r="62" customFormat="false" ht="69.75" hidden="false" customHeight="true" outlineLevel="0" collapsed="false">
      <c r="A62" s="104" t="n">
        <v>109</v>
      </c>
      <c r="B62" s="164" t="s">
        <v>1022</v>
      </c>
      <c r="C62" s="165" t="s">
        <v>368</v>
      </c>
      <c r="D62" s="165" t="s">
        <v>1023</v>
      </c>
      <c r="E62" s="165" t="s">
        <v>1024</v>
      </c>
      <c r="F62" s="203" t="s">
        <v>1025</v>
      </c>
      <c r="G62" s="203" t="s">
        <v>566</v>
      </c>
      <c r="H62" s="168" t="str">
        <f aca="false">HYPERLINK("#'📎 Evidence Register'!C114","ER-109  →  Row 114")</f>
        <v>ER-109  →  Row 114</v>
      </c>
      <c r="I62" s="204" t="s">
        <v>495</v>
      </c>
      <c r="J62" s="170" t="n">
        <f aca="false">IF(I62="","",IF(LEFT(I62,2)="L1",1,IF(LEFT(I62,2)="L2",2,IF(LEFT(I62,2)="L3",3,IF(LEFT(I62,2)="L4",4,IF(LEFT(I62,2)="L5",5,""))))))</f>
        <v>1</v>
      </c>
      <c r="K62" s="205" t="s">
        <v>496</v>
      </c>
      <c r="L62" s="172" t="n">
        <f aca="false">IF(K62="","",IF(LEFT(K62,2)="L1",1,IF(LEFT(K62,2)="L2",2,IF(LEFT(K62,2)="L3",3,IF(LEFT(K62,2)="L4",4,IF(LEFT(K62,2)="L5",5,""))))))</f>
        <v>3</v>
      </c>
      <c r="M62" s="173" t="n">
        <f aca="false">IFERROR(IF(OR(J62="",L62=""),"—",L62-J62),"—")</f>
        <v>2</v>
      </c>
      <c r="N62" s="174" t="str">
        <f aca="false">IFERROR(IF(I62="","⏳ Select a maturity rating to see the level description for this specific control.",INDEX(_DV!$1:$5,MATCH(LEFT(I62,2),{"L1","L2","L3","L4","L5"},0),109)),"⏳ Select a maturity rating.")</f>
        <v>L1 — Initial: Cloud Security Posture Management (CSPM) is absent or ad hoc. No formal process, no documentation, no named owner. Controls exist only reactively after incidents.</v>
      </c>
      <c r="O62" s="108" t="str">
        <f aca="false">IF(S62="Exclude","⬛ Not Applicable",IF(T62="⬛ Auto-Excluded","⬛ Not Applicable",IF(I62="","✅ Applicable",IF(J62=1,"🔴 Critical",IF(J62=2,"🟠 Developing",IF(J62=3,"🟡 Defined",IF(J62&gt;=4,"🟢 Managed","✅ Applicable")))))))</f>
        <v>🔴 Critical</v>
      </c>
      <c r="P62" s="164" t="str">
        <f aca="false">IF(OR(J62="",L62=""),"⏳ Complete rating and target to generate recommendation.",IF(L62&lt;=J62,"✅ Target met — sustain evidence and raise target when programme allows.",IFERROR(INDEX(_REC!$B:$B,MATCH(A62&amp;"|"&amp;IF(L62="","",LEFT(TEXT(L62,"0"),1)),_REC!$A:$A,0)),"Recommendation pending — check _REC data.")))</f>
        <v>Standardise Cloud Security Posture Management (CSPM): formalise all documentation, apply the control consistently across all in-scope assets, close remaining coverage gaps, and ensure evidence is collected routinely. Exceptions must be formally managed with named owners and defined expiry dates.</v>
      </c>
      <c r="Q62" s="175" t="s">
        <v>1026</v>
      </c>
      <c r="R62" s="206" t="s">
        <v>287</v>
      </c>
      <c r="S62" s="177"/>
      <c r="T62" s="178" t="str">
        <f aca="false">IF(S62="Exclude","⬛ Excluded",IF(S62="Apply","✅ Applicable",IF((('🔍 Scoping'!$E$20="No"))&gt;0,"⬛ Auto-Excluded","✅ Applicable")))</f>
        <v>✅ Applicable</v>
      </c>
    </row>
    <row r="63" customFormat="false" ht="69.75" hidden="false" customHeight="true" outlineLevel="0" collapsed="false">
      <c r="A63" s="104" t="n">
        <v>110</v>
      </c>
      <c r="B63" s="179" t="s">
        <v>1022</v>
      </c>
      <c r="C63" s="180" t="s">
        <v>369</v>
      </c>
      <c r="D63" s="180" t="s">
        <v>1027</v>
      </c>
      <c r="E63" s="180" t="s">
        <v>1028</v>
      </c>
      <c r="F63" s="207" t="s">
        <v>1029</v>
      </c>
      <c r="G63" s="207" t="s">
        <v>1030</v>
      </c>
      <c r="H63" s="183" t="str">
        <f aca="false">HYPERLINK("#'📎 Evidence Register'!C115","ER-110  →  Row 115")</f>
        <v>ER-110  →  Row 115</v>
      </c>
      <c r="I63" s="204" t="s">
        <v>495</v>
      </c>
      <c r="J63" s="184" t="n">
        <f aca="false">IF(I63="","",IF(LEFT(I63,2)="L1",1,IF(LEFT(I63,2)="L2",2,IF(LEFT(I63,2)="L3",3,IF(LEFT(I63,2)="L4",4,IF(LEFT(I63,2)="L5",5,""))))))</f>
        <v>1</v>
      </c>
      <c r="K63" s="208" t="s">
        <v>496</v>
      </c>
      <c r="L63" s="186" t="n">
        <f aca="false">IF(K63="","",IF(LEFT(K63,2)="L1",1,IF(LEFT(K63,2)="L2",2,IF(LEFT(K63,2)="L3",3,IF(LEFT(K63,2)="L4",4,IF(LEFT(K63,2)="L5",5,""))))))</f>
        <v>3</v>
      </c>
      <c r="M63" s="187" t="n">
        <f aca="false">IFERROR(IF(OR(J63="",L63=""),"—",L63-J63),"—")</f>
        <v>2</v>
      </c>
      <c r="N63" s="188" t="str">
        <f aca="false">IFERROR(IF(I63="","⏳ Select a maturity rating to see the level description for this specific control.",INDEX(_DV!$1:$5,MATCH(LEFT(I63,2),{"L1","L2","L3","L4","L5"},0),110)),"⏳ Select a maturity rating.")</f>
        <v>L1 — Initial: Cloud Infrastructure Entitlement Management (CIEM) is absent or ad hoc. No formal process, no documentation, no named owner. Controls exist only reactively after incidents.</v>
      </c>
      <c r="O63" s="113" t="str">
        <f aca="false">IF(S63="Exclude","⬛ Not Applicable",IF(T63="⬛ Auto-Excluded","⬛ Not Applicable",IF(I63="","✅ Applicable",IF(J63=1,"🔴 Critical",IF(J63=2,"🟠 Developing",IF(J63=3,"🟡 Defined",IF(J63&gt;=4,"🟢 Managed","✅ Applicable")))))))</f>
        <v>🔴 Critical</v>
      </c>
      <c r="P63" s="179" t="str">
        <f aca="false">IF(OR(J63="",L63=""),"⏳ Complete rating and target to generate recommendation.",IF(L63&lt;=J63,"✅ Target met — sustain evidence and raise target when programme allows.",IFERROR(INDEX(_REC!$B:$B,MATCH(A63&amp;"|"&amp;IF(L63="","",LEFT(TEXT(L63,"0"),1)),_REC!$A:$A,0)),"Recommendation pending — check _REC data.")))</f>
        <v>Standardise Cloud Infrastructure Entitlement Management (CIEM): formalise all documentation, apply the control consistently across all in-scope assets, close remaining coverage gaps, and ensure evidence is collected routinely. Exceptions must be formally managed with named owners and defined expiry dates.</v>
      </c>
      <c r="Q63" s="189" t="s">
        <v>1031</v>
      </c>
      <c r="R63" s="209" t="s">
        <v>287</v>
      </c>
      <c r="S63" s="177"/>
      <c r="T63" s="191" t="str">
        <f aca="false">IF(S63="Exclude","⬛ Excluded",IF(S63="Apply","✅ Applicable",IF((('🔍 Scoping'!$E$20="No"))&gt;0,"⬛ Auto-Excluded","✅ Applicable")))</f>
        <v>✅ Applicable</v>
      </c>
    </row>
    <row r="64" customFormat="false" ht="69.75" hidden="false" customHeight="true" outlineLevel="0" collapsed="false">
      <c r="A64" s="104" t="n">
        <v>111</v>
      </c>
      <c r="B64" s="164" t="s">
        <v>1022</v>
      </c>
      <c r="C64" s="165" t="s">
        <v>370</v>
      </c>
      <c r="D64" s="165" t="s">
        <v>1032</v>
      </c>
      <c r="E64" s="165" t="s">
        <v>1033</v>
      </c>
      <c r="F64" s="203" t="s">
        <v>1034</v>
      </c>
      <c r="G64" s="203" t="s">
        <v>1035</v>
      </c>
      <c r="H64" s="168" t="str">
        <f aca="false">HYPERLINK("#'📎 Evidence Register'!C116","ER-111  →  Row 116")</f>
        <v>ER-111  →  Row 116</v>
      </c>
      <c r="I64" s="204" t="s">
        <v>495</v>
      </c>
      <c r="J64" s="170" t="n">
        <f aca="false">IF(I64="","",IF(LEFT(I64,2)="L1",1,IF(LEFT(I64,2)="L2",2,IF(LEFT(I64,2)="L3",3,IF(LEFT(I64,2)="L4",4,IF(LEFT(I64,2)="L5",5,""))))))</f>
        <v>1</v>
      </c>
      <c r="K64" s="205" t="s">
        <v>496</v>
      </c>
      <c r="L64" s="172" t="n">
        <f aca="false">IF(K64="","",IF(LEFT(K64,2)="L1",1,IF(LEFT(K64,2)="L2",2,IF(LEFT(K64,2)="L3",3,IF(LEFT(K64,2)="L4",4,IF(LEFT(K64,2)="L5",5,""))))))</f>
        <v>3</v>
      </c>
      <c r="M64" s="173" t="n">
        <f aca="false">IFERROR(IF(OR(J64="",L64=""),"—",L64-J64),"—")</f>
        <v>2</v>
      </c>
      <c r="N64" s="174" t="str">
        <f aca="false">IFERROR(IF(I64="","⏳ Select a maturity rating to see the level description for this specific control.",INDEX(_DV!$1:$5,MATCH(LEFT(I64,2),{"L1","L2","L3","L4","L5"},0),111)),"⏳ Select a maturity rating.")</f>
        <v>L1 — Initial: Cloud Shared Responsibility Matrix is absent or ad hoc. No formal process, no documentation, no named owner. Controls exist only reactively after incidents.</v>
      </c>
      <c r="O64" s="108" t="str">
        <f aca="false">IF(S64="Exclude","⬛ Not Applicable",IF(T64="⬛ Auto-Excluded","⬛ Not Applicable",IF(I64="","✅ Applicable",IF(J64=1,"🔴 Critical",IF(J64=2,"🟠 Developing",IF(J64=3,"🟡 Defined",IF(J64&gt;=4,"🟢 Managed","✅ Applicable")))))))</f>
        <v>🔴 Critical</v>
      </c>
      <c r="P64" s="164" t="str">
        <f aca="false">IF(OR(J64="",L64=""),"⏳ Complete rating and target to generate recommendation.",IF(L64&lt;=J64,"✅ Target met — sustain evidence and raise target when programme allows.",IFERROR(INDEX(_REC!$B:$B,MATCH(A64&amp;"|"&amp;IF(L64="","",LEFT(TEXT(L64,"0"),1)),_REC!$A:$A,0)),"Recommendation pending — check _REC data.")))</f>
        <v>Standardise Cloud Shared Responsibility Matrix: formalise all documentation, apply the control consistently across all in-scope assets, close remaining coverage gaps, and ensure evidence is collected routinely. Exceptions must be formally managed with named owners and defined expiry dates.</v>
      </c>
      <c r="Q64" s="175" t="s">
        <v>1036</v>
      </c>
      <c r="R64" s="206" t="s">
        <v>287</v>
      </c>
      <c r="S64" s="177"/>
      <c r="T64" s="178" t="str">
        <f aca="false">IF(S64="Exclude","⬛ Excluded",IF(S64="Apply","✅ Applicable",IF((('🔍 Scoping'!$E$20="No"))&gt;0,"⬛ Auto-Excluded","✅ Applicable")))</f>
        <v>✅ Applicable</v>
      </c>
    </row>
    <row r="65" customFormat="false" ht="69.75" hidden="false" customHeight="true" outlineLevel="0" collapsed="false">
      <c r="A65" s="104" t="n">
        <v>112</v>
      </c>
      <c r="B65" s="179" t="s">
        <v>1022</v>
      </c>
      <c r="C65" s="180" t="s">
        <v>371</v>
      </c>
      <c r="D65" s="180" t="s">
        <v>1037</v>
      </c>
      <c r="E65" s="180" t="s">
        <v>1038</v>
      </c>
      <c r="F65" s="207" t="s">
        <v>1039</v>
      </c>
      <c r="G65" s="207" t="s">
        <v>1040</v>
      </c>
      <c r="H65" s="183" t="str">
        <f aca="false">HYPERLINK("#'📎 Evidence Register'!C117","ER-112  →  Row 117")</f>
        <v>ER-112  →  Row 117</v>
      </c>
      <c r="I65" s="204" t="s">
        <v>508</v>
      </c>
      <c r="J65" s="184" t="n">
        <f aca="false">IF(I65="","",IF(LEFT(I65,2)="L1",1,IF(LEFT(I65,2)="L2",2,IF(LEFT(I65,2)="L3",3,IF(LEFT(I65,2)="L4",4,IF(LEFT(I65,2)="L5",5,""))))))</f>
        <v>2</v>
      </c>
      <c r="K65" s="208" t="s">
        <v>496</v>
      </c>
      <c r="L65" s="186" t="n">
        <f aca="false">IF(K65="","",IF(LEFT(K65,2)="L1",1,IF(LEFT(K65,2)="L2",2,IF(LEFT(K65,2)="L3",3,IF(LEFT(K65,2)="L4",4,IF(LEFT(K65,2)="L5",5,""))))))</f>
        <v>3</v>
      </c>
      <c r="M65" s="187" t="n">
        <f aca="false">IFERROR(IF(OR(J65="",L65=""),"—",L65-J65),"—")</f>
        <v>1</v>
      </c>
      <c r="N65" s="188" t="str">
        <f aca="false">IFERROR(IF(I65="","⏳ Select a maturity rating to see the level description for this specific control.",INDEX(_DV!$1:$5,MATCH(LEFT(I65,2),{"L1","L2","L3","L4","L5"},0),112)),"⏳ Select a maturity rating.")</f>
        <v>L2 — Developing: Cloud Native Security Controls (AWS/Azure/GCP) has basic controls in place but coverage is incomplete and execution is manual. Not consistently applied across all in-scope assets. Formal governance is absent.</v>
      </c>
      <c r="O65" s="113" t="str">
        <f aca="false">IF(S65="Exclude","⬛ Not Applicable",IF(T65="⬛ Auto-Excluded","⬛ Not Applicable",IF(I65="","✅ Applicable",IF(J65=1,"🔴 Critical",IF(J65=2,"🟠 Developing",IF(J65=3,"🟡 Defined",IF(J65&gt;=4,"🟢 Managed","✅ Applicable")))))))</f>
        <v>🟠 Developing</v>
      </c>
      <c r="P65" s="179" t="str">
        <f aca="false">IF(OR(J65="",L65=""),"⏳ Complete rating and target to generate recommendation.",IF(L65&lt;=J65,"✅ Target met — sustain evidence and raise target when programme allows.",IFERROR(INDEX(_REC!$B:$B,MATCH(A65&amp;"|"&amp;IF(L65="","",LEFT(TEXT(L65,"0"),1)),_REC!$A:$A,0)),"Recommendation pending — check _REC data.")))</f>
        <v>Standardise Cloud Native Security Controls (AWS/Azure/GCP): formalise all documentation, apply the control consistently across all in-scope assets, close remaining coverage gaps, and ensure evidence is collected routinely. Exceptions must be formally managed with named owners and defined expiry dates.</v>
      </c>
      <c r="Q65" s="189" t="s">
        <v>1041</v>
      </c>
      <c r="R65" s="209" t="s">
        <v>287</v>
      </c>
      <c r="S65" s="177"/>
      <c r="T65" s="191" t="str">
        <f aca="false">IF(S65="Exclude","⬛ Excluded",IF(S65="Apply","✅ Applicable",IF((('🔍 Scoping'!$E$20="No"))&gt;0,"⬛ Auto-Excluded","✅ Applicable")))</f>
        <v>✅ Applicable</v>
      </c>
    </row>
    <row r="66" customFormat="false" ht="69.75" hidden="false" customHeight="true" outlineLevel="0" collapsed="false">
      <c r="A66" s="104" t="n">
        <v>113</v>
      </c>
      <c r="B66" s="164" t="s">
        <v>1022</v>
      </c>
      <c r="C66" s="165" t="s">
        <v>372</v>
      </c>
      <c r="D66" s="165" t="s">
        <v>1042</v>
      </c>
      <c r="E66" s="165" t="s">
        <v>1043</v>
      </c>
      <c r="F66" s="203" t="s">
        <v>1044</v>
      </c>
      <c r="G66" s="203" t="s">
        <v>1045</v>
      </c>
      <c r="H66" s="168" t="str">
        <f aca="false">HYPERLINK("#'📎 Evidence Register'!C118","ER-113  →  Row 118")</f>
        <v>ER-113  →  Row 118</v>
      </c>
      <c r="I66" s="204" t="s">
        <v>508</v>
      </c>
      <c r="J66" s="170" t="n">
        <f aca="false">IF(I66="","",IF(LEFT(I66,2)="L1",1,IF(LEFT(I66,2)="L2",2,IF(LEFT(I66,2)="L3",3,IF(LEFT(I66,2)="L4",4,IF(LEFT(I66,2)="L5",5,""))))))</f>
        <v>2</v>
      </c>
      <c r="K66" s="205" t="s">
        <v>545</v>
      </c>
      <c r="L66" s="172" t="n">
        <f aca="false">IF(K66="","",IF(LEFT(K66,2)="L1",1,IF(LEFT(K66,2)="L2",2,IF(LEFT(K66,2)="L3",3,IF(LEFT(K66,2)="L4",4,IF(LEFT(K66,2)="L5",5,""))))))</f>
        <v>4</v>
      </c>
      <c r="M66" s="173" t="n">
        <f aca="false">IFERROR(IF(OR(J66="",L66=""),"—",L66-J66),"—")</f>
        <v>2</v>
      </c>
      <c r="N66" s="174" t="str">
        <f aca="false">IFERROR(IF(I66="","⏳ Select a maturity rating to see the level description for this specific control.",INDEX(_DV!$1:$5,MATCH(LEFT(I66,2),{"L1","L2","L3","L4","L5"},0),113)),"⏳ Select a maturity rating.")</f>
        <v>L2 — Developing: Cloud Key Management &amp; HSM has basic controls in place but coverage is incomplete and execution is manual. Not consistently applied across all in-scope assets. Formal governance is absent.</v>
      </c>
      <c r="O66" s="108" t="str">
        <f aca="false">IF(S66="Exclude","⬛ Not Applicable",IF(T66="⬛ Auto-Excluded","⬛ Not Applicable",IF(I66="","✅ Applicable",IF(J66=1,"🔴 Critical",IF(J66=2,"🟠 Developing",IF(J66=3,"🟡 Defined",IF(J66&gt;=4,"🟢 Managed","✅ Applicable")))))))</f>
        <v>🟠 Developing</v>
      </c>
      <c r="P66" s="164" t="str">
        <f aca="false">IF(OR(J66="",L66=""),"⏳ Complete rating and target to generate recommendation.",IF(L66&lt;=J66,"✅ Target met — sustain evidence and raise target when programme allows.",IFERROR(INDEX(_REC!$B:$B,MATCH(A66&amp;"|"&amp;IF(L66="","",LEFT(TEXT(L66,"0"),1)),_REC!$A:$A,0)),"Recommendation pending — check _REC data.")))</f>
        <v>Instrument Cloud Key Management &amp; HSM with measurable KPIs: define performance thresholds (coverage %, SLA adherence, exception count), establish automated telemetry where possible, and integrate reporting into quarterly governance cycles. Evidence must be system-generated and reviewed at each governance cycle.</v>
      </c>
      <c r="Q66" s="175" t="s">
        <v>1046</v>
      </c>
      <c r="R66" s="206" t="s">
        <v>287</v>
      </c>
      <c r="S66" s="177"/>
      <c r="T66" s="178" t="str">
        <f aca="false">IF(S66="Exclude","⬛ Excluded",IF(S66="Apply","✅ Applicable",IF((('🔍 Scoping'!$E$20="No"))&gt;0,"⬛ Auto-Excluded","✅ Applicable")))</f>
        <v>✅ Applicable</v>
      </c>
    </row>
    <row r="67" customFormat="false" ht="69.75" hidden="false" customHeight="true" outlineLevel="0" collapsed="false">
      <c r="A67" s="104" t="n">
        <v>114</v>
      </c>
      <c r="B67" s="179" t="s">
        <v>1022</v>
      </c>
      <c r="C67" s="180" t="s">
        <v>373</v>
      </c>
      <c r="D67" s="180" t="s">
        <v>1047</v>
      </c>
      <c r="E67" s="180" t="s">
        <v>1048</v>
      </c>
      <c r="F67" s="207"/>
      <c r="G67" s="207"/>
      <c r="H67" s="183" t="str">
        <f aca="false">HYPERLINK("#'📎 Evidence Register'!C119","ER-114  →  Row 119")</f>
        <v>ER-114  →  Row 119</v>
      </c>
      <c r="I67" s="204"/>
      <c r="J67" s="184" t="str">
        <f aca="false">IF(I67="","",IF(LEFT(I67,2)="L1",1,IF(LEFT(I67,2)="L2",2,IF(LEFT(I67,2)="L3",3,IF(LEFT(I67,2)="L4",4,IF(LEFT(I67,2)="L5",5,""))))))</f>
        <v/>
      </c>
      <c r="K67" s="208"/>
      <c r="L67" s="186" t="str">
        <f aca="false">IF(K67="","",IF(LEFT(K67,2)="L1",1,IF(LEFT(K67,2)="L2",2,IF(LEFT(K67,2)="L3",3,IF(LEFT(K67,2)="L4",4,IF(LEFT(K67,2)="L5",5,""))))))</f>
        <v/>
      </c>
      <c r="M67" s="187" t="str">
        <f aca="false">IFERROR(IF(OR(J67="",L67=""),"—",L67-J67),"—")</f>
        <v>—</v>
      </c>
      <c r="N67" s="188" t="str">
        <f aca="false">IFERROR(IF(I67="","⏳ Select a maturity rating to see the level description for this specific control.",INDEX(_DV!$1:$5,MATCH(LEFT(I67,2),{"L1","L2","L3","L4","L5"},0),114)),"⏳ Select a maturity rating.")</f>
        <v>⏳ Select a maturity rating to see the level description for this specific control.</v>
      </c>
      <c r="O67" s="113" t="str">
        <f aca="false">IF(S67="Exclude","⬛ Not Applicable",IF(T67="⬛ Auto-Excluded","⬛ Not Applicable",IF(I67="","✅ Applicable",IF(J67=1,"🔴 Critical",IF(J67=2,"🟠 Developing",IF(J67=3,"🟡 Defined",IF(J67&gt;=4,"🟢 Managed","✅ Applicable")))))))</f>
        <v>⬛ Not Applicable</v>
      </c>
      <c r="P67" s="179" t="str">
        <f aca="false">IF(OR(J67="",L67=""),"⏳ Complete rating and target to generate recommendation.",IF(L67&lt;=J67,"✅ Target met — sustain evidence and raise target when programme allows.",IFERROR(INDEX(_REC!$B:$B,MATCH(A67&amp;"|"&amp;IF(L67="","",LEFT(TEXT(L67,"0"),1)),_REC!$A:$A,0)),"Recommendation pending — check _REC data.")))</f>
        <v>⏳ Complete rating and target to generate recommendation.</v>
      </c>
      <c r="Q67" s="189" t="s">
        <v>1049</v>
      </c>
      <c r="R67" s="209"/>
      <c r="S67" s="177" t="s">
        <v>603</v>
      </c>
      <c r="T67" s="191" t="str">
        <f aca="false">IF(S67="Exclude","⬛ Excluded",IF(S67="Apply","✅ Applicable",IF((('🔍 Scoping'!$E$14="No"))&gt;0,"⬛ Auto-Excluded","✅ Applicable")))</f>
        <v>⬛ Excluded</v>
      </c>
    </row>
    <row r="68" customFormat="false" ht="69.75" hidden="false" customHeight="true" outlineLevel="0" collapsed="false">
      <c r="A68" s="104" t="n">
        <v>115</v>
      </c>
      <c r="B68" s="164" t="s">
        <v>1022</v>
      </c>
      <c r="C68" s="165" t="s">
        <v>374</v>
      </c>
      <c r="D68" s="165" t="s">
        <v>1050</v>
      </c>
      <c r="E68" s="165" t="s">
        <v>1051</v>
      </c>
      <c r="F68" s="203" t="s">
        <v>1052</v>
      </c>
      <c r="G68" s="203" t="s">
        <v>1053</v>
      </c>
      <c r="H68" s="168" t="str">
        <f aca="false">HYPERLINK("#'📎 Evidence Register'!C120","ER-115  →  Row 120")</f>
        <v>ER-115  →  Row 120</v>
      </c>
      <c r="I68" s="204" t="s">
        <v>508</v>
      </c>
      <c r="J68" s="170" t="n">
        <f aca="false">IF(I68="","",IF(LEFT(I68,2)="L1",1,IF(LEFT(I68,2)="L2",2,IF(LEFT(I68,2)="L3",3,IF(LEFT(I68,2)="L4",4,IF(LEFT(I68,2)="L5",5,""))))))</f>
        <v>2</v>
      </c>
      <c r="K68" s="205" t="s">
        <v>545</v>
      </c>
      <c r="L68" s="172" t="n">
        <f aca="false">IF(K68="","",IF(LEFT(K68,2)="L1",1,IF(LEFT(K68,2)="L2",2,IF(LEFT(K68,2)="L3",3,IF(LEFT(K68,2)="L4",4,IF(LEFT(K68,2)="L5",5,""))))))</f>
        <v>4</v>
      </c>
      <c r="M68" s="173" t="n">
        <f aca="false">IFERROR(IF(OR(J68="",L68=""),"—",L68-J68),"—")</f>
        <v>2</v>
      </c>
      <c r="N68" s="174" t="str">
        <f aca="false">IFERROR(IF(I68="","⏳ Select a maturity rating to see the level description for this specific control.",INDEX(_DV!$1:$5,MATCH(LEFT(I68,2),{"L1","L2","L3","L4","L5"},0),115)),"⏳ Select a maturity rating.")</f>
        <v>L2 — Developing: Data Residency &amp; Sovereignty Controls has basic controls in place but coverage is incomplete and execution is manual. Not consistently applied across all in-scope assets. Formal governance is absent.</v>
      </c>
      <c r="O68" s="108" t="str">
        <f aca="false">IF(S68="Exclude","⬛ Not Applicable",IF(T68="⬛ Auto-Excluded","⬛ Not Applicable",IF(I68="","✅ Applicable",IF(J68=1,"🔴 Critical",IF(J68=2,"🟠 Developing",IF(J68=3,"🟡 Defined",IF(J68&gt;=4,"🟢 Managed","✅ Applicable")))))))</f>
        <v>🟠 Developing</v>
      </c>
      <c r="P68" s="164" t="str">
        <f aca="false">IF(OR(J68="",L68=""),"⏳ Complete rating and target to generate recommendation.",IF(L68&lt;=J68,"✅ Target met — sustain evidence and raise target when programme allows.",IFERROR(INDEX(_REC!$B:$B,MATCH(A68&amp;"|"&amp;IF(L68="","",LEFT(TEXT(L68,"0"),1)),_REC!$A:$A,0)),"Recommendation pending — check _REC data.")))</f>
        <v>Instrument Data Residency &amp; Sovereignty Controls with measurable KPIs: define performance thresholds (coverage %, SLA adherence, exception count), establish automated telemetry where possible, and integrate reporting into quarterly governance cycles. Evidence must be system-generated and reviewed at each governance cycle.</v>
      </c>
      <c r="Q68" s="175" t="s">
        <v>1054</v>
      </c>
      <c r="R68" s="206" t="s">
        <v>252</v>
      </c>
      <c r="S68" s="177"/>
      <c r="T68" s="178" t="str">
        <f aca="false">IF(S68="Exclude","⬛ Excluded",IF(S68="Apply","✅ Applicable",IF((('🔍 Scoping'!$E$20="No"))&gt;0,"⬛ Auto-Excluded","✅ Applicable")))</f>
        <v>✅ Applicable</v>
      </c>
    </row>
    <row r="69" customFormat="false" ht="69.75" hidden="false" customHeight="true" outlineLevel="0" collapsed="false">
      <c r="A69" s="104" t="n">
        <v>116</v>
      </c>
      <c r="B69" s="179" t="s">
        <v>1022</v>
      </c>
      <c r="C69" s="180" t="s">
        <v>375</v>
      </c>
      <c r="D69" s="180" t="s">
        <v>1055</v>
      </c>
      <c r="E69" s="180" t="s">
        <v>1056</v>
      </c>
      <c r="F69" s="207" t="s">
        <v>1057</v>
      </c>
      <c r="G69" s="207" t="s">
        <v>566</v>
      </c>
      <c r="H69" s="183" t="str">
        <f aca="false">HYPERLINK("#'📎 Evidence Register'!C121","ER-116  →  Row 121")</f>
        <v>ER-116  →  Row 121</v>
      </c>
      <c r="I69" s="204" t="s">
        <v>495</v>
      </c>
      <c r="J69" s="184" t="n">
        <f aca="false">IF(I69="","",IF(LEFT(I69,2)="L1",1,IF(LEFT(I69,2)="L2",2,IF(LEFT(I69,2)="L3",3,IF(LEFT(I69,2)="L4",4,IF(LEFT(I69,2)="L5",5,""))))))</f>
        <v>1</v>
      </c>
      <c r="K69" s="208" t="s">
        <v>545</v>
      </c>
      <c r="L69" s="186" t="n">
        <f aca="false">IF(K69="","",IF(LEFT(K69,2)="L1",1,IF(LEFT(K69,2)="L2",2,IF(LEFT(K69,2)="L3",3,IF(LEFT(K69,2)="L4",4,IF(LEFT(K69,2)="L5",5,""))))))</f>
        <v>4</v>
      </c>
      <c r="M69" s="187" t="n">
        <f aca="false">IFERROR(IF(OR(J69="",L69=""),"—",L69-J69),"—")</f>
        <v>3</v>
      </c>
      <c r="N69" s="188" t="str">
        <f aca="false">IFERROR(IF(I69="","⏳ Select a maturity rating to see the level description for this specific control.",INDEX(_DV!$1:$5,MATCH(LEFT(I69,2),{"L1","L2","L3","L4","L5"},0),116)),"⏳ Select a maturity rating.")</f>
        <v>L1 — Initial: SaaS Security &amp; CASB is absent or ad hoc. No formal process, no documentation, no named owner. Controls exist only reactively after incidents.</v>
      </c>
      <c r="O69" s="113" t="str">
        <f aca="false">IF(S69="Exclude","⬛ Not Applicable",IF(T69="⬛ Auto-Excluded","⬛ Not Applicable",IF(I69="","✅ Applicable",IF(J69=1,"🔴 Critical",IF(J69=2,"🟠 Developing",IF(J69=3,"🟡 Defined",IF(J69&gt;=4,"🟢 Managed","✅ Applicable")))))))</f>
        <v>🔴 Critical</v>
      </c>
      <c r="P69" s="179" t="str">
        <f aca="false">IF(OR(J69="",L69=""),"⏳ Complete rating and target to generate recommendation.",IF(L69&lt;=J69,"✅ Target met — sustain evidence and raise target when programme allows.",IFERROR(INDEX(_REC!$B:$B,MATCH(A69&amp;"|"&amp;IF(L69="","",LEFT(TEXT(L69,"0"),1)),_REC!$A:$A,0)),"Recommendation pending — check _REC data.")))</f>
        <v>Instrument SaaS Security &amp; CASB with measurable KPIs: define performance thresholds (coverage %, SLA adherence, exception count), establish automated telemetry where possible, and integrate reporting into quarterly governance cycles. Evidence must be system-generated and reviewed at each governance cycle.</v>
      </c>
      <c r="Q69" s="189" t="s">
        <v>1058</v>
      </c>
      <c r="R69" s="209" t="s">
        <v>249</v>
      </c>
      <c r="S69" s="177"/>
      <c r="T69" s="191" t="str">
        <f aca="false">IF(S69="Exclude","⬛ Excluded",IF(S69="Apply","✅ Applicable","✅ Applicable"))</f>
        <v>✅ Applicable</v>
      </c>
    </row>
    <row r="70" customFormat="false" ht="69.75" hidden="false" customHeight="true" outlineLevel="0" collapsed="false">
      <c r="A70" s="104" t="n">
        <v>117</v>
      </c>
      <c r="B70" s="164" t="s">
        <v>1022</v>
      </c>
      <c r="C70" s="165" t="s">
        <v>376</v>
      </c>
      <c r="D70" s="165" t="s">
        <v>1059</v>
      </c>
      <c r="E70" s="165" t="s">
        <v>1060</v>
      </c>
      <c r="F70" s="203" t="s">
        <v>1061</v>
      </c>
      <c r="G70" s="203" t="s">
        <v>1062</v>
      </c>
      <c r="H70" s="168" t="str">
        <f aca="false">HYPERLINK("#'📎 Evidence Register'!C122","ER-117  →  Row 122")</f>
        <v>ER-117  →  Row 122</v>
      </c>
      <c r="I70" s="204" t="s">
        <v>495</v>
      </c>
      <c r="J70" s="170" t="n">
        <f aca="false">IF(I70="","",IF(LEFT(I70,2)="L1",1,IF(LEFT(I70,2)="L2",2,IF(LEFT(I70,2)="L3",3,IF(LEFT(I70,2)="L4",4,IF(LEFT(I70,2)="L5",5,""))))))</f>
        <v>1</v>
      </c>
      <c r="K70" s="205" t="s">
        <v>496</v>
      </c>
      <c r="L70" s="172" t="n">
        <f aca="false">IF(K70="","",IF(LEFT(K70,2)="L1",1,IF(LEFT(K70,2)="L2",2,IF(LEFT(K70,2)="L3",3,IF(LEFT(K70,2)="L4",4,IF(LEFT(K70,2)="L5",5,""))))))</f>
        <v>3</v>
      </c>
      <c r="M70" s="173" t="n">
        <f aca="false">IFERROR(IF(OR(J70="",L70=""),"—",L70-J70),"—")</f>
        <v>2</v>
      </c>
      <c r="N70" s="174" t="str">
        <f aca="false">IFERROR(IF(I70="","⏳ Select a maturity rating to see the level description for this specific control.",INDEX(_DV!$1:$5,MATCH(LEFT(I70,2),{"L1","L2","L3","L4","L5"},0),117)),"⏳ Select a maturity rating.")</f>
        <v>L1 — Initial: Cloud Configuration Drift Prevention is absent or ad hoc. No formal process, no documentation, no named owner. Controls exist only reactively after incidents.</v>
      </c>
      <c r="O70" s="108" t="str">
        <f aca="false">IF(S70="Exclude","⬛ Not Applicable",IF(T70="⬛ Auto-Excluded","⬛ Not Applicable",IF(I70="","✅ Applicable",IF(J70=1,"🔴 Critical",IF(J70=2,"🟠 Developing",IF(J70=3,"🟡 Defined",IF(J70&gt;=4,"🟢 Managed","✅ Applicable")))))))</f>
        <v>🔴 Critical</v>
      </c>
      <c r="P70" s="164" t="str">
        <f aca="false">IF(OR(J70="",L70=""),"⏳ Complete rating and target to generate recommendation.",IF(L70&lt;=J70,"✅ Target met — sustain evidence and raise target when programme allows.",IFERROR(INDEX(_REC!$B:$B,MATCH(A70&amp;"|"&amp;IF(L70="","",LEFT(TEXT(L70,"0"),1)),_REC!$A:$A,0)),"Recommendation pending — check _REC data.")))</f>
        <v>Standardise Cloud Configuration Drift Prevention: formalise all documentation, apply the control consistently across all in-scope assets, close remaining coverage gaps, and ensure evidence is collected routinely. Exceptions must be formally managed with named owners and defined expiry dates.</v>
      </c>
      <c r="Q70" s="175" t="s">
        <v>1063</v>
      </c>
      <c r="R70" s="206" t="s">
        <v>287</v>
      </c>
      <c r="S70" s="177"/>
      <c r="T70" s="178" t="str">
        <f aca="false">IF(S70="Exclude","⬛ Excluded",IF(S70="Apply","✅ Applicable",IF((('🔍 Scoping'!$E$20="No"))&gt;0,"⬛ Auto-Excluded","✅ Applicable")))</f>
        <v>✅ Applicable</v>
      </c>
    </row>
    <row r="71" customFormat="false" ht="69.75" hidden="false" customHeight="true" outlineLevel="0" collapsed="false">
      <c r="A71" s="104" t="n">
        <v>118</v>
      </c>
      <c r="B71" s="179" t="s">
        <v>1022</v>
      </c>
      <c r="C71" s="180" t="s">
        <v>377</v>
      </c>
      <c r="D71" s="180" t="s">
        <v>1064</v>
      </c>
      <c r="E71" s="180" t="s">
        <v>1065</v>
      </c>
      <c r="F71" s="207" t="s">
        <v>1066</v>
      </c>
      <c r="G71" s="207" t="s">
        <v>1067</v>
      </c>
      <c r="H71" s="183" t="str">
        <f aca="false">HYPERLINK("#'📎 Evidence Register'!C123","ER-118  →  Row 123")</f>
        <v>ER-118  →  Row 123</v>
      </c>
      <c r="I71" s="204" t="s">
        <v>495</v>
      </c>
      <c r="J71" s="184" t="n">
        <f aca="false">IF(I71="","",IF(LEFT(I71,2)="L1",1,IF(LEFT(I71,2)="L2",2,IF(LEFT(I71,2)="L3",3,IF(LEFT(I71,2)="L4",4,IF(LEFT(I71,2)="L5",5,""))))))</f>
        <v>1</v>
      </c>
      <c r="K71" s="208" t="s">
        <v>496</v>
      </c>
      <c r="L71" s="186" t="n">
        <f aca="false">IF(K71="","",IF(LEFT(K71,2)="L1",1,IF(LEFT(K71,2)="L2",2,IF(LEFT(K71,2)="L3",3,IF(LEFT(K71,2)="L4",4,IF(LEFT(K71,2)="L5",5,""))))))</f>
        <v>3</v>
      </c>
      <c r="M71" s="187" t="n">
        <f aca="false">IFERROR(IF(OR(J71="",L71=""),"—",L71-J71),"—")</f>
        <v>2</v>
      </c>
      <c r="N71" s="188" t="str">
        <f aca="false">IFERROR(IF(I71="","⏳ Select a maturity rating to see the level description for this specific control.",INDEX(_DV!$1:$5,MATCH(LEFT(I71,2),{"L1","L2","L3","L4","L5"},0),118)),"⏳ Select a maturity rating.")</f>
        <v>L1 — Initial: Container Orchestration Security (Kubernetes) is absent or ad hoc. No formal process, no documentation, no named owner. Controls exist only reactively after incidents.</v>
      </c>
      <c r="O71" s="113" t="str">
        <f aca="false">IF(S71="Exclude","⬛ Not Applicable",IF(T71="⬛ Auto-Excluded","⬛ Not Applicable",IF(I71="","✅ Applicable",IF(J71=1,"🔴 Critical",IF(J71=2,"🟠 Developing",IF(J71=3,"🟡 Defined",IF(J71&gt;=4,"🟢 Managed","✅ Applicable")))))))</f>
        <v>🔴 Critical</v>
      </c>
      <c r="P71" s="179" t="str">
        <f aca="false">IF(OR(J71="",L71=""),"⏳ Complete rating and target to generate recommendation.",IF(L71&lt;=J71,"✅ Target met — sustain evidence and raise target when programme allows.",IFERROR(INDEX(_REC!$B:$B,MATCH(A71&amp;"|"&amp;IF(L71="","",LEFT(TEXT(L71,"0"),1)),_REC!$A:$A,0)),"Recommendation pending — check _REC data.")))</f>
        <v>Standardise Container Orchestration Security (Kubernetes): formalise all documentation, apply the control consistently across all in-scope assets, close remaining coverage gaps, and ensure evidence is collected routinely. Exceptions must be formally managed with named owners and defined expiry dates.</v>
      </c>
      <c r="Q71" s="189" t="s">
        <v>1068</v>
      </c>
      <c r="R71" s="209" t="s">
        <v>287</v>
      </c>
      <c r="S71" s="177"/>
      <c r="T71" s="191" t="str">
        <f aca="false">IF(S71="Exclude","⬛ Excluded",IF(S71="Apply","✅ Applicable",IF((('🔍 Scoping'!$E$20="No"))&gt;0,"⬛ Auto-Excluded","✅ Applicable")))</f>
        <v>✅ Applicable</v>
      </c>
    </row>
    <row r="72" customFormat="false" ht="69.75" hidden="false" customHeight="true" outlineLevel="0" collapsed="false">
      <c r="A72" s="104" t="n">
        <v>119</v>
      </c>
      <c r="B72" s="164" t="s">
        <v>1022</v>
      </c>
      <c r="C72" s="165" t="s">
        <v>378</v>
      </c>
      <c r="D72" s="165" t="s">
        <v>1069</v>
      </c>
      <c r="E72" s="165" t="s">
        <v>1070</v>
      </c>
      <c r="F72" s="203" t="s">
        <v>1071</v>
      </c>
      <c r="G72" s="203" t="s">
        <v>566</v>
      </c>
      <c r="H72" s="168" t="str">
        <f aca="false">HYPERLINK("#'📎 Evidence Register'!C124","ER-119  →  Row 124")</f>
        <v>ER-119  →  Row 124</v>
      </c>
      <c r="I72" s="204" t="s">
        <v>495</v>
      </c>
      <c r="J72" s="170" t="n">
        <f aca="false">IF(I72="","",IF(LEFT(I72,2)="L1",1,IF(LEFT(I72,2)="L2",2,IF(LEFT(I72,2)="L3",3,IF(LEFT(I72,2)="L4",4,IF(LEFT(I72,2)="L5",5,""))))))</f>
        <v>1</v>
      </c>
      <c r="K72" s="205" t="s">
        <v>496</v>
      </c>
      <c r="L72" s="172" t="n">
        <f aca="false">IF(K72="","",IF(LEFT(K72,2)="L1",1,IF(LEFT(K72,2)="L2",2,IF(LEFT(K72,2)="L3",3,IF(LEFT(K72,2)="L4",4,IF(LEFT(K72,2)="L5",5,""))))))</f>
        <v>3</v>
      </c>
      <c r="M72" s="173" t="n">
        <f aca="false">IFERROR(IF(OR(J72="",L72=""),"—",L72-J72),"—")</f>
        <v>2</v>
      </c>
      <c r="N72" s="174" t="str">
        <f aca="false">IFERROR(IF(I72="","⏳ Select a maturity rating to see the level description for this specific control.",INDEX(_DV!$1:$5,MATCH(LEFT(I72,2),{"L1","L2","L3","L4","L5"},0),119)),"⏳ Select a maturity rating.")</f>
        <v>L1 — Initial: Cloud Workload Protection Platform (CWPP) is absent or ad hoc. No formal process, no documentation, no named owner. Controls exist only reactively after incidents.</v>
      </c>
      <c r="O72" s="108" t="str">
        <f aca="false">IF(S72="Exclude","⬛ Not Applicable",IF(T72="⬛ Auto-Excluded","⬛ Not Applicable",IF(I72="","✅ Applicable",IF(J72=1,"🔴 Critical",IF(J72=2,"🟠 Developing",IF(J72=3,"🟡 Defined",IF(J72&gt;=4,"🟢 Managed","✅ Applicable")))))))</f>
        <v>🔴 Critical</v>
      </c>
      <c r="P72" s="164" t="str">
        <f aca="false">IF(OR(J72="",L72=""),"⏳ Complete rating and target to generate recommendation.",IF(L72&lt;=J72,"✅ Target met — sustain evidence and raise target when programme allows.",IFERROR(INDEX(_REC!$B:$B,MATCH(A72&amp;"|"&amp;IF(L72="","",LEFT(TEXT(L72,"0"),1)),_REC!$A:$A,0)),"Recommendation pending — check _REC data.")))</f>
        <v>Standardise Cloud Workload Protection Platform (CWPP): formalise all documentation, apply the control consistently across all in-scope assets, close remaining coverage gaps, and ensure evidence is collected routinely. Exceptions must be formally managed with named owners and defined expiry dates.</v>
      </c>
      <c r="Q72" s="175" t="s">
        <v>1072</v>
      </c>
      <c r="R72" s="206" t="s">
        <v>287</v>
      </c>
      <c r="S72" s="177"/>
      <c r="T72" s="178" t="str">
        <f aca="false">IF(S72="Exclude","⬛ Excluded",IF(S72="Apply","✅ Applicable",IF((('🔍 Scoping'!$E$20="No"))&gt;0,"⬛ Auto-Excluded","✅ Applicable")))</f>
        <v>✅ Applicable</v>
      </c>
    </row>
    <row r="73" customFormat="false" ht="69.75" hidden="false" customHeight="true" outlineLevel="0" collapsed="false">
      <c r="A73" s="104" t="n">
        <v>120</v>
      </c>
      <c r="B73" s="179" t="s">
        <v>1073</v>
      </c>
      <c r="C73" s="180" t="s">
        <v>379</v>
      </c>
      <c r="D73" s="180" t="s">
        <v>1074</v>
      </c>
      <c r="E73" s="180" t="s">
        <v>1075</v>
      </c>
      <c r="F73" s="207"/>
      <c r="G73" s="207"/>
      <c r="H73" s="183" t="str">
        <f aca="false">HYPERLINK("#'📎 Evidence Register'!C125","ER-120  →  Row 125")</f>
        <v>ER-120  →  Row 125</v>
      </c>
      <c r="I73" s="204"/>
      <c r="J73" s="184" t="str">
        <f aca="false">IF(I73="","",IF(LEFT(I73,2)="L1",1,IF(LEFT(I73,2)="L2",2,IF(LEFT(I73,2)="L3",3,IF(LEFT(I73,2)="L4",4,IF(LEFT(I73,2)="L5",5,""))))))</f>
        <v/>
      </c>
      <c r="K73" s="208"/>
      <c r="L73" s="186" t="str">
        <f aca="false">IF(K73="","",IF(LEFT(K73,2)="L1",1,IF(LEFT(K73,2)="L2",2,IF(LEFT(K73,2)="L3",3,IF(LEFT(K73,2)="L4",4,IF(LEFT(K73,2)="L5",5,""))))))</f>
        <v/>
      </c>
      <c r="M73" s="187" t="str">
        <f aca="false">IFERROR(IF(OR(J73="",L73=""),"—",L73-J73),"—")</f>
        <v>—</v>
      </c>
      <c r="N73" s="188" t="str">
        <f aca="false">IFERROR(IF(I73="","⏳ Select a maturity rating to see the level description for this specific control.",INDEX(_DV!$1:$5,MATCH(LEFT(I73,2),{"L1","L2","L3","L4","L5"},0),120)),"⏳ Select a maturity rating.")</f>
        <v>⏳ Select a maturity rating to see the level description for this specific control.</v>
      </c>
      <c r="O73" s="113" t="str">
        <f aca="false">IF(S73="Exclude","⬛ Not Applicable",IF(T73="⬛ Auto-Excluded","⬛ Not Applicable",IF(I73="","✅ Applicable",IF(J73=1,"🔴 Critical",IF(J73=2,"🟠 Developing",IF(J73=3,"🟡 Defined",IF(J73&gt;=4,"🟢 Managed","✅ Applicable")))))))</f>
        <v>⬛ Not Applicable</v>
      </c>
      <c r="P73" s="179" t="str">
        <f aca="false">IF(OR(J73="",L73=""),"⏳ Complete rating and target to generate recommendation.",IF(L73&lt;=J73,"✅ Target met — sustain evidence and raise target when programme allows.",IFERROR(INDEX(_REC!$B:$B,MATCH(A73&amp;"|"&amp;IF(L73="","",LEFT(TEXT(L73,"0"),1)),_REC!$A:$A,0)),"Recommendation pending — check _REC data.")))</f>
        <v>⏳ Complete rating and target to generate recommendation.</v>
      </c>
      <c r="Q73" s="189" t="s">
        <v>1076</v>
      </c>
      <c r="R73" s="209"/>
      <c r="S73" s="177" t="s">
        <v>603</v>
      </c>
      <c r="T73" s="191" t="str">
        <f aca="false">IF(S73="Exclude","⬛ Excluded",IF(S73="Apply","✅ Applicable",IF((('🔍 Scoping'!$E$27="No"))&gt;0,"⬛ Auto-Excluded","✅ Applicable")))</f>
        <v>⬛ Excluded</v>
      </c>
    </row>
    <row r="74" customFormat="false" ht="69.75" hidden="false" customHeight="true" outlineLevel="0" collapsed="false">
      <c r="A74" s="104" t="n">
        <v>121</v>
      </c>
      <c r="B74" s="164" t="s">
        <v>1073</v>
      </c>
      <c r="C74" s="165" t="s">
        <v>380</v>
      </c>
      <c r="D74" s="165" t="s">
        <v>1077</v>
      </c>
      <c r="E74" s="165" t="s">
        <v>1078</v>
      </c>
      <c r="F74" s="203"/>
      <c r="G74" s="203"/>
      <c r="H74" s="168" t="str">
        <f aca="false">HYPERLINK("#'📎 Evidence Register'!C126","ER-121  →  Row 126")</f>
        <v>ER-121  →  Row 126</v>
      </c>
      <c r="I74" s="204"/>
      <c r="J74" s="170" t="str">
        <f aca="false">IF(I74="","",IF(LEFT(I74,2)="L1",1,IF(LEFT(I74,2)="L2",2,IF(LEFT(I74,2)="L3",3,IF(LEFT(I74,2)="L4",4,IF(LEFT(I74,2)="L5",5,""))))))</f>
        <v/>
      </c>
      <c r="K74" s="205"/>
      <c r="L74" s="172" t="str">
        <f aca="false">IF(K74="","",IF(LEFT(K74,2)="L1",1,IF(LEFT(K74,2)="L2",2,IF(LEFT(K74,2)="L3",3,IF(LEFT(K74,2)="L4",4,IF(LEFT(K74,2)="L5",5,""))))))</f>
        <v/>
      </c>
      <c r="M74" s="173" t="str">
        <f aca="false">IFERROR(IF(OR(J74="",L74=""),"—",L74-J74),"—")</f>
        <v>—</v>
      </c>
      <c r="N74" s="174" t="str">
        <f aca="false">IFERROR(IF(I74="","⏳ Select a maturity rating to see the level description for this specific control.",INDEX(_DV!$1:$5,MATCH(LEFT(I74,2),{"L1","L2","L3","L4","L5"},0),121)),"⏳ Select a maturity rating.")</f>
        <v>⏳ Select a maturity rating to see the level description for this specific control.</v>
      </c>
      <c r="O74" s="108" t="str">
        <f aca="false">IF(S74="Exclude","⬛ Not Applicable",IF(T74="⬛ Auto-Excluded","⬛ Not Applicable",IF(I74="","✅ Applicable",IF(J74=1,"🔴 Critical",IF(J74=2,"🟠 Developing",IF(J74=3,"🟡 Defined",IF(J74&gt;=4,"🟢 Managed","✅ Applicable")))))))</f>
        <v>✅ Applicable</v>
      </c>
      <c r="P74" s="164" t="str">
        <f aca="false">IF(OR(J74="",L74=""),"⏳ Complete rating and target to generate recommendation.",IF(L74&lt;=J74,"✅ Target met — sustain evidence and raise target when programme allows.",IFERROR(INDEX(_REC!$B:$B,MATCH(A74&amp;"|"&amp;IF(L74="","",LEFT(TEXT(L74,"0"),1)),_REC!$A:$A,0)),"Recommendation pending — check _REC data.")))</f>
        <v>⏳ Complete rating and target to generate recommendation.</v>
      </c>
      <c r="Q74" s="175" t="s">
        <v>1079</v>
      </c>
      <c r="R74" s="206"/>
      <c r="S74" s="177"/>
      <c r="T74" s="178" t="str">
        <f aca="false">IF(S74="Exclude","⬛ Excluded",IF(S74="Apply","✅ Applicable","✅ Applicable"))</f>
        <v>✅ Applicable</v>
      </c>
    </row>
    <row r="75" customFormat="false" ht="69.75" hidden="false" customHeight="true" outlineLevel="0" collapsed="false">
      <c r="A75" s="104" t="n">
        <v>122</v>
      </c>
      <c r="B75" s="179" t="s">
        <v>1073</v>
      </c>
      <c r="C75" s="180" t="s">
        <v>381</v>
      </c>
      <c r="D75" s="180" t="s">
        <v>1080</v>
      </c>
      <c r="E75" s="180" t="s">
        <v>1081</v>
      </c>
      <c r="F75" s="207"/>
      <c r="G75" s="207"/>
      <c r="H75" s="183" t="str">
        <f aca="false">HYPERLINK("#'📎 Evidence Register'!C127","ER-122  →  Row 127")</f>
        <v>ER-122  →  Row 127</v>
      </c>
      <c r="I75" s="204"/>
      <c r="J75" s="184" t="str">
        <f aca="false">IF(I75="","",IF(LEFT(I75,2)="L1",1,IF(LEFT(I75,2)="L2",2,IF(LEFT(I75,2)="L3",3,IF(LEFT(I75,2)="L4",4,IF(LEFT(I75,2)="L5",5,""))))))</f>
        <v/>
      </c>
      <c r="K75" s="208"/>
      <c r="L75" s="186" t="str">
        <f aca="false">IF(K75="","",IF(LEFT(K75,2)="L1",1,IF(LEFT(K75,2)="L2",2,IF(LEFT(K75,2)="L3",3,IF(LEFT(K75,2)="L4",4,IF(LEFT(K75,2)="L5",5,""))))))</f>
        <v/>
      </c>
      <c r="M75" s="187" t="str">
        <f aca="false">IFERROR(IF(OR(J75="",L75=""),"—",L75-J75),"—")</f>
        <v>—</v>
      </c>
      <c r="N75" s="188" t="str">
        <f aca="false">IFERROR(IF(I75="","⏳ Select a maturity rating to see the level description for this specific control.",INDEX(_DV!$1:$5,MATCH(LEFT(I75,2),{"L1","L2","L3","L4","L5"},0),122)),"⏳ Select a maturity rating.")</f>
        <v>⏳ Select a maturity rating to see the level description for this specific control.</v>
      </c>
      <c r="O75" s="113" t="str">
        <f aca="false">IF(S75="Exclude","⬛ Not Applicable",IF(T75="⬛ Auto-Excluded","⬛ Not Applicable",IF(I75="","✅ Applicable",IF(J75=1,"🔴 Critical",IF(J75=2,"🟠 Developing",IF(J75=3,"🟡 Defined",IF(J75&gt;=4,"🟢 Managed","✅ Applicable")))))))</f>
        <v>✅ Applicable</v>
      </c>
      <c r="P75" s="179" t="str">
        <f aca="false">IF(OR(J75="",L75=""),"⏳ Complete rating and target to generate recommendation.",IF(L75&lt;=J75,"✅ Target met — sustain evidence and raise target when programme allows.",IFERROR(INDEX(_REC!$B:$B,MATCH(A75&amp;"|"&amp;IF(L75="","",LEFT(TEXT(L75,"0"),1)),_REC!$A:$A,0)),"Recommendation pending — check _REC data.")))</f>
        <v>⏳ Complete rating and target to generate recommendation.</v>
      </c>
      <c r="Q75" s="189" t="s">
        <v>1082</v>
      </c>
      <c r="R75" s="209"/>
      <c r="S75" s="177"/>
      <c r="T75" s="191" t="str">
        <f aca="false">IF(S75="Exclude","⬛ Excluded",IF(S75="Apply","✅ Applicable","✅ Applicable"))</f>
        <v>✅ Applicable</v>
      </c>
    </row>
    <row r="76" customFormat="false" ht="69.75" hidden="false" customHeight="true" outlineLevel="0" collapsed="false">
      <c r="A76" s="104" t="n">
        <v>123</v>
      </c>
      <c r="B76" s="164" t="s">
        <v>1073</v>
      </c>
      <c r="C76" s="165" t="s">
        <v>382</v>
      </c>
      <c r="D76" s="165" t="s">
        <v>1083</v>
      </c>
      <c r="E76" s="165" t="s">
        <v>1084</v>
      </c>
      <c r="F76" s="203"/>
      <c r="G76" s="203"/>
      <c r="H76" s="168" t="str">
        <f aca="false">HYPERLINK("#'📎 Evidence Register'!C128","ER-123  →  Row 128")</f>
        <v>ER-123  →  Row 128</v>
      </c>
      <c r="I76" s="204"/>
      <c r="J76" s="170" t="str">
        <f aca="false">IF(I76="","",IF(LEFT(I76,2)="L1",1,IF(LEFT(I76,2)="L2",2,IF(LEFT(I76,2)="L3",3,IF(LEFT(I76,2)="L4",4,IF(LEFT(I76,2)="L5",5,""))))))</f>
        <v/>
      </c>
      <c r="K76" s="205"/>
      <c r="L76" s="172" t="str">
        <f aca="false">IF(K76="","",IF(LEFT(K76,2)="L1",1,IF(LEFT(K76,2)="L2",2,IF(LEFT(K76,2)="L3",3,IF(LEFT(K76,2)="L4",4,IF(LEFT(K76,2)="L5",5,""))))))</f>
        <v/>
      </c>
      <c r="M76" s="173" t="str">
        <f aca="false">IFERROR(IF(OR(J76="",L76=""),"—",L76-J76),"—")</f>
        <v>—</v>
      </c>
      <c r="N76" s="174" t="str">
        <f aca="false">IFERROR(IF(I76="","⏳ Select a maturity rating to see the level description for this specific control.",INDEX(_DV!$1:$5,MATCH(LEFT(I76,2),{"L1","L2","L3","L4","L5"},0),123)),"⏳ Select a maturity rating.")</f>
        <v>⏳ Select a maturity rating to see the level description for this specific control.</v>
      </c>
      <c r="O76" s="108" t="str">
        <f aca="false">IF(S76="Exclude","⬛ Not Applicable",IF(T76="⬛ Auto-Excluded","⬛ Not Applicable",IF(I76="","✅ Applicable",IF(J76=1,"🔴 Critical",IF(J76=2,"🟠 Developing",IF(J76=3,"🟡 Defined",IF(J76&gt;=4,"🟢 Managed","✅ Applicable")))))))</f>
        <v>✅ Applicable</v>
      </c>
      <c r="P76" s="164" t="str">
        <f aca="false">IF(OR(J76="",L76=""),"⏳ Complete rating and target to generate recommendation.",IF(L76&lt;=J76,"✅ Target met — sustain evidence and raise target when programme allows.",IFERROR(INDEX(_REC!$B:$B,MATCH(A76&amp;"|"&amp;IF(L76="","",LEFT(TEXT(L76,"0"),1)),_REC!$A:$A,0)),"Recommendation pending — check _REC data.")))</f>
        <v>⏳ Complete rating and target to generate recommendation.</v>
      </c>
      <c r="Q76" s="175" t="s">
        <v>1085</v>
      </c>
      <c r="R76" s="206"/>
      <c r="S76" s="177"/>
      <c r="T76" s="178" t="str">
        <f aca="false">IF(S76="Exclude","⬛ Excluded",IF(S76="Apply","✅ Applicable","✅ Applicable"))</f>
        <v>✅ Applicable</v>
      </c>
    </row>
    <row r="77" customFormat="false" ht="69.75" hidden="false" customHeight="true" outlineLevel="0" collapsed="false">
      <c r="A77" s="104" t="n">
        <v>124</v>
      </c>
      <c r="B77" s="179" t="s">
        <v>1086</v>
      </c>
      <c r="C77" s="180" t="s">
        <v>383</v>
      </c>
      <c r="D77" s="180" t="s">
        <v>1087</v>
      </c>
      <c r="E77" s="180" t="s">
        <v>1088</v>
      </c>
      <c r="F77" s="207" t="s">
        <v>1089</v>
      </c>
      <c r="G77" s="207" t="s">
        <v>1090</v>
      </c>
      <c r="H77" s="183" t="str">
        <f aca="false">HYPERLINK("#'📎 Evidence Register'!C129","ER-124  →  Row 129")</f>
        <v>ER-124  →  Row 129</v>
      </c>
      <c r="I77" s="204" t="s">
        <v>508</v>
      </c>
      <c r="J77" s="184" t="n">
        <f aca="false">IF(I77="","",IF(LEFT(I77,2)="L1",1,IF(LEFT(I77,2)="L2",2,IF(LEFT(I77,2)="L3",3,IF(LEFT(I77,2)="L4",4,IF(LEFT(I77,2)="L5",5,""))))))</f>
        <v>2</v>
      </c>
      <c r="K77" s="208" t="s">
        <v>545</v>
      </c>
      <c r="L77" s="186" t="n">
        <f aca="false">IF(K77="","",IF(LEFT(K77,2)="L1",1,IF(LEFT(K77,2)="L2",2,IF(LEFT(K77,2)="L3",3,IF(LEFT(K77,2)="L4",4,IF(LEFT(K77,2)="L5",5,""))))))</f>
        <v>4</v>
      </c>
      <c r="M77" s="187" t="n">
        <f aca="false">IFERROR(IF(OR(J77="",L77=""),"—",L77-J77),"—")</f>
        <v>2</v>
      </c>
      <c r="N77" s="188" t="str">
        <f aca="false">IFERROR(IF(I77="","⏳ Select a maturity rating to see the level description for this specific control.",INDEX(_DV!$1:$5,MATCH(LEFT(I77,2),{"L1","L2","L3","L4","L5"},0),124)),"⏳ Select a maturity rating.")</f>
        <v>L2 — Developing: Physical Access Control has basic controls in place but coverage is incomplete and execution is manual. Not consistently applied across all in-scope assets. Formal governance is absent.</v>
      </c>
      <c r="O77" s="113" t="str">
        <f aca="false">IF(S77="Exclude","⬛ Not Applicable",IF(T77="⬛ Auto-Excluded","⬛ Not Applicable",IF(I77="","✅ Applicable",IF(J77=1,"🔴 Critical",IF(J77=2,"🟠 Developing",IF(J77=3,"🟡 Defined",IF(J77&gt;=4,"🟢 Managed","✅ Applicable")))))))</f>
        <v>🟠 Developing</v>
      </c>
      <c r="P77" s="179" t="str">
        <f aca="false">IF(OR(J77="",L77=""),"⏳ Complete rating and target to generate recommendation.",IF(L77&lt;=J77,"✅ Target met — sustain evidence and raise target when programme allows.",IFERROR(INDEX(_REC!$B:$B,MATCH(A77&amp;"|"&amp;IF(L77="","",LEFT(TEXT(L77,"0"),1)),_REC!$A:$A,0)),"Recommendation pending — check _REC data.")))</f>
        <v>Instrument Physical Access Control with measurable KPIs: define performance thresholds (coverage %, SLA adherence, exception count), establish automated telemetry where possible, and integrate reporting into quarterly governance cycles. Evidence must be system-generated and reviewed at each governance cycle.</v>
      </c>
      <c r="Q77" s="189" t="s">
        <v>1091</v>
      </c>
      <c r="R77" s="209" t="s">
        <v>384</v>
      </c>
      <c r="S77" s="177"/>
      <c r="T77" s="191" t="str">
        <f aca="false">IF(S77="Exclude","⬛ Excluded",IF(S77="Apply","✅ Applicable","✅ Applicable"))</f>
        <v>✅ Applicable</v>
      </c>
    </row>
    <row r="78" customFormat="false" ht="69.75" hidden="false" customHeight="true" outlineLevel="0" collapsed="false">
      <c r="A78" s="104" t="n">
        <v>125</v>
      </c>
      <c r="B78" s="164" t="s">
        <v>1086</v>
      </c>
      <c r="C78" s="165" t="s">
        <v>385</v>
      </c>
      <c r="D78" s="165" t="s">
        <v>1092</v>
      </c>
      <c r="E78" s="165" t="s">
        <v>1093</v>
      </c>
      <c r="F78" s="203" t="s">
        <v>1094</v>
      </c>
      <c r="G78" s="203" t="s">
        <v>1095</v>
      </c>
      <c r="H78" s="168" t="str">
        <f aca="false">HYPERLINK("#'📎 Evidence Register'!C130","ER-125  →  Row 130")</f>
        <v>ER-125  →  Row 130</v>
      </c>
      <c r="I78" s="204" t="s">
        <v>508</v>
      </c>
      <c r="J78" s="170" t="n">
        <f aca="false">IF(I78="","",IF(LEFT(I78,2)="L1",1,IF(LEFT(I78,2)="L2",2,IF(LEFT(I78,2)="L3",3,IF(LEFT(I78,2)="L4",4,IF(LEFT(I78,2)="L5",5,""))))))</f>
        <v>2</v>
      </c>
      <c r="K78" s="205" t="s">
        <v>545</v>
      </c>
      <c r="L78" s="172" t="n">
        <f aca="false">IF(K78="","",IF(LEFT(K78,2)="L1",1,IF(LEFT(K78,2)="L2",2,IF(LEFT(K78,2)="L3",3,IF(LEFT(K78,2)="L4",4,IF(LEFT(K78,2)="L5",5,""))))))</f>
        <v>4</v>
      </c>
      <c r="M78" s="173" t="n">
        <f aca="false">IFERROR(IF(OR(J78="",L78=""),"—",L78-J78),"—")</f>
        <v>2</v>
      </c>
      <c r="N78" s="174" t="str">
        <f aca="false">IFERROR(IF(I78="","⏳ Select a maturity rating to see the level description for this specific control.",INDEX(_DV!$1:$5,MATCH(LEFT(I78,2),{"L1","L2","L3","L4","L5"},0),125)),"⏳ Select a maturity rating.")</f>
        <v>L2 — Developing: Clean Desk &amp; Screen Lock Policy has basic controls in place but coverage is incomplete and execution is manual. Not consistently applied across all in-scope assets. Formal governance is absent.</v>
      </c>
      <c r="O78" s="108" t="str">
        <f aca="false">IF(S78="Exclude","⬛ Not Applicable",IF(T78="⬛ Auto-Excluded","⬛ Not Applicable",IF(I78="","✅ Applicable",IF(J78=1,"🔴 Critical",IF(J78=2,"🟠 Developing",IF(J78=3,"🟡 Defined",IF(J78&gt;=4,"🟢 Managed","✅ Applicable")))))))</f>
        <v>🟠 Developing</v>
      </c>
      <c r="P78" s="164" t="str">
        <f aca="false">IF(OR(J78="",L78=""),"⏳ Complete rating and target to generate recommendation.",IF(L78&lt;=J78,"✅ Target met — sustain evidence and raise target when programme allows.",IFERROR(INDEX(_REC!$B:$B,MATCH(A78&amp;"|"&amp;IF(L78="","",LEFT(TEXT(L78,"0"),1)),_REC!$A:$A,0)),"Recommendation pending — check _REC data.")))</f>
        <v>Instrument Clean Desk &amp; Screen Lock Policy with measurable KPIs: define performance thresholds (coverage %, SLA adherence, exception count), establish automated telemetry where possible, and integrate reporting into quarterly governance cycles. Evidence must be system-generated and reviewed at each governance cycle.</v>
      </c>
      <c r="Q78" s="175" t="s">
        <v>1096</v>
      </c>
      <c r="R78" s="206" t="s">
        <v>254</v>
      </c>
      <c r="S78" s="177"/>
      <c r="T78" s="178" t="str">
        <f aca="false">IF(S78="Exclude","⬛ Excluded",IF(S78="Apply","✅ Applicable","✅ Applicable"))</f>
        <v>✅ Applicable</v>
      </c>
    </row>
    <row r="79" customFormat="false" ht="69.75" hidden="false" customHeight="true" outlineLevel="0" collapsed="false">
      <c r="A79" s="104" t="n">
        <v>126</v>
      </c>
      <c r="B79" s="179" t="s">
        <v>1086</v>
      </c>
      <c r="C79" s="180" t="s">
        <v>386</v>
      </c>
      <c r="D79" s="180" t="s">
        <v>1097</v>
      </c>
      <c r="E79" s="180" t="s">
        <v>1098</v>
      </c>
      <c r="F79" s="207" t="s">
        <v>1099</v>
      </c>
      <c r="G79" s="207" t="s">
        <v>1100</v>
      </c>
      <c r="H79" s="183" t="str">
        <f aca="false">HYPERLINK("#'📎 Evidence Register'!C131","ER-126  →  Row 131")</f>
        <v>ER-126  →  Row 131</v>
      </c>
      <c r="I79" s="204" t="s">
        <v>508</v>
      </c>
      <c r="J79" s="184" t="n">
        <f aca="false">IF(I79="","",IF(LEFT(I79,2)="L1",1,IF(LEFT(I79,2)="L2",2,IF(LEFT(I79,2)="L3",3,IF(LEFT(I79,2)="L4",4,IF(LEFT(I79,2)="L5",5,""))))))</f>
        <v>2</v>
      </c>
      <c r="K79" s="208" t="s">
        <v>496</v>
      </c>
      <c r="L79" s="186" t="n">
        <f aca="false">IF(K79="","",IF(LEFT(K79,2)="L1",1,IF(LEFT(K79,2)="L2",2,IF(LEFT(K79,2)="L3",3,IF(LEFT(K79,2)="L4",4,IF(LEFT(K79,2)="L5",5,""))))))</f>
        <v>3</v>
      </c>
      <c r="M79" s="187" t="n">
        <f aca="false">IFERROR(IF(OR(J79="",L79=""),"—",L79-J79),"—")</f>
        <v>1</v>
      </c>
      <c r="N79" s="188" t="str">
        <f aca="false">IFERROR(IF(I79="","⏳ Select a maturity rating to see the level description for this specific control.",INDEX(_DV!$1:$5,MATCH(LEFT(I79,2),{"L1","L2","L3","L4","L5"},0),126)),"⏳ Select a maturity rating.")</f>
        <v>L2 — Developing: Security Awareness Training — Annual has basic controls in place but coverage is incomplete and execution is manual. Not consistently applied across all in-scope assets. Formal governance is absent.</v>
      </c>
      <c r="O79" s="113" t="str">
        <f aca="false">IF(S79="Exclude","⬛ Not Applicable",IF(T79="⬛ Auto-Excluded","⬛ Not Applicable",IF(I79="","✅ Applicable",IF(J79=1,"🔴 Critical",IF(J79=2,"🟠 Developing",IF(J79=3,"🟡 Defined",IF(J79&gt;=4,"🟢 Managed","✅ Applicable")))))))</f>
        <v>🟠 Developing</v>
      </c>
      <c r="P79" s="179" t="str">
        <f aca="false">IF(OR(J79="",L79=""),"⏳ Complete rating and target to generate recommendation.",IF(L79&lt;=J79,"✅ Target met — sustain evidence and raise target when programme allows.",IFERROR(INDEX(_REC!$B:$B,MATCH(A79&amp;"|"&amp;IF(L79="","",LEFT(TEXT(L79,"0"),1)),_REC!$A:$A,0)),"Recommendation pending — check _REC data.")))</f>
        <v>Standardise Security Awareness Training — Annual: formalise all documentation, apply the control consistently across all in-scope assets, close remaining coverage gaps, and ensure evidence is collected routinely. Exceptions must be formally managed with named owners and defined expiry dates.</v>
      </c>
      <c r="Q79" s="189" t="s">
        <v>1101</v>
      </c>
      <c r="R79" s="209" t="s">
        <v>254</v>
      </c>
      <c r="S79" s="177"/>
      <c r="T79" s="191" t="str">
        <f aca="false">IF(S79="Exclude","⬛ Excluded",IF(S79="Apply","✅ Applicable","✅ Applicable"))</f>
        <v>✅ Applicable</v>
      </c>
    </row>
    <row r="80" customFormat="false" ht="69.75" hidden="false" customHeight="true" outlineLevel="0" collapsed="false">
      <c r="A80" s="104" t="n">
        <v>127</v>
      </c>
      <c r="B80" s="164" t="s">
        <v>1086</v>
      </c>
      <c r="C80" s="165" t="s">
        <v>387</v>
      </c>
      <c r="D80" s="165" t="s">
        <v>1102</v>
      </c>
      <c r="E80" s="165" t="s">
        <v>1103</v>
      </c>
      <c r="F80" s="203" t="s">
        <v>1104</v>
      </c>
      <c r="G80" s="203" t="s">
        <v>566</v>
      </c>
      <c r="H80" s="168" t="str">
        <f aca="false">HYPERLINK("#'📎 Evidence Register'!C132","ER-127  →  Row 132")</f>
        <v>ER-127  →  Row 132</v>
      </c>
      <c r="I80" s="204" t="s">
        <v>495</v>
      </c>
      <c r="J80" s="170" t="n">
        <f aca="false">IF(I80="","",IF(LEFT(I80,2)="L1",1,IF(LEFT(I80,2)="L2",2,IF(LEFT(I80,2)="L3",3,IF(LEFT(I80,2)="L4",4,IF(LEFT(I80,2)="L5",5,""))))))</f>
        <v>1</v>
      </c>
      <c r="K80" s="205" t="s">
        <v>496</v>
      </c>
      <c r="L80" s="172" t="n">
        <f aca="false">IF(K80="","",IF(LEFT(K80,2)="L1",1,IF(LEFT(K80,2)="L2",2,IF(LEFT(K80,2)="L3",3,IF(LEFT(K80,2)="L4",4,IF(LEFT(K80,2)="L5",5,""))))))</f>
        <v>3</v>
      </c>
      <c r="M80" s="173" t="n">
        <f aca="false">IFERROR(IF(OR(J80="",L80=""),"—",L80-J80),"—")</f>
        <v>2</v>
      </c>
      <c r="N80" s="174" t="str">
        <f aca="false">IFERROR(IF(I80="","⏳ Select a maturity rating to see the level description for this specific control.",INDEX(_DV!$1:$5,MATCH(LEFT(I80,2),{"L1","L2","L3","L4","L5"},0),127)),"⏳ Select a maturity rating.")</f>
        <v>L1 — Initial: Role-Specific Security Training is absent or ad hoc. No formal process, no documentation, no named owner. Controls exist only reactively after incidents.</v>
      </c>
      <c r="O80" s="108" t="str">
        <f aca="false">IF(S80="Exclude","⬛ Not Applicable",IF(T80="⬛ Auto-Excluded","⬛ Not Applicable",IF(I80="","✅ Applicable",IF(J80=1,"🔴 Critical",IF(J80=2,"🟠 Developing",IF(J80=3,"🟡 Defined",IF(J80&gt;=4,"🟢 Managed","✅ Applicable")))))))</f>
        <v>🔴 Critical</v>
      </c>
      <c r="P80" s="164" t="str">
        <f aca="false">IF(OR(J80="",L80=""),"⏳ Complete rating and target to generate recommendation.",IF(L80&lt;=J80,"✅ Target met — sustain evidence and raise target when programme allows.",IFERROR(INDEX(_REC!$B:$B,MATCH(A80&amp;"|"&amp;IF(L80="","",LEFT(TEXT(L80,"0"),1)),_REC!$A:$A,0)),"Recommendation pending — check _REC data.")))</f>
        <v>Standardise Role-Specific Security Training: formalise all documentation, apply the control consistently across all in-scope assets, close remaining coverage gaps, and ensure evidence is collected routinely. Exceptions must be formally managed with named owners and defined expiry dates.</v>
      </c>
      <c r="Q80" s="175" t="s">
        <v>1105</v>
      </c>
      <c r="R80" s="206" t="s">
        <v>254</v>
      </c>
      <c r="S80" s="177"/>
      <c r="T80" s="178" t="str">
        <f aca="false">IF(S80="Exclude","⬛ Excluded",IF(S80="Apply","✅ Applicable","✅ Applicable"))</f>
        <v>✅ Applicable</v>
      </c>
    </row>
    <row r="81" customFormat="false" ht="69.75" hidden="false" customHeight="true" outlineLevel="0" collapsed="false">
      <c r="A81" s="104" t="n">
        <v>128</v>
      </c>
      <c r="B81" s="179" t="s">
        <v>1086</v>
      </c>
      <c r="C81" s="180" t="s">
        <v>388</v>
      </c>
      <c r="D81" s="180" t="s">
        <v>1106</v>
      </c>
      <c r="E81" s="180" t="s">
        <v>1107</v>
      </c>
      <c r="F81" s="207" t="s">
        <v>1108</v>
      </c>
      <c r="G81" s="207" t="s">
        <v>566</v>
      </c>
      <c r="H81" s="183" t="str">
        <f aca="false">HYPERLINK("#'📎 Evidence Register'!C133","ER-128  →  Row 133")</f>
        <v>ER-128  →  Row 133</v>
      </c>
      <c r="I81" s="204" t="s">
        <v>495</v>
      </c>
      <c r="J81" s="184" t="n">
        <f aca="false">IF(I81="","",IF(LEFT(I81,2)="L1",1,IF(LEFT(I81,2)="L2",2,IF(LEFT(I81,2)="L3",3,IF(LEFT(I81,2)="L4",4,IF(LEFT(I81,2)="L5",5,""))))))</f>
        <v>1</v>
      </c>
      <c r="K81" s="208" t="s">
        <v>496</v>
      </c>
      <c r="L81" s="186" t="n">
        <f aca="false">IF(K81="","",IF(LEFT(K81,2)="L1",1,IF(LEFT(K81,2)="L2",2,IF(LEFT(K81,2)="L3",3,IF(LEFT(K81,2)="L4",4,IF(LEFT(K81,2)="L5",5,""))))))</f>
        <v>3</v>
      </c>
      <c r="M81" s="187" t="n">
        <f aca="false">IFERROR(IF(OR(J81="",L81=""),"—",L81-J81),"—")</f>
        <v>2</v>
      </c>
      <c r="N81" s="188" t="str">
        <f aca="false">IFERROR(IF(I81="","⏳ Select a maturity rating to see the level description for this specific control.",INDEX(_DV!$1:$5,MATCH(LEFT(I81,2),{"L1","L2","L3","L4","L5"},0),128)),"⏳ Select a maturity rating.")</f>
        <v>L1 — Initial: Phishing Simulation Programme is absent or ad hoc. No formal process, no documentation, no named owner. Controls exist only reactively after incidents.</v>
      </c>
      <c r="O81" s="113" t="str">
        <f aca="false">IF(S81="Exclude","⬛ Not Applicable",IF(T81="⬛ Auto-Excluded","⬛ Not Applicable",IF(I81="","✅ Applicable",IF(J81=1,"🔴 Critical",IF(J81=2,"🟠 Developing",IF(J81=3,"🟡 Defined",IF(J81&gt;=4,"🟢 Managed","✅ Applicable")))))))</f>
        <v>🔴 Critical</v>
      </c>
      <c r="P81" s="179" t="str">
        <f aca="false">IF(OR(J81="",L81=""),"⏳ Complete rating and target to generate recommendation.",IF(L81&lt;=J81,"✅ Target met — sustain evidence and raise target when programme allows.",IFERROR(INDEX(_REC!$B:$B,MATCH(A81&amp;"|"&amp;IF(L81="","",LEFT(TEXT(L81,"0"),1)),_REC!$A:$A,0)),"Recommendation pending — check _REC data.")))</f>
        <v>Standardise Phishing Simulation Programme: formalise all documentation, apply the control consistently across all in-scope assets, close remaining coverage gaps, and ensure evidence is collected routinely. Exceptions must be formally managed with named owners and defined expiry dates.</v>
      </c>
      <c r="Q81" s="189" t="s">
        <v>1109</v>
      </c>
      <c r="R81" s="209" t="s">
        <v>254</v>
      </c>
      <c r="S81" s="177"/>
      <c r="T81" s="191" t="str">
        <f aca="false">IF(S81="Exclude","⬛ Excluded",IF(S81="Apply","✅ Applicable","✅ Applicable"))</f>
        <v>✅ Applicable</v>
      </c>
    </row>
    <row r="82" customFormat="false" ht="69.75" hidden="false" customHeight="true" outlineLevel="0" collapsed="false">
      <c r="A82" s="104" t="n">
        <v>129</v>
      </c>
      <c r="B82" s="164" t="s">
        <v>1086</v>
      </c>
      <c r="C82" s="165" t="s">
        <v>390</v>
      </c>
      <c r="D82" s="165" t="s">
        <v>1110</v>
      </c>
      <c r="E82" s="165" t="s">
        <v>1111</v>
      </c>
      <c r="F82" s="203" t="s">
        <v>1112</v>
      </c>
      <c r="G82" s="203" t="s">
        <v>1113</v>
      </c>
      <c r="H82" s="168" t="str">
        <f aca="false">HYPERLINK("#'📎 Evidence Register'!C134","ER-129  →  Row 134")</f>
        <v>ER-129  →  Row 134</v>
      </c>
      <c r="I82" s="204" t="s">
        <v>495</v>
      </c>
      <c r="J82" s="170" t="n">
        <f aca="false">IF(I82="","",IF(LEFT(I82,2)="L1",1,IF(LEFT(I82,2)="L2",2,IF(LEFT(I82,2)="L3",3,IF(LEFT(I82,2)="L4",4,IF(LEFT(I82,2)="L5",5,""))))))</f>
        <v>1</v>
      </c>
      <c r="K82" s="205" t="s">
        <v>496</v>
      </c>
      <c r="L82" s="172" t="n">
        <f aca="false">IF(K82="","",IF(LEFT(K82,2)="L1",1,IF(LEFT(K82,2)="L2",2,IF(LEFT(K82,2)="L3",3,IF(LEFT(K82,2)="L4",4,IF(LEFT(K82,2)="L5",5,""))))))</f>
        <v>3</v>
      </c>
      <c r="M82" s="173" t="n">
        <f aca="false">IFERROR(IF(OR(J82="",L82=""),"—",L82-J82),"—")</f>
        <v>2</v>
      </c>
      <c r="N82" s="174" t="str">
        <f aca="false">IFERROR(IF(I82="","⏳ Select a maturity rating to see the level description for this specific control.",INDEX(_DV!$1:$5,MATCH(LEFT(I82,2),{"L1","L2","L3","L4","L5"},0),129)),"⏳ Select a maturity rating.")</f>
        <v>L1 — Initial: AI Literacy &amp; Security Training is absent or ad hoc. No formal process, no documentation, no named owner. Controls exist only reactively after incidents.</v>
      </c>
      <c r="O82" s="108" t="str">
        <f aca="false">IF(S82="Exclude","⬛ Not Applicable",IF(T82="⬛ Auto-Excluded","⬛ Not Applicable",IF(I82="","✅ Applicable",IF(J82=1,"🔴 Critical",IF(J82=2,"🟠 Developing",IF(J82=3,"🟡 Defined",IF(J82&gt;=4,"🟢 Managed","✅ Applicable")))))))</f>
        <v>🔴 Critical</v>
      </c>
      <c r="P82" s="164" t="str">
        <f aca="false">IF(OR(J82="",L82=""),"⏳ Complete rating and target to generate recommendation.",IF(L82&lt;=J82,"✅ Target met — sustain evidence and raise target when programme allows.",IFERROR(INDEX(_REC!$B:$B,MATCH(A82&amp;"|"&amp;IF(L82="","",LEFT(TEXT(L82,"0"),1)),_REC!$A:$A,0)),"Recommendation pending — check _REC data.")))</f>
        <v>Standardise AI Literacy &amp; Security Training: formalise all documentation, apply the control consistently across all in-scope assets, close remaining coverage gaps, and ensure evidence is collected routinely. Exceptions must be formally managed with named owners and defined expiry dates.</v>
      </c>
      <c r="Q82" s="175" t="s">
        <v>1114</v>
      </c>
      <c r="R82" s="206" t="s">
        <v>254</v>
      </c>
      <c r="S82" s="177"/>
      <c r="T82" s="178" t="str">
        <f aca="false">IF(S82="Exclude","⬛ Excluded",IF(S82="Apply","✅ Applicable","✅ Applicable"))</f>
        <v>✅ Applicable</v>
      </c>
    </row>
    <row r="83" customFormat="false" ht="69.75" hidden="false" customHeight="true" outlineLevel="0" collapsed="false">
      <c r="A83" s="104" t="n">
        <v>130</v>
      </c>
      <c r="B83" s="179" t="s">
        <v>1086</v>
      </c>
      <c r="C83" s="180" t="s">
        <v>391</v>
      </c>
      <c r="D83" s="180" t="s">
        <v>1115</v>
      </c>
      <c r="E83" s="180" t="s">
        <v>1116</v>
      </c>
      <c r="F83" s="207" t="s">
        <v>1117</v>
      </c>
      <c r="G83" s="207" t="s">
        <v>1118</v>
      </c>
      <c r="H83" s="183" t="str">
        <f aca="false">HYPERLINK("#'📎 Evidence Register'!C135","ER-130  →  Row 135")</f>
        <v>ER-130  →  Row 135</v>
      </c>
      <c r="I83" s="204" t="s">
        <v>495</v>
      </c>
      <c r="J83" s="184" t="n">
        <f aca="false">IF(I83="","",IF(LEFT(I83,2)="L1",1,IF(LEFT(I83,2)="L2",2,IF(LEFT(I83,2)="L3",3,IF(LEFT(I83,2)="L4",4,IF(LEFT(I83,2)="L5",5,""))))))</f>
        <v>1</v>
      </c>
      <c r="K83" s="208" t="s">
        <v>545</v>
      </c>
      <c r="L83" s="186" t="n">
        <f aca="false">IF(K83="","",IF(LEFT(K83,2)="L1",1,IF(LEFT(K83,2)="L2",2,IF(LEFT(K83,2)="L3",3,IF(LEFT(K83,2)="L4",4,IF(LEFT(K83,2)="L5",5,""))))))</f>
        <v>4</v>
      </c>
      <c r="M83" s="187" t="n">
        <f aca="false">IFERROR(IF(OR(J83="",L83=""),"—",L83-J83),"—")</f>
        <v>3</v>
      </c>
      <c r="N83" s="188" t="str">
        <f aca="false">IFERROR(IF(I83="","⏳ Select a maturity rating to see the level description for this specific control.",INDEX(_DV!$1:$5,MATCH(LEFT(I83,2),{"L1","L2","L3","L4","L5"},0),130)),"⏳ Select a maturity rating.")</f>
        <v>L1 — Initial: Data Subject Rights — Process &amp; Fulfilment is absent or ad hoc. No formal process, no documentation, no named owner. Controls exist only reactively after incidents.</v>
      </c>
      <c r="O83" s="113" t="str">
        <f aca="false">IF(S83="Exclude","⬛ Not Applicable",IF(T83="⬛ Auto-Excluded","⬛ Not Applicable",IF(I83="","✅ Applicable",IF(J83=1,"🔴 Critical",IF(J83=2,"🟠 Developing",IF(J83=3,"🟡 Defined",IF(J83&gt;=4,"🟢 Managed","✅ Applicable")))))))</f>
        <v>🔴 Critical</v>
      </c>
      <c r="P83" s="179" t="str">
        <f aca="false">IF(OR(J83="",L83=""),"⏳ Complete rating and target to generate recommendation.",IF(L83&lt;=J83,"✅ Target met — sustain evidence and raise target when programme allows.",IFERROR(INDEX(_REC!$B:$B,MATCH(A83&amp;"|"&amp;IF(L83="","",LEFT(TEXT(L83,"0"),1)),_REC!$A:$A,0)),"Recommendation pending — check _REC data.")))</f>
        <v>Instrument Data Subject Rights — Process &amp; Fulfilment with measurable KPIs: define performance thresholds (coverage %, SLA adherence, exception count), establish automated telemetry where possible, and integrate reporting into quarterly governance cycles. Evidence must be system-generated and reviewed at each governance cycle.</v>
      </c>
      <c r="Q83" s="189" t="s">
        <v>1119</v>
      </c>
      <c r="R83" s="209" t="s">
        <v>252</v>
      </c>
      <c r="S83" s="177"/>
      <c r="T83" s="191" t="str">
        <f aca="false">IF(S83="Exclude","⬛ Excluded",IF(S83="Apply","✅ Applicable",IF((('🔍 Scoping'!$E$6="No"))&gt;0,"⬛ Auto-Excluded","✅ Applicable")))</f>
        <v>✅ Applicable</v>
      </c>
    </row>
    <row r="84" customFormat="false" ht="69.75" hidden="false" customHeight="true" outlineLevel="0" collapsed="false">
      <c r="A84" s="104" t="n">
        <v>131</v>
      </c>
      <c r="B84" s="164" t="s">
        <v>1086</v>
      </c>
      <c r="C84" s="165" t="s">
        <v>392</v>
      </c>
      <c r="D84" s="165" t="s">
        <v>1120</v>
      </c>
      <c r="E84" s="165" t="s">
        <v>1121</v>
      </c>
      <c r="F84" s="203" t="s">
        <v>1122</v>
      </c>
      <c r="G84" s="203" t="s">
        <v>1123</v>
      </c>
      <c r="H84" s="168" t="str">
        <f aca="false">HYPERLINK("#'📎 Evidence Register'!C136","ER-131  →  Row 136")</f>
        <v>ER-131  →  Row 136</v>
      </c>
      <c r="I84" s="204" t="s">
        <v>508</v>
      </c>
      <c r="J84" s="170" t="n">
        <f aca="false">IF(I84="","",IF(LEFT(I84,2)="L1",1,IF(LEFT(I84,2)="L2",2,IF(LEFT(I84,2)="L3",3,IF(LEFT(I84,2)="L4",4,IF(LEFT(I84,2)="L5",5,""))))))</f>
        <v>2</v>
      </c>
      <c r="K84" s="205" t="s">
        <v>545</v>
      </c>
      <c r="L84" s="172" t="n">
        <f aca="false">IF(K84="","",IF(LEFT(K84,2)="L1",1,IF(LEFT(K84,2)="L2",2,IF(LEFT(K84,2)="L3",3,IF(LEFT(K84,2)="L4",4,IF(LEFT(K84,2)="L5",5,""))))))</f>
        <v>4</v>
      </c>
      <c r="M84" s="173" t="n">
        <f aca="false">IFERROR(IF(OR(J84="",L84=""),"—",L84-J84),"—")</f>
        <v>2</v>
      </c>
      <c r="N84" s="174" t="str">
        <f aca="false">IFERROR(IF(I84="","⏳ Select a maturity rating to see the level description for this specific control.",INDEX(_DV!$1:$5,MATCH(LEFT(I84,2),{"L1","L2","L3","L4","L5"},0),131)),"⏳ Select a maturity rating.")</f>
        <v>L2 — Developing: Personnel Security — Background Screening has basic controls in place but coverage is incomplete and execution is manual. Not consistently applied across all in-scope assets. Formal governance is absent.</v>
      </c>
      <c r="O84" s="108" t="str">
        <f aca="false">IF(S84="Exclude","⬛ Not Applicable",IF(T84="⬛ Auto-Excluded","⬛ Not Applicable",IF(I84="","✅ Applicable",IF(J84=1,"🔴 Critical",IF(J84=2,"🟠 Developing",IF(J84=3,"🟡 Defined",IF(J84&gt;=4,"🟢 Managed","✅ Applicable")))))))</f>
        <v>🟠 Developing</v>
      </c>
      <c r="P84" s="164" t="str">
        <f aca="false">IF(OR(J84="",L84=""),"⏳ Complete rating and target to generate recommendation.",IF(L84&lt;=J84,"✅ Target met — sustain evidence and raise target when programme allows.",IFERROR(INDEX(_REC!$B:$B,MATCH(A84&amp;"|"&amp;IF(L84="","",LEFT(TEXT(L84,"0"),1)),_REC!$A:$A,0)),"Recommendation pending — check _REC data.")))</f>
        <v>Instrument Personnel Security — Background Screening with measurable KPIs: define performance thresholds (coverage %, SLA adherence, exception count), establish automated telemetry where possible, and integrate reporting into quarterly governance cycles. Evidence must be system-generated and reviewed at each governance cycle.</v>
      </c>
      <c r="Q84" s="175" t="s">
        <v>1124</v>
      </c>
      <c r="R84" s="206" t="s">
        <v>254</v>
      </c>
      <c r="S84" s="177"/>
      <c r="T84" s="178" t="str">
        <f aca="false">IF(S84="Exclude","⬛ Excluded",IF(S84="Apply","✅ Applicable","✅ Applicable"))</f>
        <v>✅ Applicable</v>
      </c>
    </row>
    <row r="85" customFormat="false" ht="69.75" hidden="false" customHeight="true" outlineLevel="0" collapsed="false">
      <c r="A85" s="104" t="n">
        <v>132</v>
      </c>
      <c r="B85" s="179" t="s">
        <v>1086</v>
      </c>
      <c r="C85" s="180" t="s">
        <v>393</v>
      </c>
      <c r="D85" s="180" t="s">
        <v>1125</v>
      </c>
      <c r="E85" s="180" t="s">
        <v>1126</v>
      </c>
      <c r="F85" s="207" t="s">
        <v>1127</v>
      </c>
      <c r="G85" s="207" t="s">
        <v>1128</v>
      </c>
      <c r="H85" s="183" t="str">
        <f aca="false">HYPERLINK("#'📎 Evidence Register'!C137","ER-132  →  Row 137")</f>
        <v>ER-132  →  Row 137</v>
      </c>
      <c r="I85" s="204" t="s">
        <v>495</v>
      </c>
      <c r="J85" s="184" t="n">
        <f aca="false">IF(I85="","",IF(LEFT(I85,2)="L1",1,IF(LEFT(I85,2)="L2",2,IF(LEFT(I85,2)="L3",3,IF(LEFT(I85,2)="L4",4,IF(LEFT(I85,2)="L5",5,""))))))</f>
        <v>1</v>
      </c>
      <c r="K85" s="208" t="s">
        <v>496</v>
      </c>
      <c r="L85" s="186" t="n">
        <f aca="false">IF(K85="","",IF(LEFT(K85,2)="L1",1,IF(LEFT(K85,2)="L2",2,IF(LEFT(K85,2)="L3",3,IF(LEFT(K85,2)="L4",4,IF(LEFT(K85,2)="L5",5,""))))))</f>
        <v>3</v>
      </c>
      <c r="M85" s="187" t="n">
        <f aca="false">IFERROR(IF(OR(J85="",L85=""),"—",L85-J85),"—")</f>
        <v>2</v>
      </c>
      <c r="N85" s="188" t="str">
        <f aca="false">IFERROR(IF(I85="","⏳ Select a maturity rating to see the level description for this specific control.",INDEX(_DV!$1:$5,MATCH(LEFT(I85,2),{"L1","L2","L3","L4","L5"},0),132)),"⏳ Select a maturity rating.")</f>
        <v>L1 — Initial: Security by Default — Product Configuration is absent or ad hoc. No formal process, no documentation, no named owner. Controls exist only reactively after incidents.</v>
      </c>
      <c r="O85" s="113" t="str">
        <f aca="false">IF(S85="Exclude","⬛ Not Applicable",IF(T85="⬛ Auto-Excluded","⬛ Not Applicable",IF(I85="","✅ Applicable",IF(J85=1,"🔴 Critical",IF(J85=2,"🟠 Developing",IF(J85=3,"🟡 Defined",IF(J85&gt;=4,"🟢 Managed","✅ Applicable")))))))</f>
        <v>⬛ Not Applicable</v>
      </c>
      <c r="P85" s="179" t="str">
        <f aca="false">IF(OR(J85="",L85=""),"⏳ Complete rating and target to generate recommendation.",IF(L85&lt;=J85,"✅ Target met — sustain evidence and raise target when programme allows.",IFERROR(INDEX(_REC!$B:$B,MATCH(A85&amp;"|"&amp;IF(L85="","",LEFT(TEXT(L85,"0"),1)),_REC!$A:$A,0)),"Recommendation pending — check _REC data.")))</f>
        <v>Standardise Security by Default — Product Configuration: formalise all documentation, apply the control consistently across all in-scope assets, close remaining coverage gaps, and ensure evidence is collected routinely. Exceptions must be formally managed with named owners and defined expiry dates.</v>
      </c>
      <c r="Q85" s="189" t="s">
        <v>1129</v>
      </c>
      <c r="R85" s="209" t="s">
        <v>275</v>
      </c>
      <c r="S85" s="177" t="s">
        <v>603</v>
      </c>
      <c r="T85" s="191" t="str">
        <f aca="false">IF(S85="Exclude","⬛ Excluded",IF(S85="Apply","✅ Applicable",IF((('🔍 Scoping'!$E$13="No"))&gt;0,"⬛ Auto-Excluded","✅ Applicable")))</f>
        <v>⬛ Excluded</v>
      </c>
    </row>
    <row r="86" customFormat="false" ht="69.75" hidden="false" customHeight="true" outlineLevel="0" collapsed="false">
      <c r="A86" s="104" t="n">
        <v>133</v>
      </c>
      <c r="B86" s="164" t="s">
        <v>1086</v>
      </c>
      <c r="C86" s="165" t="s">
        <v>394</v>
      </c>
      <c r="D86" s="165" t="s">
        <v>1130</v>
      </c>
      <c r="E86" s="165" t="s">
        <v>1131</v>
      </c>
      <c r="F86" s="203"/>
      <c r="G86" s="203"/>
      <c r="H86" s="168" t="str">
        <f aca="false">HYPERLINK("#'📎 Evidence Register'!C138","ER-133  →  Row 138")</f>
        <v>ER-133  →  Row 138</v>
      </c>
      <c r="I86" s="204"/>
      <c r="J86" s="170" t="str">
        <f aca="false">IF(I86="","",IF(LEFT(I86,2)="L1",1,IF(LEFT(I86,2)="L2",2,IF(LEFT(I86,2)="L3",3,IF(LEFT(I86,2)="L4",4,IF(LEFT(I86,2)="L5",5,""))))))</f>
        <v/>
      </c>
      <c r="K86" s="205"/>
      <c r="L86" s="172" t="str">
        <f aca="false">IF(K86="","",IF(LEFT(K86,2)="L1",1,IF(LEFT(K86,2)="L2",2,IF(LEFT(K86,2)="L3",3,IF(LEFT(K86,2)="L4",4,IF(LEFT(K86,2)="L5",5,""))))))</f>
        <v/>
      </c>
      <c r="M86" s="173" t="str">
        <f aca="false">IFERROR(IF(OR(J86="",L86=""),"—",L86-J86),"—")</f>
        <v>—</v>
      </c>
      <c r="N86" s="174" t="str">
        <f aca="false">IFERROR(IF(I86="","⏳ Select a maturity rating to see the level description for this specific control.",INDEX(_DV!$1:$5,MATCH(LEFT(I86,2),{"L1","L2","L3","L4","L5"},0),133)),"⏳ Select a maturity rating.")</f>
        <v>⏳ Select a maturity rating to see the level description for this specific control.</v>
      </c>
      <c r="O86" s="108" t="str">
        <f aca="false">IF(S86="Exclude","⬛ Not Applicable",IF(T86="⬛ Auto-Excluded","⬛ Not Applicable",IF(I86="","✅ Applicable",IF(J86=1,"🔴 Critical",IF(J86=2,"🟠 Developing",IF(J86=3,"🟡 Defined",IF(J86&gt;=4,"🟢 Managed","✅ Applicable")))))))</f>
        <v>⬛ Not Applicable</v>
      </c>
      <c r="P86" s="164" t="str">
        <f aca="false">IF(OR(J86="",L86=""),"⏳ Complete rating and target to generate recommendation.",IF(L86&lt;=J86,"✅ Target met — sustain evidence and raise target when programme allows.",IFERROR(INDEX(_REC!$B:$B,MATCH(A86&amp;"|"&amp;IF(L86="","",LEFT(TEXT(L86,"0"),1)),_REC!$A:$A,0)),"Recommendation pending — check _REC data.")))</f>
        <v>⏳ Complete rating and target to generate recommendation.</v>
      </c>
      <c r="Q86" s="175" t="s">
        <v>1132</v>
      </c>
      <c r="R86" s="206"/>
      <c r="S86" s="177" t="s">
        <v>603</v>
      </c>
      <c r="T86" s="178" t="str">
        <f aca="false">IF(S86="Exclude","⬛ Excluded",IF(S86="Apply","✅ Applicable",IF((('🔍 Scoping'!$E$7="No"))&gt;0,"⬛ Auto-Excluded","✅ Applicable")))</f>
        <v>⬛ Excluded</v>
      </c>
    </row>
    <row r="87" customFormat="false" ht="69.75" hidden="false" customHeight="true" outlineLevel="0" collapsed="false">
      <c r="A87" s="155"/>
      <c r="B87" s="155"/>
      <c r="C87" s="155"/>
      <c r="D87" s="155"/>
      <c r="E87" s="155"/>
      <c r="F87" s="155"/>
      <c r="G87" s="155"/>
      <c r="H87" s="155"/>
      <c r="I87" s="155"/>
      <c r="J87" s="155"/>
      <c r="K87" s="155"/>
      <c r="L87" s="155"/>
      <c r="M87" s="155"/>
      <c r="N87" s="155"/>
      <c r="O87" s="155"/>
      <c r="P87" s="155"/>
      <c r="Q87" s="155"/>
      <c r="R87" s="155"/>
      <c r="S87" s="155"/>
      <c r="T87" s="155"/>
    </row>
    <row r="88" customFormat="false" ht="69.75" hidden="false" customHeight="true" outlineLevel="0" collapsed="false">
      <c r="A88" s="155"/>
      <c r="B88" s="155"/>
      <c r="C88" s="155"/>
      <c r="D88" s="155"/>
      <c r="E88" s="155"/>
      <c r="F88" s="155"/>
      <c r="G88" s="155"/>
      <c r="H88" s="155"/>
      <c r="I88" s="155"/>
      <c r="J88" s="155"/>
      <c r="K88" s="155"/>
      <c r="L88" s="155"/>
      <c r="M88" s="155"/>
      <c r="N88" s="155"/>
      <c r="O88" s="155"/>
      <c r="P88" s="155"/>
      <c r="Q88" s="155"/>
      <c r="R88" s="155"/>
      <c r="S88" s="155"/>
      <c r="T88" s="155"/>
    </row>
    <row r="89" customFormat="false" ht="69.75" hidden="false" customHeight="true" outlineLevel="0" collapsed="false">
      <c r="A89" s="155"/>
      <c r="B89" s="155"/>
      <c r="C89" s="155"/>
      <c r="D89" s="155"/>
      <c r="E89" s="155"/>
      <c r="F89" s="155"/>
      <c r="G89" s="155"/>
      <c r="H89" s="155"/>
      <c r="I89" s="155"/>
      <c r="J89" s="155"/>
      <c r="K89" s="155"/>
      <c r="L89" s="155"/>
      <c r="M89" s="155"/>
      <c r="N89" s="155"/>
      <c r="O89" s="155"/>
      <c r="P89" s="155"/>
      <c r="Q89" s="155"/>
      <c r="R89" s="155"/>
      <c r="S89" s="155"/>
      <c r="T89" s="155"/>
    </row>
    <row r="90" customFormat="false" ht="69.75" hidden="false" customHeight="true" outlineLevel="0" collapsed="false">
      <c r="A90" s="155"/>
      <c r="B90" s="155"/>
      <c r="C90" s="155"/>
      <c r="D90" s="155"/>
      <c r="E90" s="155"/>
      <c r="F90" s="155"/>
      <c r="G90" s="155"/>
      <c r="H90" s="155"/>
      <c r="I90" s="155"/>
      <c r="J90" s="155"/>
      <c r="K90" s="155"/>
      <c r="L90" s="155"/>
      <c r="M90" s="155"/>
      <c r="N90" s="155"/>
      <c r="O90" s="155"/>
      <c r="P90" s="155"/>
      <c r="Q90" s="155"/>
      <c r="R90" s="155"/>
      <c r="S90" s="155"/>
      <c r="T90" s="155"/>
    </row>
    <row r="91" customFormat="false" ht="69.75" hidden="false" customHeight="true" outlineLevel="0" collapsed="false">
      <c r="A91" s="155"/>
      <c r="B91" s="155"/>
      <c r="C91" s="155"/>
      <c r="D91" s="155"/>
      <c r="E91" s="155"/>
      <c r="F91" s="155"/>
      <c r="G91" s="155"/>
      <c r="H91" s="155"/>
      <c r="I91" s="155"/>
      <c r="J91" s="155"/>
      <c r="K91" s="155"/>
      <c r="L91" s="155"/>
      <c r="M91" s="155"/>
      <c r="N91" s="155"/>
      <c r="O91" s="155"/>
      <c r="P91" s="155"/>
      <c r="Q91" s="155"/>
      <c r="R91" s="155"/>
      <c r="S91" s="155"/>
      <c r="T91" s="155"/>
    </row>
    <row r="92" customFormat="false" ht="69.75" hidden="false" customHeight="true" outlineLevel="0" collapsed="false">
      <c r="A92" s="155"/>
      <c r="B92" s="155"/>
      <c r="C92" s="155"/>
      <c r="D92" s="155"/>
      <c r="E92" s="155"/>
      <c r="F92" s="155"/>
      <c r="G92" s="155"/>
      <c r="H92" s="155"/>
      <c r="I92" s="155"/>
      <c r="J92" s="155"/>
      <c r="K92" s="155"/>
      <c r="L92" s="155"/>
      <c r="M92" s="155"/>
      <c r="N92" s="155"/>
      <c r="O92" s="155"/>
      <c r="P92" s="155"/>
      <c r="Q92" s="155"/>
      <c r="R92" s="155"/>
      <c r="S92" s="155"/>
      <c r="T92" s="155"/>
    </row>
    <row r="93" customFormat="false" ht="69.75" hidden="false" customHeight="true" outlineLevel="0" collapsed="false">
      <c r="A93" s="155"/>
      <c r="B93" s="155"/>
      <c r="C93" s="155"/>
      <c r="D93" s="155"/>
      <c r="E93" s="155"/>
      <c r="F93" s="155"/>
      <c r="G93" s="155"/>
      <c r="H93" s="155"/>
      <c r="I93" s="155"/>
      <c r="J93" s="155"/>
      <c r="K93" s="155"/>
      <c r="L93" s="155"/>
      <c r="M93" s="155"/>
      <c r="N93" s="155"/>
      <c r="O93" s="155"/>
      <c r="P93" s="155"/>
      <c r="Q93" s="155"/>
      <c r="R93" s="155"/>
      <c r="S93" s="155"/>
      <c r="T93" s="155"/>
    </row>
    <row r="94" customFormat="false" ht="69.75" hidden="false" customHeight="true" outlineLevel="0" collapsed="false">
      <c r="A94" s="155"/>
      <c r="B94" s="155"/>
      <c r="C94" s="155"/>
      <c r="D94" s="155"/>
      <c r="E94" s="155"/>
      <c r="F94" s="155"/>
      <c r="G94" s="155"/>
      <c r="H94" s="155"/>
      <c r="I94" s="155"/>
      <c r="J94" s="155"/>
      <c r="K94" s="155"/>
      <c r="L94" s="155"/>
      <c r="M94" s="155"/>
      <c r="N94" s="155"/>
      <c r="O94" s="155"/>
      <c r="P94" s="155"/>
      <c r="Q94" s="155"/>
      <c r="R94" s="155"/>
      <c r="S94" s="155"/>
      <c r="T94" s="155"/>
    </row>
    <row r="95" customFormat="false" ht="69.75" hidden="false" customHeight="true" outlineLevel="0" collapsed="false">
      <c r="A95" s="155"/>
      <c r="B95" s="155"/>
      <c r="C95" s="155"/>
      <c r="D95" s="155"/>
      <c r="E95" s="155"/>
      <c r="F95" s="155"/>
      <c r="G95" s="155"/>
      <c r="H95" s="155"/>
      <c r="I95" s="155"/>
      <c r="J95" s="155"/>
      <c r="K95" s="155"/>
      <c r="L95" s="155"/>
      <c r="M95" s="155"/>
      <c r="N95" s="155"/>
      <c r="O95" s="155"/>
      <c r="P95" s="155"/>
      <c r="Q95" s="155"/>
      <c r="R95" s="155"/>
      <c r="S95" s="155"/>
      <c r="T95" s="155"/>
    </row>
    <row r="96" customFormat="false" ht="69.75" hidden="false" customHeight="true" outlineLevel="0" collapsed="false">
      <c r="A96" s="155"/>
      <c r="B96" s="155"/>
      <c r="C96" s="155"/>
      <c r="D96" s="155"/>
      <c r="E96" s="155"/>
      <c r="F96" s="155"/>
      <c r="G96" s="155"/>
      <c r="H96" s="155"/>
      <c r="I96" s="155"/>
      <c r="J96" s="155"/>
      <c r="K96" s="155"/>
      <c r="L96" s="155"/>
      <c r="M96" s="155"/>
      <c r="N96" s="155"/>
      <c r="O96" s="155"/>
      <c r="P96" s="155"/>
      <c r="Q96" s="155"/>
      <c r="R96" s="155"/>
      <c r="S96" s="155"/>
      <c r="T96" s="155"/>
    </row>
    <row r="97" customFormat="false" ht="69.75" hidden="false" customHeight="true" outlineLevel="0" collapsed="false">
      <c r="A97" s="155"/>
      <c r="B97" s="155"/>
      <c r="C97" s="155"/>
      <c r="D97" s="155"/>
      <c r="E97" s="155"/>
      <c r="F97" s="155"/>
      <c r="G97" s="155"/>
      <c r="H97" s="155"/>
      <c r="I97" s="155"/>
      <c r="J97" s="155"/>
      <c r="K97" s="155"/>
      <c r="L97" s="155"/>
      <c r="M97" s="155"/>
      <c r="N97" s="155"/>
      <c r="O97" s="155"/>
      <c r="P97" s="155"/>
      <c r="Q97" s="155"/>
      <c r="R97" s="155"/>
      <c r="S97" s="155"/>
      <c r="T97" s="155"/>
    </row>
    <row r="98" customFormat="false" ht="69.75" hidden="false" customHeight="true" outlineLevel="0" collapsed="false">
      <c r="A98" s="155"/>
      <c r="B98" s="155"/>
      <c r="C98" s="155"/>
      <c r="D98" s="155"/>
      <c r="E98" s="155"/>
      <c r="F98" s="155"/>
      <c r="G98" s="155"/>
      <c r="H98" s="155"/>
      <c r="I98" s="155"/>
      <c r="J98" s="155"/>
      <c r="K98" s="155"/>
      <c r="L98" s="155"/>
      <c r="M98" s="155"/>
      <c r="N98" s="155"/>
      <c r="O98" s="155"/>
      <c r="P98" s="155"/>
      <c r="Q98" s="155"/>
      <c r="R98" s="155"/>
      <c r="S98" s="155"/>
      <c r="T98" s="155"/>
    </row>
    <row r="99" customFormat="false" ht="69.75" hidden="false" customHeight="true" outlineLevel="0" collapsed="false">
      <c r="A99" s="155"/>
      <c r="B99" s="155"/>
      <c r="C99" s="155"/>
      <c r="D99" s="155"/>
      <c r="E99" s="155"/>
      <c r="F99" s="155"/>
      <c r="G99" s="155"/>
      <c r="H99" s="155"/>
      <c r="I99" s="155"/>
      <c r="J99" s="155"/>
      <c r="K99" s="155"/>
      <c r="L99" s="155"/>
      <c r="M99" s="155"/>
      <c r="N99" s="155"/>
      <c r="O99" s="155"/>
      <c r="P99" s="155"/>
      <c r="Q99" s="155"/>
      <c r="R99" s="155"/>
      <c r="S99" s="155"/>
      <c r="T99" s="155"/>
    </row>
    <row r="100" customFormat="false" ht="69.75" hidden="false" customHeight="true" outlineLevel="0" collapsed="false">
      <c r="A100" s="155"/>
      <c r="B100" s="155"/>
      <c r="C100" s="155"/>
      <c r="D100" s="155"/>
      <c r="E100" s="155"/>
      <c r="F100" s="155"/>
      <c r="G100" s="155"/>
      <c r="H100" s="155"/>
      <c r="I100" s="155"/>
      <c r="J100" s="155"/>
      <c r="K100" s="155"/>
      <c r="L100" s="155"/>
      <c r="M100" s="155"/>
      <c r="N100" s="155"/>
      <c r="O100" s="155"/>
      <c r="P100" s="155"/>
      <c r="Q100" s="155"/>
      <c r="R100" s="155"/>
      <c r="S100" s="155"/>
      <c r="T100" s="155"/>
    </row>
    <row r="101" customFormat="false" ht="69.75" hidden="false" customHeight="true" outlineLevel="0" collapsed="false">
      <c r="A101" s="155"/>
      <c r="B101" s="155"/>
      <c r="C101" s="155"/>
      <c r="D101" s="155"/>
      <c r="E101" s="155"/>
      <c r="F101" s="155"/>
      <c r="G101" s="155"/>
      <c r="H101" s="155"/>
      <c r="I101" s="155"/>
      <c r="J101" s="155"/>
      <c r="K101" s="155"/>
      <c r="L101" s="155"/>
      <c r="M101" s="155"/>
      <c r="N101" s="155"/>
      <c r="O101" s="155"/>
      <c r="P101" s="155"/>
      <c r="Q101" s="155"/>
      <c r="R101" s="155"/>
      <c r="S101" s="155"/>
      <c r="T101" s="155"/>
    </row>
    <row r="102" customFormat="false" ht="69.75" hidden="false" customHeight="true" outlineLevel="0" collapsed="false">
      <c r="A102" s="155"/>
      <c r="B102" s="155"/>
      <c r="C102" s="155"/>
      <c r="D102" s="155"/>
      <c r="E102" s="155"/>
      <c r="F102" s="155"/>
      <c r="G102" s="155"/>
      <c r="H102" s="155"/>
      <c r="I102" s="155"/>
      <c r="J102" s="155"/>
      <c r="K102" s="155"/>
      <c r="L102" s="155"/>
      <c r="M102" s="155"/>
      <c r="N102" s="155"/>
      <c r="O102" s="155"/>
      <c r="P102" s="155"/>
      <c r="Q102" s="155"/>
      <c r="R102" s="155"/>
      <c r="S102" s="155"/>
      <c r="T102" s="155"/>
    </row>
    <row r="103" customFormat="false" ht="69.75" hidden="false" customHeight="true" outlineLevel="0" collapsed="false">
      <c r="A103" s="155"/>
      <c r="B103" s="155"/>
      <c r="C103" s="155"/>
      <c r="D103" s="155"/>
      <c r="E103" s="155"/>
      <c r="F103" s="155"/>
      <c r="G103" s="155"/>
      <c r="H103" s="155"/>
      <c r="I103" s="155"/>
      <c r="J103" s="155"/>
      <c r="K103" s="155"/>
      <c r="L103" s="155"/>
      <c r="M103" s="155"/>
      <c r="N103" s="155"/>
      <c r="O103" s="155"/>
      <c r="P103" s="155"/>
      <c r="Q103" s="155"/>
      <c r="R103" s="155"/>
      <c r="S103" s="155"/>
      <c r="T103" s="155"/>
    </row>
    <row r="104" customFormat="false" ht="69.75" hidden="false" customHeight="true" outlineLevel="0" collapsed="false">
      <c r="A104" s="155"/>
      <c r="B104" s="155"/>
      <c r="C104" s="155"/>
      <c r="D104" s="155"/>
      <c r="E104" s="155"/>
      <c r="F104" s="155"/>
      <c r="G104" s="155"/>
      <c r="H104" s="155"/>
      <c r="I104" s="155"/>
      <c r="J104" s="155"/>
      <c r="K104" s="155"/>
      <c r="L104" s="155"/>
      <c r="M104" s="155"/>
      <c r="N104" s="155"/>
      <c r="O104" s="155"/>
      <c r="P104" s="155"/>
      <c r="Q104" s="155"/>
      <c r="R104" s="155"/>
      <c r="S104" s="155"/>
      <c r="T104" s="155"/>
    </row>
    <row r="105" customFormat="false" ht="69.75" hidden="false" customHeight="true" outlineLevel="0" collapsed="false">
      <c r="A105" s="155"/>
      <c r="B105" s="155"/>
      <c r="C105" s="155"/>
      <c r="D105" s="155"/>
      <c r="E105" s="155"/>
      <c r="F105" s="155"/>
      <c r="G105" s="155"/>
      <c r="H105" s="155"/>
      <c r="I105" s="155"/>
      <c r="J105" s="155"/>
      <c r="K105" s="155"/>
      <c r="L105" s="155"/>
      <c r="M105" s="155"/>
      <c r="N105" s="155"/>
      <c r="O105" s="155"/>
      <c r="P105" s="155"/>
      <c r="Q105" s="155"/>
      <c r="R105" s="155"/>
      <c r="S105" s="155"/>
      <c r="T105" s="155"/>
    </row>
    <row r="106" customFormat="false" ht="69.75" hidden="false" customHeight="true" outlineLevel="0" collapsed="false">
      <c r="A106" s="155"/>
      <c r="B106" s="155"/>
      <c r="C106" s="155"/>
      <c r="D106" s="155"/>
      <c r="E106" s="155"/>
      <c r="F106" s="155"/>
      <c r="G106" s="155"/>
      <c r="H106" s="155"/>
      <c r="I106" s="155"/>
      <c r="J106" s="155"/>
      <c r="K106" s="155"/>
      <c r="L106" s="155"/>
      <c r="M106" s="155"/>
      <c r="N106" s="155"/>
      <c r="O106" s="155"/>
      <c r="P106" s="155"/>
      <c r="Q106" s="155"/>
      <c r="R106" s="155"/>
      <c r="S106" s="155"/>
      <c r="T106" s="155"/>
    </row>
    <row r="107" customFormat="false" ht="69.75" hidden="false" customHeight="true" outlineLevel="0" collapsed="false">
      <c r="A107" s="155"/>
      <c r="B107" s="155"/>
      <c r="C107" s="155"/>
      <c r="D107" s="155"/>
      <c r="E107" s="155"/>
      <c r="F107" s="155"/>
      <c r="G107" s="155"/>
      <c r="H107" s="155"/>
      <c r="I107" s="155"/>
      <c r="J107" s="155"/>
      <c r="K107" s="155"/>
      <c r="L107" s="155"/>
      <c r="M107" s="155"/>
      <c r="N107" s="155"/>
      <c r="O107" s="155"/>
      <c r="P107" s="155"/>
      <c r="Q107" s="155"/>
      <c r="R107" s="155"/>
      <c r="S107" s="155"/>
      <c r="T107" s="155"/>
    </row>
    <row r="108" customFormat="false" ht="69.75" hidden="false" customHeight="true" outlineLevel="0" collapsed="false">
      <c r="A108" s="155"/>
      <c r="B108" s="155"/>
      <c r="C108" s="155"/>
      <c r="D108" s="155"/>
      <c r="E108" s="155"/>
      <c r="F108" s="155"/>
      <c r="G108" s="155"/>
      <c r="H108" s="155"/>
      <c r="I108" s="155"/>
      <c r="J108" s="155"/>
      <c r="K108" s="155"/>
      <c r="L108" s="155"/>
      <c r="M108" s="155"/>
      <c r="N108" s="155"/>
      <c r="O108" s="155"/>
      <c r="P108" s="155"/>
      <c r="Q108" s="155"/>
      <c r="R108" s="155"/>
      <c r="S108" s="155"/>
      <c r="T108" s="155"/>
    </row>
  </sheetData>
  <autoFilter ref="A3:Q86"/>
  <mergeCells count="4">
    <mergeCell ref="A1:S1"/>
    <mergeCell ref="B2:G2"/>
    <mergeCell ref="N2:O2"/>
    <mergeCell ref="Q2:S2"/>
  </mergeCells>
  <conditionalFormatting sqref="A4:S108">
    <cfRule type="expression" priority="2" aboveAverage="0" equalAverage="0" bottom="0" percent="0" rank="0" text="" dxfId="26">
      <formula>OR($S4="Exclude",$T4="⬛ Auto-Excluded")</formula>
    </cfRule>
  </conditionalFormatting>
  <conditionalFormatting sqref="J4:J108">
    <cfRule type="expression" priority="3" aboveAverage="0" equalAverage="0" bottom="0" percent="0" rank="0" text="" dxfId="27">
      <formula>$J4=1</formula>
    </cfRule>
    <cfRule type="expression" priority="4" aboveAverage="0" equalAverage="0" bottom="0" percent="0" rank="0" text="" dxfId="28">
      <formula>$J4=2</formula>
    </cfRule>
    <cfRule type="expression" priority="5" aboveAverage="0" equalAverage="0" bottom="0" percent="0" rank="0" text="" dxfId="29">
      <formula>$J4=3</formula>
    </cfRule>
    <cfRule type="expression" priority="6" aboveAverage="0" equalAverage="0" bottom="0" percent="0" rank="0" text="" dxfId="30">
      <formula>$J4=4</formula>
    </cfRule>
    <cfRule type="expression" priority="7" aboveAverage="0" equalAverage="0" bottom="0" percent="0" rank="0" text="" dxfId="31">
      <formula>$J4=5</formula>
    </cfRule>
  </conditionalFormatting>
  <conditionalFormatting sqref="M4:M108">
    <cfRule type="expression" priority="8" aboveAverage="0" equalAverage="0" bottom="0" percent="0" rank="0" text="" dxfId="32">
      <formula>AND(ISNUMBER($M4),$M4&gt;2)</formula>
    </cfRule>
    <cfRule type="expression" priority="9" aboveAverage="0" equalAverage="0" bottom="0" percent="0" rank="0" text="" dxfId="33">
      <formula>AND(ISNUMBER($M4),$M4&gt;=1,$M4&lt;=2)</formula>
    </cfRule>
    <cfRule type="expression" priority="10" aboveAverage="0" equalAverage="0" bottom="0" percent="0" rank="0" text="" dxfId="34">
      <formula>AND(ISNUMBER($M4),$M4&lt;=0)</formula>
    </cfRule>
  </conditionalFormatting>
  <conditionalFormatting sqref="K4:K108">
    <cfRule type="expression" priority="11" aboveAverage="0" equalAverage="0" bottom="0" percent="0" rank="0" text="" dxfId="35">
      <formula>AND($J4&lt;&gt;"",$K4="")</formula>
    </cfRule>
  </conditionalFormatting>
  <conditionalFormatting sqref="O4:O108">
    <cfRule type="expression" priority="12" aboveAverage="0" equalAverage="0" bottom="0" percent="0" rank="0" text="" dxfId="36">
      <formula>OR($S4="Exclude",$T4="⬛ Auto-Excluded")</formula>
    </cfRule>
  </conditionalFormatting>
  <conditionalFormatting sqref="A4:S86">
    <cfRule type="expression" priority="13" aboveAverage="0" equalAverage="0" bottom="0" percent="0" rank="0" text="" dxfId="37">
      <formula>OR($S4="Exclude",$T4="⬛ Auto-Excluded")</formula>
    </cfRule>
  </conditionalFormatting>
  <conditionalFormatting sqref="J4:J86">
    <cfRule type="expression" priority="14" aboveAverage="0" equalAverage="0" bottom="0" percent="0" rank="0" text="" dxfId="27">
      <formula>$J4=1</formula>
    </cfRule>
    <cfRule type="expression" priority="15" aboveAverage="0" equalAverage="0" bottom="0" percent="0" rank="0" text="" dxfId="28">
      <formula>$J4=2</formula>
    </cfRule>
    <cfRule type="expression" priority="16" aboveAverage="0" equalAverage="0" bottom="0" percent="0" rank="0" text="" dxfId="29">
      <formula>$J4=3</formula>
    </cfRule>
    <cfRule type="expression" priority="17" aboveAverage="0" equalAverage="0" bottom="0" percent="0" rank="0" text="" dxfId="30">
      <formula>$J4=4</formula>
    </cfRule>
    <cfRule type="expression" priority="18" aboveAverage="0" equalAverage="0" bottom="0" percent="0" rank="0" text="" dxfId="31">
      <formula>$J4=5</formula>
    </cfRule>
  </conditionalFormatting>
  <conditionalFormatting sqref="M4:M86">
    <cfRule type="expression" priority="19" aboveAverage="0" equalAverage="0" bottom="0" percent="0" rank="0" text="" dxfId="32">
      <formula>AND(ISNUMBER($M4),$M4&gt;2)</formula>
    </cfRule>
    <cfRule type="expression" priority="20" aboveAverage="0" equalAverage="0" bottom="0" percent="0" rank="0" text="" dxfId="33">
      <formula>AND(ISNUMBER($M4),$M4&gt;=1,$M4&lt;=2)</formula>
    </cfRule>
    <cfRule type="expression" priority="21" aboveAverage="0" equalAverage="0" bottom="0" percent="0" rank="0" text="" dxfId="34">
      <formula>AND(ISNUMBER($M4),$M4&lt;=0)</formula>
    </cfRule>
  </conditionalFormatting>
  <conditionalFormatting sqref="K4:K86">
    <cfRule type="expression" priority="22" aboveAverage="0" equalAverage="0" bottom="0" percent="0" rank="0" text="" dxfId="35">
      <formula>AND($J4&lt;&gt;"",$K4="")</formula>
    </cfRule>
  </conditionalFormatting>
  <dataValidations count="6">
    <dataValidation allowBlank="true" errorStyle="stop" operator="between" prompt="Select the current maturity level.&#10;L3 = Defined is the minimum enterprise baseline.&#10;Column N will auto-show a control-specific description." promptTitle="Maturity Rating" showDropDown="false" showErrorMessage="false" showInputMessage="true" sqref="I87:I108" type="list">
      <formula1>"L1 — Initial,L2 — Developing,L3 — Defined,L4 — Managed,L5 — Optimised"</formula1>
      <formula2>0</formula2>
    </dataValidation>
    <dataValidation allowBlank="true" errorStyle="stop" operator="between" prompt="Select the target maturity level.&#10;Column P will auto-generate a specific improvement recommendation." promptTitle="Target Level" showDropDown="false" showErrorMessage="false" showInputMessage="true" sqref="K87:K108" type="list">
      <formula1>"L1 — Initial,L2 — Developing,L3 — Defined,L4 — Managed,L5 — Optimised"</formula1>
      <formula2>0</formula2>
    </dataValidation>
    <dataValidation allowBlank="true" errorStyle="stop" operator="between" prompt="Leave blank = auto-determined by Scoping tab.&#10;Apply = force include (overrides auto-exclusion).&#10;Exclude = manually remove from scoring and calculations.&#10;&#10;Excluded rows will be greyed out automatically." promptTitle="Scope Override" showDropDown="false" showErrorMessage="false" showInputMessage="true" sqref="S87:S108" type="list">
      <formula1>"Apply,Exclude"</formula1>
      <formula2>0</formula2>
    </dataValidation>
    <dataValidation allowBlank="true" errorStyle="stop" operator="between" prompt="Select the current maturity level.&#10;L3 = Defined is the minimum enterprise baseline." promptTitle="Maturity Rating" showDropDown="false" showErrorMessage="false" showInputMessage="true" sqref="I4:I86" type="list">
      <formula1>"L1 — Initial,L2 — Developing,L3 — Defined,L4 — Managed,L5 — Optimised"</formula1>
      <formula2>0</formula2>
    </dataValidation>
    <dataValidation allowBlank="true" errorStyle="stop" operator="between" prompt="Select the target level. Column P auto-generates a recommendation." promptTitle="Target Level" showDropDown="false" showErrorMessage="false" showInputMessage="true" sqref="K4:K86" type="list">
      <formula1>"L1 — Initial,L2 — Developing,L3 — Defined,L4 — Managed,L5 — Optimised"</formula1>
      <formula2>0</formula2>
    </dataValidation>
    <dataValidation allowBlank="true" errorStyle="stop" operator="between" prompt="Leave blank = auto-determined by Scoping tab.&#10;Apply = force include.&#10;Exclude = remove from scoring." promptTitle="Scope Override" showDropDown="false" showErrorMessage="false" showInputMessage="true" sqref="S4:S86" type="list">
      <formula1>"Apply,Exclude"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E5A"/>
    <pageSetUpPr fitToPage="false"/>
  </sheetPr>
  <dimension ref="A1:T38"/>
  <sheetViews>
    <sheetView showFormulas="false" showGridLines="false" showRowColHeaders="true" showZeros="true" rightToLeft="false" tabSelected="false" showOutlineSymbols="true" defaultGridColor="true" view="normal" topLeftCell="E1" colorId="64" zoomScale="88" zoomScaleNormal="88" zoomScalePageLayoutView="100" workbookViewId="0">
      <pane xSplit="0" ySplit="3" topLeftCell="A4" activePane="bottomLeft" state="frozen"/>
      <selection pane="topLeft" activeCell="E1" activeCellId="0" sqref="E1"/>
      <selection pane="bottomLeft" activeCell="S12" activeCellId="0" sqref="S12"/>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36"/>
    <col collapsed="false" customWidth="true" hidden="false" outlineLevel="0" max="4" min="4" style="1" width="46"/>
    <col collapsed="false" customWidth="true" hidden="false" outlineLevel="0" max="5" min="5" style="1" width="48"/>
    <col collapsed="false" customWidth="true" hidden="false" outlineLevel="0" max="6" min="6" style="1" width="36"/>
    <col collapsed="false" customWidth="true" hidden="false" outlineLevel="0" max="7" min="7" style="1" width="14"/>
    <col collapsed="false" customWidth="true" hidden="false" outlineLevel="0" max="9" min="8" style="1" width="13"/>
    <col collapsed="false" customWidth="true" hidden="false" outlineLevel="0" max="10" min="10" style="1" width="8"/>
    <col collapsed="false" customWidth="true" hidden="false" outlineLevel="0" max="11" min="11" style="1" width="30"/>
    <col collapsed="false" customWidth="true" hidden="false" outlineLevel="0" max="12" min="12" style="1" width="10"/>
    <col collapsed="false" customWidth="true" hidden="false" outlineLevel="0" max="13" min="13" style="1" width="8"/>
    <col collapsed="false" customWidth="true" hidden="false" outlineLevel="0" max="14" min="14" style="1" width="52"/>
    <col collapsed="false" customWidth="true" hidden="false" outlineLevel="0" max="15" min="15" style="1" width="16"/>
    <col collapsed="false" customWidth="true" hidden="false" outlineLevel="0" max="16" min="16" style="1" width="50"/>
    <col collapsed="false" customWidth="true" hidden="false" outlineLevel="0" max="17" min="17" style="1" width="38"/>
    <col collapsed="false" customWidth="true" hidden="false" outlineLevel="0" max="18" min="18" style="1" width="14"/>
    <col collapsed="false" customWidth="true" hidden="false" outlineLevel="0" max="19" min="19" style="1" width="12"/>
    <col collapsed="false" customWidth="true" hidden="true" outlineLevel="0" max="20" min="20" style="1" width="4"/>
  </cols>
  <sheetData>
    <row r="1" customFormat="false" ht="49.5" hidden="false" customHeight="true" outlineLevel="0" collapsed="false">
      <c r="A1" s="210" t="s">
        <v>1133</v>
      </c>
      <c r="B1" s="210"/>
      <c r="C1" s="210"/>
      <c r="D1" s="210"/>
      <c r="E1" s="210"/>
      <c r="F1" s="210"/>
      <c r="G1" s="210"/>
      <c r="H1" s="210"/>
      <c r="I1" s="210"/>
      <c r="J1" s="210"/>
      <c r="K1" s="210"/>
      <c r="L1" s="210"/>
      <c r="M1" s="210"/>
      <c r="N1" s="210"/>
      <c r="O1" s="210"/>
      <c r="P1" s="210"/>
      <c r="Q1" s="210"/>
      <c r="R1" s="210"/>
      <c r="S1" s="210"/>
      <c r="T1" s="155"/>
    </row>
    <row r="2" customFormat="false" ht="24" hidden="false" customHeight="true" outlineLevel="0" collapsed="false">
      <c r="A2" s="156"/>
      <c r="B2" s="157" t="s">
        <v>469</v>
      </c>
      <c r="C2" s="157"/>
      <c r="D2" s="157"/>
      <c r="E2" s="157"/>
      <c r="F2" s="157"/>
      <c r="G2" s="157"/>
      <c r="H2" s="156"/>
      <c r="I2" s="158" t="s">
        <v>470</v>
      </c>
      <c r="J2" s="159" t="n">
        <f aca="false">IFERROR(AVERAGEIFS(J4:J25,T4:T25,"✅ Applicable"),"—")</f>
        <v>1.11111111111111</v>
      </c>
      <c r="K2" s="158" t="s">
        <v>471</v>
      </c>
      <c r="L2" s="160" t="n">
        <f aca="false">IFERROR(AVERAGEIFS(L4:L25,T4:T25,"✅ Applicable"),"—")</f>
        <v>3.38888888888889</v>
      </c>
      <c r="M2" s="158" t="s">
        <v>472</v>
      </c>
      <c r="N2" s="161" t="str">
        <f aca="false">IFERROR(COUNTIFS(J4:J25,"&lt;&gt;",T4:T25,"✅ Applicable")&amp;" / "&amp;COUNTIF(T4:T25,"✅ Applicable")&amp;" applicable","—")</f>
        <v>18 / 18 applicable</v>
      </c>
      <c r="O2" s="161"/>
      <c r="P2" s="158" t="s">
        <v>473</v>
      </c>
      <c r="Q2" s="162" t="str">
        <f aca="false">COUNTIF(T4:T25,"⬛ Auto-Excluded")&amp;" controls (scoping)"</f>
        <v>0 controls (scoping)</v>
      </c>
      <c r="R2" s="162"/>
      <c r="S2" s="162"/>
      <c r="T2" s="155"/>
    </row>
    <row r="3" customFormat="false" ht="45" hidden="false" customHeight="true" outlineLevel="0" collapsed="false">
      <c r="A3" s="163" t="s">
        <v>474</v>
      </c>
      <c r="B3" s="163" t="s">
        <v>23</v>
      </c>
      <c r="C3" s="163" t="s">
        <v>229</v>
      </c>
      <c r="D3" s="163" t="s">
        <v>475</v>
      </c>
      <c r="E3" s="163" t="s">
        <v>476</v>
      </c>
      <c r="F3" s="163" t="s">
        <v>477</v>
      </c>
      <c r="G3" s="163" t="s">
        <v>478</v>
      </c>
      <c r="H3" s="163" t="s">
        <v>479</v>
      </c>
      <c r="I3" s="163" t="s">
        <v>480</v>
      </c>
      <c r="J3" s="163" t="s">
        <v>481</v>
      </c>
      <c r="K3" s="163" t="s">
        <v>482</v>
      </c>
      <c r="L3" s="163" t="s">
        <v>483</v>
      </c>
      <c r="M3" s="163" t="s">
        <v>142</v>
      </c>
      <c r="N3" s="163" t="s">
        <v>484</v>
      </c>
      <c r="O3" s="163" t="s">
        <v>485</v>
      </c>
      <c r="P3" s="163" t="s">
        <v>486</v>
      </c>
      <c r="Q3" s="163" t="s">
        <v>487</v>
      </c>
      <c r="R3" s="163" t="s">
        <v>233</v>
      </c>
      <c r="S3" s="163" t="s">
        <v>488</v>
      </c>
      <c r="T3" s="163" t="s">
        <v>489</v>
      </c>
    </row>
    <row r="4" customFormat="false" ht="69.75" hidden="false" customHeight="true" outlineLevel="0" collapsed="false">
      <c r="A4" s="104" t="n">
        <v>134</v>
      </c>
      <c r="B4" s="164" t="s">
        <v>1134</v>
      </c>
      <c r="C4" s="165" t="s">
        <v>396</v>
      </c>
      <c r="D4" s="165" t="s">
        <v>1135</v>
      </c>
      <c r="E4" s="165" t="s">
        <v>1136</v>
      </c>
      <c r="F4" s="211" t="s">
        <v>1137</v>
      </c>
      <c r="G4" s="211" t="s">
        <v>566</v>
      </c>
      <c r="H4" s="168" t="str">
        <f aca="false">HYPERLINK("#'📎 Evidence Register'!C139","ER-134  →  Row 139")</f>
        <v>ER-134  →  Row 139</v>
      </c>
      <c r="I4" s="212" t="s">
        <v>495</v>
      </c>
      <c r="J4" s="170" t="n">
        <f aca="false">IF(I4="","",IF(LEFT(I4,2)="L1",1,IF(LEFT(I4,2)="L2",2,IF(LEFT(I4,2)="L3",3,IF(LEFT(I4,2)="L4",4,IF(LEFT(I4,2)="L5",5,""))))))</f>
        <v>1</v>
      </c>
      <c r="K4" s="213" t="s">
        <v>545</v>
      </c>
      <c r="L4" s="172" t="n">
        <f aca="false">IF(K4="","",IF(LEFT(K4,2)="L1",1,IF(LEFT(K4,2)="L2",2,IF(LEFT(K4,2)="L3",3,IF(LEFT(K4,2)="L4",4,IF(LEFT(K4,2)="L5",5,""))))))</f>
        <v>4</v>
      </c>
      <c r="M4" s="173" t="n">
        <f aca="false">IFERROR(IF(OR(J4="",L4=""),"—",L4-J4),"—")</f>
        <v>3</v>
      </c>
      <c r="N4" s="174" t="str">
        <f aca="false">IFERROR(IF(I4="","⏳ Select a maturity rating to see the level description for this specific control.",INDEX(_DV!$1:$5,MATCH(LEFT(I4,2),{"L1","L2","L3","L4","L5"},0),134)),"⏳ Select a maturity rating.")</f>
        <v>L1 — Initial: SIEM — Log Ingestion &amp; Coverage is absent or ad hoc. No formal process, no documentation, no named owner. Controls exist only reactively after incidents.</v>
      </c>
      <c r="O4" s="108" t="str">
        <f aca="false">IF(S4="Exclude","⬛ Not Applicable",IF(T4="⬛ Auto-Excluded","⬛ Not Applicable",IF(I4="","✅ Applicable",IF(J4=1,"🔴 Critical",IF(J4=2,"🟠 Developing",IF(J4=3,"🟡 Defined",IF(J4&gt;=4,"🟢 Managed","✅ Applicable")))))))</f>
        <v>🔴 Critical</v>
      </c>
      <c r="P4" s="164" t="str">
        <f aca="false">IF(OR(J4="",L4=""),"⏳ Complete rating and target to generate recommendation.",IF(L4&lt;=J4,"✅ Target met — sustain evidence and raise target when programme allows.",IFERROR(INDEX(_REC!$B:$B,MATCH(A4&amp;"|"&amp;IF(L4="","",LEFT(TEXT(L4,"0"),1)),_REC!$A:$A,0)),"Recommendation pending — check _REC data.")))</f>
        <v>Instrument SIEM — Log Ingestion &amp; Coverage with measurable KPIs: define performance thresholds (coverage %, SLA adherence, exception count), establish automated telemetry where possible, and integrate reporting into quarterly governance cycles. Evidence must be system-generated and reviewed at each governance cycle.</v>
      </c>
      <c r="Q4" s="175" t="s">
        <v>1138</v>
      </c>
      <c r="R4" s="214" t="s">
        <v>299</v>
      </c>
      <c r="S4" s="177"/>
      <c r="T4" s="178" t="str">
        <f aca="false">IF(S4="Exclude","⬛ Excluded",IF(S4="Apply","✅ Applicable","✅ Applicable"))</f>
        <v>✅ Applicable</v>
      </c>
    </row>
    <row r="5" customFormat="false" ht="69.75" hidden="false" customHeight="true" outlineLevel="0" collapsed="false">
      <c r="A5" s="104" t="n">
        <v>135</v>
      </c>
      <c r="B5" s="179" t="s">
        <v>1134</v>
      </c>
      <c r="C5" s="180" t="s">
        <v>397</v>
      </c>
      <c r="D5" s="180" t="s">
        <v>1139</v>
      </c>
      <c r="E5" s="180" t="s">
        <v>1140</v>
      </c>
      <c r="F5" s="215" t="s">
        <v>1141</v>
      </c>
      <c r="G5" s="215" t="s">
        <v>566</v>
      </c>
      <c r="H5" s="183" t="str">
        <f aca="false">HYPERLINK("#'📎 Evidence Register'!C140","ER-135  →  Row 140")</f>
        <v>ER-135  →  Row 140</v>
      </c>
      <c r="I5" s="212" t="s">
        <v>495</v>
      </c>
      <c r="J5" s="184" t="n">
        <f aca="false">IF(I5="","",IF(LEFT(I5,2)="L1",1,IF(LEFT(I5,2)="L2",2,IF(LEFT(I5,2)="L3",3,IF(LEFT(I5,2)="L4",4,IF(LEFT(I5,2)="L5",5,""))))))</f>
        <v>1</v>
      </c>
      <c r="K5" s="216" t="s">
        <v>496</v>
      </c>
      <c r="L5" s="186" t="n">
        <f aca="false">IF(K5="","",IF(LEFT(K5,2)="L1",1,IF(LEFT(K5,2)="L2",2,IF(LEFT(K5,2)="L3",3,IF(LEFT(K5,2)="L4",4,IF(LEFT(K5,2)="L5",5,""))))))</f>
        <v>3</v>
      </c>
      <c r="M5" s="187" t="n">
        <f aca="false">IFERROR(IF(OR(J5="",L5=""),"—",L5-J5),"—")</f>
        <v>2</v>
      </c>
      <c r="N5" s="188" t="str">
        <f aca="false">IFERROR(IF(I5="","⏳ Select a maturity rating to see the level description for this specific control.",INDEX(_DV!$1:$5,MATCH(LEFT(I5,2),{"L1","L2","L3","L4","L5"},0),135)),"⏳ Select a maturity rating.")</f>
        <v>L1 — Initial: SIEM — Use Case Library &amp; Threat Coverage is absent or ad hoc. No formal process, no documentation, no named owner. Controls exist only reactively after incidents.</v>
      </c>
      <c r="O5" s="113" t="str">
        <f aca="false">IF(S5="Exclude","⬛ Not Applicable",IF(T5="⬛ Auto-Excluded","⬛ Not Applicable",IF(I5="","✅ Applicable",IF(J5=1,"🔴 Critical",IF(J5=2,"🟠 Developing",IF(J5=3,"🟡 Defined",IF(J5&gt;=4,"🟢 Managed","✅ Applicable")))))))</f>
        <v>🔴 Critical</v>
      </c>
      <c r="P5" s="179" t="str">
        <f aca="false">IF(OR(J5="",L5=""),"⏳ Complete rating and target to generate recommendation.",IF(L5&lt;=J5,"✅ Target met — sustain evidence and raise target when programme allows.",IFERROR(INDEX(_REC!$B:$B,MATCH(A5&amp;"|"&amp;IF(L5="","",LEFT(TEXT(L5,"0"),1)),_REC!$A:$A,0)),"Recommendation pending — check _REC data.")))</f>
        <v>Standardise SIEM — Use Case Library &amp; Threat Coverage: formalise all documentation, apply the control consistently across all in-scope assets, close remaining coverage gaps, and ensure evidence is collected routinely. Exceptions must be formally managed with named owners and defined expiry dates.</v>
      </c>
      <c r="Q5" s="189" t="s">
        <v>1142</v>
      </c>
      <c r="R5" s="217" t="s">
        <v>299</v>
      </c>
      <c r="S5" s="177"/>
      <c r="T5" s="191" t="str">
        <f aca="false">IF(S5="Exclude","⬛ Excluded",IF(S5="Apply","✅ Applicable","✅ Applicable"))</f>
        <v>✅ Applicable</v>
      </c>
    </row>
    <row r="6" customFormat="false" ht="69.75" hidden="false" customHeight="true" outlineLevel="0" collapsed="false">
      <c r="A6" s="104" t="n">
        <v>136</v>
      </c>
      <c r="B6" s="164" t="s">
        <v>1134</v>
      </c>
      <c r="C6" s="165" t="s">
        <v>398</v>
      </c>
      <c r="D6" s="165" t="s">
        <v>1143</v>
      </c>
      <c r="E6" s="165" t="s">
        <v>1144</v>
      </c>
      <c r="F6" s="211" t="s">
        <v>1145</v>
      </c>
      <c r="G6" s="211" t="s">
        <v>1146</v>
      </c>
      <c r="H6" s="168" t="str">
        <f aca="false">HYPERLINK("#'📎 Evidence Register'!C141","ER-136  →  Row 141")</f>
        <v>ER-136  →  Row 141</v>
      </c>
      <c r="I6" s="212" t="s">
        <v>495</v>
      </c>
      <c r="J6" s="170" t="n">
        <f aca="false">IF(I6="","",IF(LEFT(I6,2)="L1",1,IF(LEFT(I6,2)="L2",2,IF(LEFT(I6,2)="L3",3,IF(LEFT(I6,2)="L4",4,IF(LEFT(I6,2)="L5",5,""))))))</f>
        <v>1</v>
      </c>
      <c r="K6" s="213" t="s">
        <v>545</v>
      </c>
      <c r="L6" s="172" t="n">
        <f aca="false">IF(K6="","",IF(LEFT(K6,2)="L1",1,IF(LEFT(K6,2)="L2",2,IF(LEFT(K6,2)="L3",3,IF(LEFT(K6,2)="L4",4,IF(LEFT(K6,2)="L5",5,""))))))</f>
        <v>4</v>
      </c>
      <c r="M6" s="173" t="n">
        <f aca="false">IFERROR(IF(OR(J6="",L6=""),"—",L6-J6),"—")</f>
        <v>3</v>
      </c>
      <c r="N6" s="174" t="str">
        <f aca="false">IFERROR(IF(I6="","⏳ Select a maturity rating to see the level description for this specific control.",INDEX(_DV!$1:$5,MATCH(LEFT(I6,2),{"L1","L2","L3","L4","L5"},0),136)),"⏳ Select a maturity rating.")</f>
        <v>L1 — Initial: SIEM — Log Integrity &amp; Tamper Protection is absent or ad hoc. No formal process, no documentation, no named owner. Controls exist only reactively after incidents.</v>
      </c>
      <c r="O6" s="108" t="str">
        <f aca="false">IF(S6="Exclude","⬛ Not Applicable",IF(T6="⬛ Auto-Excluded","⬛ Not Applicable",IF(I6="","✅ Applicable",IF(J6=1,"🔴 Critical",IF(J6=2,"🟠 Developing",IF(J6=3,"🟡 Defined",IF(J6&gt;=4,"🟢 Managed","✅ Applicable")))))))</f>
        <v>🔴 Critical</v>
      </c>
      <c r="P6" s="164" t="str">
        <f aca="false">IF(OR(J6="",L6=""),"⏳ Complete rating and target to generate recommendation.",IF(L6&lt;=J6,"✅ Target met — sustain evidence and raise target when programme allows.",IFERROR(INDEX(_REC!$B:$B,MATCH(A6&amp;"|"&amp;IF(L6="","",LEFT(TEXT(L6,"0"),1)),_REC!$A:$A,0)),"Recommendation pending — check _REC data.")))</f>
        <v>Instrument SIEM — Log Integrity &amp; Tamper Protection with measurable KPIs: define performance thresholds (coverage %, SLA adherence, exception count), establish automated telemetry where possible, and integrate reporting into quarterly governance cycles. Evidence must be system-generated and reviewed at each governance cycle.</v>
      </c>
      <c r="Q6" s="175" t="s">
        <v>1147</v>
      </c>
      <c r="R6" s="214" t="s">
        <v>299</v>
      </c>
      <c r="S6" s="177"/>
      <c r="T6" s="178" t="str">
        <f aca="false">IF(S6="Exclude","⬛ Excluded",IF(S6="Apply","✅ Applicable","✅ Applicable"))</f>
        <v>✅ Applicable</v>
      </c>
    </row>
    <row r="7" customFormat="false" ht="69.75" hidden="false" customHeight="true" outlineLevel="0" collapsed="false">
      <c r="A7" s="104" t="n">
        <v>137</v>
      </c>
      <c r="B7" s="179" t="s">
        <v>1134</v>
      </c>
      <c r="C7" s="180" t="s">
        <v>399</v>
      </c>
      <c r="D7" s="180" t="s">
        <v>1148</v>
      </c>
      <c r="E7" s="180" t="s">
        <v>1149</v>
      </c>
      <c r="F7" s="215" t="s">
        <v>1150</v>
      </c>
      <c r="G7" s="215" t="s">
        <v>566</v>
      </c>
      <c r="H7" s="183" t="str">
        <f aca="false">HYPERLINK("#'📎 Evidence Register'!C142","ER-137  →  Row 142")</f>
        <v>ER-137  →  Row 142</v>
      </c>
      <c r="I7" s="212" t="s">
        <v>495</v>
      </c>
      <c r="J7" s="184" t="n">
        <f aca="false">IF(I7="","",IF(LEFT(I7,2)="L1",1,IF(LEFT(I7,2)="L2",2,IF(LEFT(I7,2)="L3",3,IF(LEFT(I7,2)="L4",4,IF(LEFT(I7,2)="L5",5,""))))))</f>
        <v>1</v>
      </c>
      <c r="K7" s="216" t="s">
        <v>545</v>
      </c>
      <c r="L7" s="186" t="n">
        <f aca="false">IF(K7="","",IF(LEFT(K7,2)="L1",1,IF(LEFT(K7,2)="L2",2,IF(LEFT(K7,2)="L3",3,IF(LEFT(K7,2)="L4",4,IF(LEFT(K7,2)="L5",5,""))))))</f>
        <v>4</v>
      </c>
      <c r="M7" s="187" t="n">
        <f aca="false">IFERROR(IF(OR(J7="",L7=""),"—",L7-J7),"—")</f>
        <v>3</v>
      </c>
      <c r="N7" s="188" t="str">
        <f aca="false">IFERROR(IF(I7="","⏳ Select a maturity rating to see the level description for this specific control.",INDEX(_DV!$1:$5,MATCH(LEFT(I7,2),{"L1","L2","L3","L4","L5"},0),137)),"⏳ Select a maturity rating.")</f>
        <v>L1 — Initial: SIEM — Compliance Monitoring Use Cases is absent or ad hoc. No formal process, no documentation, no named owner. Controls exist only reactively after incidents.</v>
      </c>
      <c r="O7" s="113" t="str">
        <f aca="false">IF(S7="Exclude","⬛ Not Applicable",IF(T7="⬛ Auto-Excluded","⬛ Not Applicable",IF(I7="","✅ Applicable",IF(J7=1,"🔴 Critical",IF(J7=2,"🟠 Developing",IF(J7=3,"🟡 Defined",IF(J7&gt;=4,"🟢 Managed","✅ Applicable")))))))</f>
        <v>🔴 Critical</v>
      </c>
      <c r="P7" s="179" t="str">
        <f aca="false">IF(OR(J7="",L7=""),"⏳ Complete rating and target to generate recommendation.",IF(L7&lt;=J7,"✅ Target met — sustain evidence and raise target when programme allows.",IFERROR(INDEX(_REC!$B:$B,MATCH(A7&amp;"|"&amp;IF(L7="","",LEFT(TEXT(L7,"0"),1)),_REC!$A:$A,0)),"Recommendation pending — check _REC data.")))</f>
        <v>Instrument SIEM — Compliance Monitoring Use Cases with measurable KPIs: define performance thresholds (coverage %, SLA adherence, exception count), establish automated telemetry where possible, and integrate reporting into quarterly governance cycles. Evidence must be system-generated and reviewed at each governance cycle.</v>
      </c>
      <c r="Q7" s="189" t="s">
        <v>1151</v>
      </c>
      <c r="R7" s="217" t="s">
        <v>299</v>
      </c>
      <c r="S7" s="177"/>
      <c r="T7" s="191" t="str">
        <f aca="false">IF(S7="Exclude","⬛ Excluded",IF(S7="Apply","✅ Applicable","✅ Applicable"))</f>
        <v>✅ Applicable</v>
      </c>
    </row>
    <row r="8" customFormat="false" ht="69.75" hidden="false" customHeight="true" outlineLevel="0" collapsed="false">
      <c r="A8" s="104" t="n">
        <v>138</v>
      </c>
      <c r="B8" s="164" t="s">
        <v>1134</v>
      </c>
      <c r="C8" s="165" t="s">
        <v>400</v>
      </c>
      <c r="D8" s="165" t="s">
        <v>1152</v>
      </c>
      <c r="E8" s="165" t="s">
        <v>1153</v>
      </c>
      <c r="F8" s="211" t="s">
        <v>1154</v>
      </c>
      <c r="G8" s="211" t="s">
        <v>1155</v>
      </c>
      <c r="H8" s="168" t="str">
        <f aca="false">HYPERLINK("#'📎 Evidence Register'!C143","ER-138  →  Row 143")</f>
        <v>ER-138  →  Row 143</v>
      </c>
      <c r="I8" s="212" t="s">
        <v>508</v>
      </c>
      <c r="J8" s="170" t="n">
        <f aca="false">IF(I8="","",IF(LEFT(I8,2)="L1",1,IF(LEFT(I8,2)="L2",2,IF(LEFT(I8,2)="L3",3,IF(LEFT(I8,2)="L4",4,IF(LEFT(I8,2)="L5",5,""))))))</f>
        <v>2</v>
      </c>
      <c r="K8" s="213" t="s">
        <v>545</v>
      </c>
      <c r="L8" s="172" t="n">
        <f aca="false">IF(K8="","",IF(LEFT(K8,2)="L1",1,IF(LEFT(K8,2)="L2",2,IF(LEFT(K8,2)="L3",3,IF(LEFT(K8,2)="L4",4,IF(LEFT(K8,2)="L5",5,""))))))</f>
        <v>4</v>
      </c>
      <c r="M8" s="173" t="n">
        <f aca="false">IFERROR(IF(OR(J8="",L8=""),"—",L8-J8),"—")</f>
        <v>2</v>
      </c>
      <c r="N8" s="174" t="str">
        <f aca="false">IFERROR(IF(I8="","⏳ Select a maturity rating to see the level description for this specific control.",INDEX(_DV!$1:$5,MATCH(LEFT(I8,2),{"L1","L2","L3","L4","L5"},0),138)),"⏳ Select a maturity rating.")</f>
        <v>L2 — Developing: Log Retention &amp; Archival Management has basic controls in place but coverage is incomplete and execution is manual. Not consistently applied across all in-scope assets. Formal governance is absent.</v>
      </c>
      <c r="O8" s="108" t="str">
        <f aca="false">IF(S8="Exclude","⬛ Not Applicable",IF(T8="⬛ Auto-Excluded","⬛ Not Applicable",IF(I8="","✅ Applicable",IF(J8=1,"🔴 Critical",IF(J8=2,"🟠 Developing",IF(J8=3,"🟡 Defined",IF(J8&gt;=4,"🟢 Managed","✅ Applicable")))))))</f>
        <v>🟠 Developing</v>
      </c>
      <c r="P8" s="164" t="str">
        <f aca="false">IF(OR(J8="",L8=""),"⏳ Complete rating and target to generate recommendation.",IF(L8&lt;=J8,"✅ Target met — sustain evidence and raise target when programme allows.",IFERROR(INDEX(_REC!$B:$B,MATCH(A8&amp;"|"&amp;IF(L8="","",LEFT(TEXT(L8,"0"),1)),_REC!$A:$A,0)),"Recommendation pending — check _REC data.")))</f>
        <v>Instrument Log Retention &amp; Archival Management with measurable KPIs: define performance thresholds (coverage %, SLA adherence, exception count), establish automated telemetry where possible, and integrate reporting into quarterly governance cycles. Evidence must be system-generated and reviewed at each governance cycle.</v>
      </c>
      <c r="Q8" s="175" t="s">
        <v>1156</v>
      </c>
      <c r="R8" s="214" t="s">
        <v>287</v>
      </c>
      <c r="S8" s="177"/>
      <c r="T8" s="178" t="str">
        <f aca="false">IF(S8="Exclude","⬛ Excluded",IF(S8="Apply","✅ Applicable","✅ Applicable"))</f>
        <v>✅ Applicable</v>
      </c>
    </row>
    <row r="9" customFormat="false" ht="69.75" hidden="false" customHeight="true" outlineLevel="0" collapsed="false">
      <c r="A9" s="104" t="n">
        <v>139</v>
      </c>
      <c r="B9" s="179" t="s">
        <v>1134</v>
      </c>
      <c r="C9" s="180" t="s">
        <v>401</v>
      </c>
      <c r="D9" s="180" t="s">
        <v>1157</v>
      </c>
      <c r="E9" s="180" t="s">
        <v>1158</v>
      </c>
      <c r="F9" s="215" t="s">
        <v>1159</v>
      </c>
      <c r="G9" s="215" t="s">
        <v>566</v>
      </c>
      <c r="H9" s="183" t="str">
        <f aca="false">HYPERLINK("#'📎 Evidence Register'!C144","ER-139  →  Row 144")</f>
        <v>ER-139  →  Row 144</v>
      </c>
      <c r="I9" s="212" t="s">
        <v>495</v>
      </c>
      <c r="J9" s="184" t="n">
        <f aca="false">IF(I9="","",IF(LEFT(I9,2)="L1",1,IF(LEFT(I9,2)="L2",2,IF(LEFT(I9,2)="L3",3,IF(LEFT(I9,2)="L4",4,IF(LEFT(I9,2)="L5",5,""))))))</f>
        <v>1</v>
      </c>
      <c r="K9" s="216" t="s">
        <v>496</v>
      </c>
      <c r="L9" s="186" t="n">
        <f aca="false">IF(K9="","",IF(LEFT(K9,2)="L1",1,IF(LEFT(K9,2)="L2",2,IF(LEFT(K9,2)="L3",3,IF(LEFT(K9,2)="L4",4,IF(LEFT(K9,2)="L5",5,""))))))</f>
        <v>3</v>
      </c>
      <c r="M9" s="187" t="n">
        <f aca="false">IFERROR(IF(OR(J9="",L9=""),"—",L9-J9),"—")</f>
        <v>2</v>
      </c>
      <c r="N9" s="188" t="str">
        <f aca="false">IFERROR(IF(I9="","⏳ Select a maturity rating to see the level description for this specific control.",INDEX(_DV!$1:$5,MATCH(LEFT(I9,2),{"L1","L2","L3","L4","L5"},0),139)),"⏳ Select a maturity rating.")</f>
        <v>L1 — Initial: Telemetry Coverage Management is absent or ad hoc. No formal process, no documentation, no named owner. Controls exist only reactively after incidents.</v>
      </c>
      <c r="O9" s="113" t="str">
        <f aca="false">IF(S9="Exclude","⬛ Not Applicable",IF(T9="⬛ Auto-Excluded","⬛ Not Applicable",IF(I9="","✅ Applicable",IF(J9=1,"🔴 Critical",IF(J9=2,"🟠 Developing",IF(J9=3,"🟡 Defined",IF(J9&gt;=4,"🟢 Managed","✅ Applicable")))))))</f>
        <v>🔴 Critical</v>
      </c>
      <c r="P9" s="179" t="str">
        <f aca="false">IF(OR(J9="",L9=""),"⏳ Complete rating and target to generate recommendation.",IF(L9&lt;=J9,"✅ Target met — sustain evidence and raise target when programme allows.",IFERROR(INDEX(_REC!$B:$B,MATCH(A9&amp;"|"&amp;IF(L9="","",LEFT(TEXT(L9,"0"),1)),_REC!$A:$A,0)),"Recommendation pending — check _REC data.")))</f>
        <v>Standardise Telemetry Coverage Management: formalise all documentation, apply the control consistently across all in-scope assets, close remaining coverage gaps, and ensure evidence is collected routinely. Exceptions must be formally managed with named owners and defined expiry dates.</v>
      </c>
      <c r="Q9" s="189" t="s">
        <v>1160</v>
      </c>
      <c r="R9" s="217" t="s">
        <v>299</v>
      </c>
      <c r="S9" s="177"/>
      <c r="T9" s="191" t="str">
        <f aca="false">IF(S9="Exclude","⬛ Excluded",IF(S9="Apply","✅ Applicable","✅ Applicable"))</f>
        <v>✅ Applicable</v>
      </c>
    </row>
    <row r="10" customFormat="false" ht="69.75" hidden="false" customHeight="true" outlineLevel="0" collapsed="false">
      <c r="A10" s="104" t="n">
        <v>140</v>
      </c>
      <c r="B10" s="164" t="s">
        <v>1134</v>
      </c>
      <c r="C10" s="165" t="s">
        <v>402</v>
      </c>
      <c r="D10" s="165" t="s">
        <v>1161</v>
      </c>
      <c r="E10" s="165" t="s">
        <v>1162</v>
      </c>
      <c r="F10" s="211" t="s">
        <v>1163</v>
      </c>
      <c r="G10" s="211" t="s">
        <v>566</v>
      </c>
      <c r="H10" s="168" t="str">
        <f aca="false">HYPERLINK("#'📎 Evidence Register'!C145","ER-140  →  Row 145")</f>
        <v>ER-140  →  Row 145</v>
      </c>
      <c r="I10" s="212" t="s">
        <v>495</v>
      </c>
      <c r="J10" s="170" t="n">
        <f aca="false">IF(I10="","",IF(LEFT(I10,2)="L1",1,IF(LEFT(I10,2)="L2",2,IF(LEFT(I10,2)="L3",3,IF(LEFT(I10,2)="L4",4,IF(LEFT(I10,2)="L5",5,""))))))</f>
        <v>1</v>
      </c>
      <c r="K10" s="213" t="s">
        <v>496</v>
      </c>
      <c r="L10" s="172" t="n">
        <f aca="false">IF(K10="","",IF(LEFT(K10,2)="L1",1,IF(LEFT(K10,2)="L2",2,IF(LEFT(K10,2)="L3",3,IF(LEFT(K10,2)="L4",4,IF(LEFT(K10,2)="L5",5,""))))))</f>
        <v>3</v>
      </c>
      <c r="M10" s="173" t="n">
        <f aca="false">IFERROR(IF(OR(J10="",L10=""),"—",L10-J10),"—")</f>
        <v>2</v>
      </c>
      <c r="N10" s="174" t="str">
        <f aca="false">IFERROR(IF(I10="","⏳ Select a maturity rating to see the level description for this specific control.",INDEX(_DV!$1:$5,MATCH(LEFT(I10,2),{"L1","L2","L3","L4","L5"},0),140)),"⏳ Select a maturity rating.")</f>
        <v>L1 — Initial: Detection Health Monitoring is absent or ad hoc. No formal process, no documentation, no named owner. Controls exist only reactively after incidents.</v>
      </c>
      <c r="O10" s="108" t="str">
        <f aca="false">IF(S10="Exclude","⬛ Not Applicable",IF(T10="⬛ Auto-Excluded","⬛ Not Applicable",IF(I10="","✅ Applicable",IF(J10=1,"🔴 Critical",IF(J10=2,"🟠 Developing",IF(J10=3,"🟡 Defined",IF(J10&gt;=4,"🟢 Managed","✅ Applicable")))))))</f>
        <v>🔴 Critical</v>
      </c>
      <c r="P10" s="164" t="str">
        <f aca="false">IF(OR(J10="",L10=""),"⏳ Complete rating and target to generate recommendation.",IF(L10&lt;=J10,"✅ Target met — sustain evidence and raise target when programme allows.",IFERROR(INDEX(_REC!$B:$B,MATCH(A10&amp;"|"&amp;IF(L10="","",LEFT(TEXT(L10,"0"),1)),_REC!$A:$A,0)),"Recommendation pending — check _REC data.")))</f>
        <v>Standardise Detection Health Monitoring: formalise all documentation, apply the control consistently across all in-scope assets, close remaining coverage gaps, and ensure evidence is collected routinely. Exceptions must be formally managed with named owners and defined expiry dates.</v>
      </c>
      <c r="Q10" s="175" t="s">
        <v>1164</v>
      </c>
      <c r="R10" s="214" t="s">
        <v>299</v>
      </c>
      <c r="S10" s="177"/>
      <c r="T10" s="178" t="str">
        <f aca="false">IF(S10="Exclude","⬛ Excluded",IF(S10="Apply","✅ Applicable","✅ Applicable"))</f>
        <v>✅ Applicable</v>
      </c>
    </row>
    <row r="11" customFormat="false" ht="69.75" hidden="false" customHeight="true" outlineLevel="0" collapsed="false">
      <c r="A11" s="104" t="n">
        <v>141</v>
      </c>
      <c r="B11" s="179" t="s">
        <v>1165</v>
      </c>
      <c r="C11" s="180" t="s">
        <v>403</v>
      </c>
      <c r="D11" s="180" t="s">
        <v>1166</v>
      </c>
      <c r="E11" s="180" t="s">
        <v>1167</v>
      </c>
      <c r="F11" s="215" t="s">
        <v>1168</v>
      </c>
      <c r="G11" s="215" t="s">
        <v>1169</v>
      </c>
      <c r="H11" s="183" t="str">
        <f aca="false">HYPERLINK("#'📎 Evidence Register'!C146","ER-141  →  Row 146")</f>
        <v>ER-141  →  Row 146</v>
      </c>
      <c r="I11" s="212" t="s">
        <v>495</v>
      </c>
      <c r="J11" s="184" t="n">
        <f aca="false">IF(I11="","",IF(LEFT(I11,2)="L1",1,IF(LEFT(I11,2)="L2",2,IF(LEFT(I11,2)="L3",3,IF(LEFT(I11,2)="L4",4,IF(LEFT(I11,2)="L5",5,""))))))</f>
        <v>1</v>
      </c>
      <c r="K11" s="216" t="s">
        <v>496</v>
      </c>
      <c r="L11" s="186" t="n">
        <f aca="false">IF(K11="","",IF(LEFT(K11,2)="L1",1,IF(LEFT(K11,2)="L2",2,IF(LEFT(K11,2)="L3",3,IF(LEFT(K11,2)="L4",4,IF(LEFT(K11,2)="L5",5,""))))))</f>
        <v>3</v>
      </c>
      <c r="M11" s="187" t="n">
        <f aca="false">IFERROR(IF(OR(J11="",L11=""),"—",L11-J11),"—")</f>
        <v>2</v>
      </c>
      <c r="N11" s="188" t="str">
        <f aca="false">IFERROR(IF(I11="","⏳ Select a maturity rating to see the level description for this specific control.",INDEX(_DV!$1:$5,MATCH(LEFT(I11,2),{"L1","L2","L3","L4","L5"},0),141)),"⏳ Select a maturity rating.")</f>
        <v>L1 — Initial: SOC Operations — Triage &amp; Investigation is absent or ad hoc. No formal process, no documentation, no named owner. Controls exist only reactively after incidents.</v>
      </c>
      <c r="O11" s="113" t="str">
        <f aca="false">IF(S11="Exclude","⬛ Not Applicable",IF(T11="⬛ Auto-Excluded","⬛ Not Applicable",IF(I11="","✅ Applicable",IF(J11=1,"🔴 Critical",IF(J11=2,"🟠 Developing",IF(J11=3,"🟡 Defined",IF(J11&gt;=4,"🟢 Managed","✅ Applicable")))))))</f>
        <v>🔴 Critical</v>
      </c>
      <c r="P11" s="179" t="str">
        <f aca="false">IF(OR(J11="",L11=""),"⏳ Complete rating and target to generate recommendation.",IF(L11&lt;=J11,"✅ Target met — sustain evidence and raise target when programme allows.",IFERROR(INDEX(_REC!$B:$B,MATCH(A11&amp;"|"&amp;IF(L11="","",LEFT(TEXT(L11,"0"),1)),_REC!$A:$A,0)),"Recommendation pending — check _REC data.")))</f>
        <v>Standardise SOC Operations — Triage &amp; Investigation: formalise all documentation, apply the control consistently across all in-scope assets, close remaining coverage gaps, and ensure evidence is collected routinely. Exceptions must be formally managed with named owners and defined expiry dates.</v>
      </c>
      <c r="Q11" s="189" t="s">
        <v>1170</v>
      </c>
      <c r="R11" s="217" t="s">
        <v>299</v>
      </c>
      <c r="S11" s="177"/>
      <c r="T11" s="191" t="str">
        <f aca="false">IF(S11="Exclude","⬛ Excluded",IF(S11="Apply","✅ Applicable","✅ Applicable"))</f>
        <v>✅ Applicable</v>
      </c>
    </row>
    <row r="12" customFormat="false" ht="69.75" hidden="false" customHeight="true" outlineLevel="0" collapsed="false">
      <c r="A12" s="104" t="n">
        <v>142</v>
      </c>
      <c r="B12" s="164" t="s">
        <v>1165</v>
      </c>
      <c r="C12" s="165" t="s">
        <v>404</v>
      </c>
      <c r="D12" s="165" t="s">
        <v>1171</v>
      </c>
      <c r="E12" s="165" t="s">
        <v>1172</v>
      </c>
      <c r="F12" s="211"/>
      <c r="G12" s="211"/>
      <c r="H12" s="168" t="str">
        <f aca="false">HYPERLINK("#'📎 Evidence Register'!C147","ER-142  →  Row 147")</f>
        <v>ER-142  →  Row 147</v>
      </c>
      <c r="I12" s="212"/>
      <c r="J12" s="170" t="str">
        <f aca="false">IF(I12="","",IF(LEFT(I12,2)="L1",1,IF(LEFT(I12,2)="L2",2,IF(LEFT(I12,2)="L3",3,IF(LEFT(I12,2)="L4",4,IF(LEFT(I12,2)="L5",5,""))))))</f>
        <v/>
      </c>
      <c r="K12" s="213"/>
      <c r="L12" s="172" t="str">
        <f aca="false">IF(K12="","",IF(LEFT(K12,2)="L1",1,IF(LEFT(K12,2)="L2",2,IF(LEFT(K12,2)="L3",3,IF(LEFT(K12,2)="L4",4,IF(LEFT(K12,2)="L5",5,""))))))</f>
        <v/>
      </c>
      <c r="M12" s="173" t="str">
        <f aca="false">IFERROR(IF(OR(J12="",L12=""),"—",L12-J12),"—")</f>
        <v>—</v>
      </c>
      <c r="N12" s="174" t="str">
        <f aca="false">IFERROR(IF(I12="","⏳ Select a maturity rating to see the level description for this specific control.",INDEX(_DV!$1:$5,MATCH(LEFT(I12,2),{"L1","L2","L3","L4","L5"},0),142)),"⏳ Select a maturity rating.")</f>
        <v>⏳ Select a maturity rating to see the level description for this specific control.</v>
      </c>
      <c r="O12" s="108" t="str">
        <f aca="false">IF(S12="Exclude","⬛ Not Applicable",IF(T12="⬛ Auto-Excluded","⬛ Not Applicable",IF(I12="","✅ Applicable",IF(J12=1,"🔴 Critical",IF(J12=2,"🟠 Developing",IF(J12=3,"🟡 Defined",IF(J12&gt;=4,"🟢 Managed","✅ Applicable")))))))</f>
        <v>⬛ Not Applicable</v>
      </c>
      <c r="P12" s="164" t="str">
        <f aca="false">IF(OR(J12="",L12=""),"⏳ Complete rating and target to generate recommendation.",IF(L12&lt;=J12,"✅ Target met — sustain evidence and raise target when programme allows.",IFERROR(INDEX(_REC!$B:$B,MATCH(A12&amp;"|"&amp;IF(L12="","",LEFT(TEXT(L12,"0"),1)),_REC!$A:$A,0)),"Recommendation pending — check _REC data.")))</f>
        <v>⏳ Complete rating and target to generate recommendation.</v>
      </c>
      <c r="Q12" s="175" t="s">
        <v>1173</v>
      </c>
      <c r="R12" s="214"/>
      <c r="S12" s="177" t="s">
        <v>603</v>
      </c>
      <c r="T12" s="178" t="str">
        <f aca="false">IF(S12="Exclude","⬛ Excluded",IF(S12="Apply","✅ Applicable",IF((('🔍 Scoping'!$E$7="No"))&gt;0,"⬛ Auto-Excluded","✅ Applicable")))</f>
        <v>⬛ Excluded</v>
      </c>
    </row>
    <row r="13" customFormat="false" ht="69.75" hidden="false" customHeight="true" outlineLevel="0" collapsed="false">
      <c r="A13" s="104" t="n">
        <v>143</v>
      </c>
      <c r="B13" s="179" t="s">
        <v>1165</v>
      </c>
      <c r="C13" s="180" t="s">
        <v>405</v>
      </c>
      <c r="D13" s="180" t="s">
        <v>1174</v>
      </c>
      <c r="E13" s="180" t="s">
        <v>1175</v>
      </c>
      <c r="F13" s="215"/>
      <c r="G13" s="215"/>
      <c r="H13" s="183" t="str">
        <f aca="false">HYPERLINK("#'📎 Evidence Register'!C148","ER-143  →  Row 148")</f>
        <v>ER-143  →  Row 148</v>
      </c>
      <c r="I13" s="212"/>
      <c r="J13" s="184" t="str">
        <f aca="false">IF(I13="","",IF(LEFT(I13,2)="L1",1,IF(LEFT(I13,2)="L2",2,IF(LEFT(I13,2)="L3",3,IF(LEFT(I13,2)="L4",4,IF(LEFT(I13,2)="L5",5,""))))))</f>
        <v/>
      </c>
      <c r="K13" s="216"/>
      <c r="L13" s="186" t="str">
        <f aca="false">IF(K13="","",IF(LEFT(K13,2)="L1",1,IF(LEFT(K13,2)="L2",2,IF(LEFT(K13,2)="L3",3,IF(LEFT(K13,2)="L4",4,IF(LEFT(K13,2)="L5",5,""))))))</f>
        <v/>
      </c>
      <c r="M13" s="187" t="str">
        <f aca="false">IFERROR(IF(OR(J13="",L13=""),"—",L13-J13),"—")</f>
        <v>—</v>
      </c>
      <c r="N13" s="188" t="str">
        <f aca="false">IFERROR(IF(I13="","⏳ Select a maturity rating to see the level description for this specific control.",INDEX(_DV!$1:$5,MATCH(LEFT(I13,2),{"L1","L2","L3","L4","L5"},0),143)),"⏳ Select a maturity rating.")</f>
        <v>⏳ Select a maturity rating to see the level description for this specific control.</v>
      </c>
      <c r="O13" s="113" t="str">
        <f aca="false">IF(S13="Exclude","⬛ Not Applicable",IF(T13="⬛ Auto-Excluded","⬛ Not Applicable",IF(I13="","✅ Applicable",IF(J13=1,"🔴 Critical",IF(J13=2,"🟠 Developing",IF(J13=3,"🟡 Defined",IF(J13&gt;=4,"🟢 Managed","✅ Applicable")))))))</f>
        <v>⬛ Not Applicable</v>
      </c>
      <c r="P13" s="179" t="str">
        <f aca="false">IF(OR(J13="",L13=""),"⏳ Complete rating and target to generate recommendation.",IF(L13&lt;=J13,"✅ Target met — sustain evidence and raise target when programme allows.",IFERROR(INDEX(_REC!$B:$B,MATCH(A13&amp;"|"&amp;IF(L13="","",LEFT(TEXT(L13,"0"),1)),_REC!$A:$A,0)),"Recommendation pending — check _REC data.")))</f>
        <v>⏳ Complete rating and target to generate recommendation.</v>
      </c>
      <c r="Q13" s="189" t="s">
        <v>1176</v>
      </c>
      <c r="R13" s="217"/>
      <c r="S13" s="177" t="s">
        <v>603</v>
      </c>
      <c r="T13" s="191" t="str">
        <f aca="false">IF(S13="Exclude","⬛ Excluded",IF(S13="Apply","✅ Applicable",IF((('🔍 Scoping'!$E$8="No"))&gt;0,"⬛ Auto-Excluded","✅ Applicable")))</f>
        <v>⬛ Excluded</v>
      </c>
    </row>
    <row r="14" customFormat="false" ht="69.75" hidden="false" customHeight="true" outlineLevel="0" collapsed="false">
      <c r="A14" s="104" t="n">
        <v>144</v>
      </c>
      <c r="B14" s="164" t="s">
        <v>1177</v>
      </c>
      <c r="C14" s="165" t="s">
        <v>406</v>
      </c>
      <c r="D14" s="165" t="s">
        <v>1178</v>
      </c>
      <c r="E14" s="165" t="s">
        <v>1179</v>
      </c>
      <c r="F14" s="211" t="s">
        <v>1180</v>
      </c>
      <c r="G14" s="211" t="s">
        <v>566</v>
      </c>
      <c r="H14" s="168" t="str">
        <f aca="false">HYPERLINK("#'📎 Evidence Register'!C149","ER-144  →  Row 149")</f>
        <v>ER-144  →  Row 149</v>
      </c>
      <c r="I14" s="212" t="s">
        <v>495</v>
      </c>
      <c r="J14" s="170" t="n">
        <f aca="false">IF(I14="","",IF(LEFT(I14,2)="L1",1,IF(LEFT(I14,2)="L2",2,IF(LEFT(I14,2)="L3",3,IF(LEFT(I14,2)="L4",4,IF(LEFT(I14,2)="L5",5,""))))))</f>
        <v>1</v>
      </c>
      <c r="K14" s="213" t="s">
        <v>496</v>
      </c>
      <c r="L14" s="172" t="n">
        <f aca="false">IF(K14="","",IF(LEFT(K14,2)="L1",1,IF(LEFT(K14,2)="L2",2,IF(LEFT(K14,2)="L3",3,IF(LEFT(K14,2)="L4",4,IF(LEFT(K14,2)="L5",5,""))))))</f>
        <v>3</v>
      </c>
      <c r="M14" s="173" t="n">
        <f aca="false">IFERROR(IF(OR(J14="",L14=""),"—",L14-J14),"—")</f>
        <v>2</v>
      </c>
      <c r="N14" s="174" t="str">
        <f aca="false">IFERROR(IF(I14="","⏳ Select a maturity rating to see the level description for this specific control.",INDEX(_DV!$1:$5,MATCH(LEFT(I14,2),{"L1","L2","L3","L4","L5"},0),144)),"⏳ Select a maturity rating.")</f>
        <v>L1 — Initial: Threat Intelligence Integration is absent or ad hoc. No formal process, no documentation, no named owner. Controls exist only reactively after incidents.</v>
      </c>
      <c r="O14" s="108" t="str">
        <f aca="false">IF(S14="Exclude","⬛ Not Applicable",IF(T14="⬛ Auto-Excluded","⬛ Not Applicable",IF(I14="","✅ Applicable",IF(J14=1,"🔴 Critical",IF(J14=2,"🟠 Developing",IF(J14=3,"🟡 Defined",IF(J14&gt;=4,"🟢 Managed","✅ Applicable")))))))</f>
        <v>🔴 Critical</v>
      </c>
      <c r="P14" s="164" t="str">
        <f aca="false">IF(OR(J14="",L14=""),"⏳ Complete rating and target to generate recommendation.",IF(L14&lt;=J14,"✅ Target met — sustain evidence and raise target when programme allows.",IFERROR(INDEX(_REC!$B:$B,MATCH(A14&amp;"|"&amp;IF(L14="","",LEFT(TEXT(L14,"0"),1)),_REC!$A:$A,0)),"Recommendation pending — check _REC data.")))</f>
        <v>Standardise Threat Intelligence Integration: formalise all documentation, apply the control consistently across all in-scope assets, close remaining coverage gaps, and ensure evidence is collected routinely. Exceptions must be formally managed with named owners and defined expiry dates.</v>
      </c>
      <c r="Q14" s="175" t="s">
        <v>1181</v>
      </c>
      <c r="R14" s="214" t="s">
        <v>299</v>
      </c>
      <c r="S14" s="177"/>
      <c r="T14" s="178" t="str">
        <f aca="false">IF(S14="Exclude","⬛ Excluded",IF(S14="Apply","✅ Applicable","✅ Applicable"))</f>
        <v>✅ Applicable</v>
      </c>
    </row>
    <row r="15" customFormat="false" ht="69.75" hidden="false" customHeight="true" outlineLevel="0" collapsed="false">
      <c r="A15" s="104" t="n">
        <v>145</v>
      </c>
      <c r="B15" s="179" t="s">
        <v>1177</v>
      </c>
      <c r="C15" s="180" t="s">
        <v>407</v>
      </c>
      <c r="D15" s="180" t="s">
        <v>1182</v>
      </c>
      <c r="E15" s="180" t="s">
        <v>1183</v>
      </c>
      <c r="F15" s="215" t="s">
        <v>1184</v>
      </c>
      <c r="G15" s="215" t="s">
        <v>566</v>
      </c>
      <c r="H15" s="183" t="str">
        <f aca="false">HYPERLINK("#'📎 Evidence Register'!C150","ER-145  →  Row 150")</f>
        <v>ER-145  →  Row 150</v>
      </c>
      <c r="I15" s="212" t="s">
        <v>495</v>
      </c>
      <c r="J15" s="184" t="n">
        <f aca="false">IF(I15="","",IF(LEFT(I15,2)="L1",1,IF(LEFT(I15,2)="L2",2,IF(LEFT(I15,2)="L3",3,IF(LEFT(I15,2)="L4",4,IF(LEFT(I15,2)="L5",5,""))))))</f>
        <v>1</v>
      </c>
      <c r="K15" s="216" t="s">
        <v>496</v>
      </c>
      <c r="L15" s="186" t="n">
        <f aca="false">IF(K15="","",IF(LEFT(K15,2)="L1",1,IF(LEFT(K15,2)="L2",2,IF(LEFT(K15,2)="L3",3,IF(LEFT(K15,2)="L4",4,IF(LEFT(K15,2)="L5",5,""))))))</f>
        <v>3</v>
      </c>
      <c r="M15" s="187" t="n">
        <f aca="false">IFERROR(IF(OR(J15="",L15=""),"—",L15-J15),"—")</f>
        <v>2</v>
      </c>
      <c r="N15" s="188" t="str">
        <f aca="false">IFERROR(IF(I15="","⏳ Select a maturity rating to see the level description for this specific control.",INDEX(_DV!$1:$5,MATCH(LEFT(I15,2),{"L1","L2","L3","L4","L5"},0),145)),"⏳ Select a maturity rating.")</f>
        <v>L1 — Initial: User &amp; Entity Behaviour Analytics (UEBA) is absent or ad hoc. No formal process, no documentation, no named owner. Controls exist only reactively after incidents.</v>
      </c>
      <c r="O15" s="113" t="str">
        <f aca="false">IF(S15="Exclude","⬛ Not Applicable",IF(T15="⬛ Auto-Excluded","⬛ Not Applicable",IF(I15="","✅ Applicable",IF(J15=1,"🔴 Critical",IF(J15=2,"🟠 Developing",IF(J15=3,"🟡 Defined",IF(J15&gt;=4,"🟢 Managed","✅ Applicable")))))))</f>
        <v>🔴 Critical</v>
      </c>
      <c r="P15" s="179" t="str">
        <f aca="false">IF(OR(J15="",L15=""),"⏳ Complete rating and target to generate recommendation.",IF(L15&lt;=J15,"✅ Target met — sustain evidence and raise target when programme allows.",IFERROR(INDEX(_REC!$B:$B,MATCH(A15&amp;"|"&amp;IF(L15="","",LEFT(TEXT(L15,"0"),1)),_REC!$A:$A,0)),"Recommendation pending — check _REC data.")))</f>
        <v>Standardise User &amp; Entity Behaviour Analytics (UEBA): formalise all documentation, apply the control consistently across all in-scope assets, close remaining coverage gaps, and ensure evidence is collected routinely. Exceptions must be formally managed with named owners and defined expiry dates.</v>
      </c>
      <c r="Q15" s="189" t="s">
        <v>1185</v>
      </c>
      <c r="R15" s="217" t="s">
        <v>299</v>
      </c>
      <c r="S15" s="177"/>
      <c r="T15" s="191" t="str">
        <f aca="false">IF(S15="Exclude","⬛ Excluded",IF(S15="Apply","✅ Applicable","✅ Applicable"))</f>
        <v>✅ Applicable</v>
      </c>
    </row>
    <row r="16" customFormat="false" ht="69.75" hidden="false" customHeight="true" outlineLevel="0" collapsed="false">
      <c r="A16" s="104" t="n">
        <v>146</v>
      </c>
      <c r="B16" s="164" t="s">
        <v>1177</v>
      </c>
      <c r="C16" s="165" t="s">
        <v>408</v>
      </c>
      <c r="D16" s="165" t="s">
        <v>1186</v>
      </c>
      <c r="E16" s="165" t="s">
        <v>1187</v>
      </c>
      <c r="F16" s="211" t="s">
        <v>1188</v>
      </c>
      <c r="G16" s="211" t="s">
        <v>566</v>
      </c>
      <c r="H16" s="168" t="str">
        <f aca="false">HYPERLINK("#'📎 Evidence Register'!C151","ER-146  →  Row 151")</f>
        <v>ER-146  →  Row 151</v>
      </c>
      <c r="I16" s="212" t="s">
        <v>495</v>
      </c>
      <c r="J16" s="170" t="n">
        <f aca="false">IF(I16="","",IF(LEFT(I16,2)="L1",1,IF(LEFT(I16,2)="L2",2,IF(LEFT(I16,2)="L3",3,IF(LEFT(I16,2)="L4",4,IF(LEFT(I16,2)="L5",5,""))))))</f>
        <v>1</v>
      </c>
      <c r="K16" s="213" t="s">
        <v>496</v>
      </c>
      <c r="L16" s="172" t="n">
        <f aca="false">IF(K16="","",IF(LEFT(K16,2)="L1",1,IF(LEFT(K16,2)="L2",2,IF(LEFT(K16,2)="L3",3,IF(LEFT(K16,2)="L4",4,IF(LEFT(K16,2)="L5",5,""))))))</f>
        <v>3</v>
      </c>
      <c r="M16" s="173" t="n">
        <f aca="false">IFERROR(IF(OR(J16="",L16=""),"—",L16-J16),"—")</f>
        <v>2</v>
      </c>
      <c r="N16" s="174" t="str">
        <f aca="false">IFERROR(IF(I16="","⏳ Select a maturity rating to see the level description for this specific control.",INDEX(_DV!$1:$5,MATCH(LEFT(I16,2),{"L1","L2","L3","L4","L5"},0),146)),"⏳ Select a maturity rating.")</f>
        <v>L1 — Initial: Network Detection &amp; Response (NDR) is absent or ad hoc. No formal process, no documentation, no named owner. Controls exist only reactively after incidents.</v>
      </c>
      <c r="O16" s="108" t="str">
        <f aca="false">IF(S16="Exclude","⬛ Not Applicable",IF(T16="⬛ Auto-Excluded","⬛ Not Applicable",IF(I16="","✅ Applicable",IF(J16=1,"🔴 Critical",IF(J16=2,"🟠 Developing",IF(J16=3,"🟡 Defined",IF(J16&gt;=4,"🟢 Managed","✅ Applicable")))))))</f>
        <v>🔴 Critical</v>
      </c>
      <c r="P16" s="164" t="str">
        <f aca="false">IF(OR(J16="",L16=""),"⏳ Complete rating and target to generate recommendation.",IF(L16&lt;=J16,"✅ Target met — sustain evidence and raise target when programme allows.",IFERROR(INDEX(_REC!$B:$B,MATCH(A16&amp;"|"&amp;IF(L16="","",LEFT(TEXT(L16,"0"),1)),_REC!$A:$A,0)),"Recommendation pending — check _REC data.")))</f>
        <v>Standardise Network Detection &amp; Response (NDR): formalise all documentation, apply the control consistently across all in-scope assets, close remaining coverage gaps, and ensure evidence is collected routinely. Exceptions must be formally managed with named owners and defined expiry dates.</v>
      </c>
      <c r="Q16" s="175" t="s">
        <v>1142</v>
      </c>
      <c r="R16" s="214" t="s">
        <v>299</v>
      </c>
      <c r="S16" s="177"/>
      <c r="T16" s="178" t="str">
        <f aca="false">IF(S16="Exclude","⬛ Excluded",IF(S16="Apply","✅ Applicable","✅ Applicable"))</f>
        <v>✅ Applicable</v>
      </c>
    </row>
    <row r="17" customFormat="false" ht="69.75" hidden="false" customHeight="true" outlineLevel="0" collapsed="false">
      <c r="A17" s="104" t="n">
        <v>147</v>
      </c>
      <c r="B17" s="179" t="s">
        <v>1177</v>
      </c>
      <c r="C17" s="180" t="s">
        <v>409</v>
      </c>
      <c r="D17" s="180" t="s">
        <v>1189</v>
      </c>
      <c r="E17" s="180" t="s">
        <v>1190</v>
      </c>
      <c r="F17" s="215" t="s">
        <v>1191</v>
      </c>
      <c r="G17" s="215" t="s">
        <v>1192</v>
      </c>
      <c r="H17" s="183" t="str">
        <f aca="false">HYPERLINK("#'📎 Evidence Register'!C152","ER-147  →  Row 152")</f>
        <v>ER-147  →  Row 152</v>
      </c>
      <c r="I17" s="212" t="s">
        <v>508</v>
      </c>
      <c r="J17" s="184" t="n">
        <f aca="false">IF(I17="","",IF(LEFT(I17,2)="L1",1,IF(LEFT(I17,2)="L2",2,IF(LEFT(I17,2)="L3",3,IF(LEFT(I17,2)="L4",4,IF(LEFT(I17,2)="L5",5,""))))))</f>
        <v>2</v>
      </c>
      <c r="K17" s="216" t="s">
        <v>496</v>
      </c>
      <c r="L17" s="186" t="n">
        <f aca="false">IF(K17="","",IF(LEFT(K17,2)="L1",1,IF(LEFT(K17,2)="L2",2,IF(LEFT(K17,2)="L3",3,IF(LEFT(K17,2)="L4",4,IF(LEFT(K17,2)="L5",5,""))))))</f>
        <v>3</v>
      </c>
      <c r="M17" s="187" t="n">
        <f aca="false">IFERROR(IF(OR(J17="",L17=""),"—",L17-J17),"—")</f>
        <v>1</v>
      </c>
      <c r="N17" s="188" t="str">
        <f aca="false">IFERROR(IF(I17="","⏳ Select a maturity rating to see the level description for this specific control.",INDEX(_DV!$1:$5,MATCH(LEFT(I17,2),{"L1","L2","L3","L4","L5"},0),147)),"⏳ Select a maturity rating.")</f>
        <v>L2 — Developing: Cloud Detection &amp; Response has basic controls in place but coverage is incomplete and execution is manual. Not consistently applied across all in-scope assets. Formal governance is absent.</v>
      </c>
      <c r="O17" s="113" t="str">
        <f aca="false">IF(S17="Exclude","⬛ Not Applicable",IF(T17="⬛ Auto-Excluded","⬛ Not Applicable",IF(I17="","✅ Applicable",IF(J17=1,"🔴 Critical",IF(J17=2,"🟠 Developing",IF(J17=3,"🟡 Defined",IF(J17&gt;=4,"🟢 Managed","✅ Applicable")))))))</f>
        <v>🟠 Developing</v>
      </c>
      <c r="P17" s="179" t="str">
        <f aca="false">IF(OR(J17="",L17=""),"⏳ Complete rating and target to generate recommendation.",IF(L17&lt;=J17,"✅ Target met — sustain evidence and raise target when programme allows.",IFERROR(INDEX(_REC!$B:$B,MATCH(A17&amp;"|"&amp;IF(L17="","",LEFT(TEXT(L17,"0"),1)),_REC!$A:$A,0)),"Recommendation pending — check _REC data.")))</f>
        <v>Standardise Cloud Detection &amp; Response: formalise all documentation, apply the control consistently across all in-scope assets, close remaining coverage gaps, and ensure evidence is collected routinely. Exceptions must be formally managed with named owners and defined expiry dates.</v>
      </c>
      <c r="Q17" s="189" t="s">
        <v>1193</v>
      </c>
      <c r="R17" s="217" t="s">
        <v>287</v>
      </c>
      <c r="S17" s="177"/>
      <c r="T17" s="191" t="str">
        <f aca="false">IF(S17="Exclude","⬛ Excluded",IF(S17="Apply","✅ Applicable",IF((('🔍 Scoping'!$E$20="No"))&gt;0,"⬛ Auto-Excluded","✅ Applicable")))</f>
        <v>✅ Applicable</v>
      </c>
    </row>
    <row r="18" customFormat="false" ht="69.75" hidden="false" customHeight="true" outlineLevel="0" collapsed="false">
      <c r="A18" s="104" t="n">
        <v>148</v>
      </c>
      <c r="B18" s="164" t="s">
        <v>1177</v>
      </c>
      <c r="C18" s="165" t="s">
        <v>410</v>
      </c>
      <c r="D18" s="165" t="s">
        <v>1194</v>
      </c>
      <c r="E18" s="165" t="s">
        <v>1195</v>
      </c>
      <c r="F18" s="211" t="s">
        <v>1196</v>
      </c>
      <c r="G18" s="211" t="s">
        <v>566</v>
      </c>
      <c r="H18" s="168" t="str">
        <f aca="false">HYPERLINK("#'📎 Evidence Register'!C153","ER-148  →  Row 153")</f>
        <v>ER-148  →  Row 153</v>
      </c>
      <c r="I18" s="212" t="s">
        <v>495</v>
      </c>
      <c r="J18" s="170" t="n">
        <f aca="false">IF(I18="","",IF(LEFT(I18,2)="L1",1,IF(LEFT(I18,2)="L2",2,IF(LEFT(I18,2)="L3",3,IF(LEFT(I18,2)="L4",4,IF(LEFT(I18,2)="L5",5,""))))))</f>
        <v>1</v>
      </c>
      <c r="K18" s="213" t="s">
        <v>545</v>
      </c>
      <c r="L18" s="172" t="n">
        <f aca="false">IF(K18="","",IF(LEFT(K18,2)="L1",1,IF(LEFT(K18,2)="L2",2,IF(LEFT(K18,2)="L3",3,IF(LEFT(K18,2)="L4",4,IF(LEFT(K18,2)="L5",5,""))))))</f>
        <v>4</v>
      </c>
      <c r="M18" s="173" t="n">
        <f aca="false">IFERROR(IF(OR(J18="",L18=""),"—",L18-J18),"—")</f>
        <v>3</v>
      </c>
      <c r="N18" s="174" t="str">
        <f aca="false">IFERROR(IF(I18="","⏳ Select a maturity rating to see the level description for this specific control.",INDEX(_DV!$1:$5,MATCH(LEFT(I18,2),{"L1","L2","L3","L4","L5"},0),148)),"⏳ Select a maturity rating.")</f>
        <v>L1 — Initial: Privacy Event Detection is absent or ad hoc. No formal process, no documentation, no named owner. Controls exist only reactively after incidents.</v>
      </c>
      <c r="O18" s="108" t="str">
        <f aca="false">IF(S18="Exclude","⬛ Not Applicable",IF(T18="⬛ Auto-Excluded","⬛ Not Applicable",IF(I18="","✅ Applicable",IF(J18=1,"🔴 Critical",IF(J18=2,"🟠 Developing",IF(J18=3,"🟡 Defined",IF(J18&gt;=4,"🟢 Managed","✅ Applicable")))))))</f>
        <v>🔴 Critical</v>
      </c>
      <c r="P18" s="164" t="str">
        <f aca="false">IF(OR(J18="",L18=""),"⏳ Complete rating and target to generate recommendation.",IF(L18&lt;=J18,"✅ Target met — sustain evidence and raise target when programme allows.",IFERROR(INDEX(_REC!$B:$B,MATCH(A18&amp;"|"&amp;IF(L18="","",LEFT(TEXT(L18,"0"),1)),_REC!$A:$A,0)),"Recommendation pending — check _REC data.")))</f>
        <v>Instrument Privacy Event Detection with measurable KPIs: define performance thresholds (coverage %, SLA adherence, exception count), establish automated telemetry where possible, and integrate reporting into quarterly governance cycles. Evidence must be system-generated and reviewed at each governance cycle.</v>
      </c>
      <c r="Q18" s="175" t="s">
        <v>1197</v>
      </c>
      <c r="R18" s="214" t="s">
        <v>252</v>
      </c>
      <c r="S18" s="177"/>
      <c r="T18" s="178" t="str">
        <f aca="false">IF(S18="Exclude","⬛ Excluded",IF(S18="Apply","✅ Applicable",IF((('🔍 Scoping'!$E$6="No"))&gt;0,"⬛ Auto-Excluded","✅ Applicable")))</f>
        <v>✅ Applicable</v>
      </c>
    </row>
    <row r="19" customFormat="false" ht="69.75" hidden="false" customHeight="true" outlineLevel="0" collapsed="false">
      <c r="A19" s="104" t="n">
        <v>149</v>
      </c>
      <c r="B19" s="179" t="s">
        <v>1177</v>
      </c>
      <c r="C19" s="180" t="s">
        <v>411</v>
      </c>
      <c r="D19" s="180" t="s">
        <v>1198</v>
      </c>
      <c r="E19" s="180" t="s">
        <v>1199</v>
      </c>
      <c r="F19" s="215"/>
      <c r="G19" s="215"/>
      <c r="H19" s="183" t="str">
        <f aca="false">HYPERLINK("#'📎 Evidence Register'!C154","ER-149  →  Row 154")</f>
        <v>ER-149  →  Row 154</v>
      </c>
      <c r="I19" s="212"/>
      <c r="J19" s="184" t="str">
        <f aca="false">IF(I19="","",IF(LEFT(I19,2)="L1",1,IF(LEFT(I19,2)="L2",2,IF(LEFT(I19,2)="L3",3,IF(LEFT(I19,2)="L4",4,IF(LEFT(I19,2)="L5",5,""))))))</f>
        <v/>
      </c>
      <c r="K19" s="216"/>
      <c r="L19" s="186" t="str">
        <f aca="false">IF(K19="","",IF(LEFT(K19,2)="L1",1,IF(LEFT(K19,2)="L2",2,IF(LEFT(K19,2)="L3",3,IF(LEFT(K19,2)="L4",4,IF(LEFT(K19,2)="L5",5,""))))))</f>
        <v/>
      </c>
      <c r="M19" s="187" t="str">
        <f aca="false">IFERROR(IF(OR(J19="",L19=""),"—",L19-J19),"—")</f>
        <v>—</v>
      </c>
      <c r="N19" s="188" t="str">
        <f aca="false">IFERROR(IF(I19="","⏳ Select a maturity rating to see the level description for this specific control.",INDEX(_DV!$1:$5,MATCH(LEFT(I19,2),{"L1","L2","L3","L4","L5"},0),149)),"⏳ Select a maturity rating.")</f>
        <v>⏳ Select a maturity rating to see the level description for this specific control.</v>
      </c>
      <c r="O19" s="113" t="str">
        <f aca="false">IF(S19="Exclude","⬛ Not Applicable",IF(T19="⬛ Auto-Excluded","⬛ Not Applicable",IF(I19="","✅ Applicable",IF(J19=1,"🔴 Critical",IF(J19=2,"🟠 Developing",IF(J19=3,"🟡 Defined",IF(J19&gt;=4,"🟢 Managed","✅ Applicable")))))))</f>
        <v>⬛ Not Applicable</v>
      </c>
      <c r="P19" s="179" t="str">
        <f aca="false">IF(OR(J19="",L19=""),"⏳ Complete rating and target to generate recommendation.",IF(L19&lt;=J19,"✅ Target met — sustain evidence and raise target when programme allows.",IFERROR(INDEX(_REC!$B:$B,MATCH(A19&amp;"|"&amp;IF(L19="","",LEFT(TEXT(L19,"0"),1)),_REC!$A:$A,0)),"Recommendation pending — check _REC data.")))</f>
        <v>⏳ Complete rating and target to generate recommendation.</v>
      </c>
      <c r="Q19" s="189" t="s">
        <v>1200</v>
      </c>
      <c r="R19" s="217"/>
      <c r="S19" s="177" t="s">
        <v>603</v>
      </c>
      <c r="T19" s="191" t="str">
        <f aca="false">IF(S19="Exclude","⬛ Excluded",IF(S19="Apply","✅ Applicable",IF((('🔍 Scoping'!$E$11="No"))&gt;0,"⬛ Auto-Excluded","✅ Applicable")))</f>
        <v>⬛ Excluded</v>
      </c>
    </row>
    <row r="20" customFormat="false" ht="69.75" hidden="false" customHeight="true" outlineLevel="0" collapsed="false">
      <c r="A20" s="104" t="n">
        <v>150</v>
      </c>
      <c r="B20" s="164" t="s">
        <v>1177</v>
      </c>
      <c r="C20" s="165" t="s">
        <v>412</v>
      </c>
      <c r="D20" s="165" t="s">
        <v>1201</v>
      </c>
      <c r="E20" s="165" t="s">
        <v>1202</v>
      </c>
      <c r="F20" s="211" t="s">
        <v>1203</v>
      </c>
      <c r="G20" s="211" t="s">
        <v>566</v>
      </c>
      <c r="H20" s="168" t="str">
        <f aca="false">HYPERLINK("#'📎 Evidence Register'!C155","ER-150  →  Row 155")</f>
        <v>ER-150  →  Row 155</v>
      </c>
      <c r="I20" s="212" t="s">
        <v>495</v>
      </c>
      <c r="J20" s="170" t="n">
        <f aca="false">IF(I20="","",IF(LEFT(I20,2)="L1",1,IF(LEFT(I20,2)="L2",2,IF(LEFT(I20,2)="L3",3,IF(LEFT(I20,2)="L4",4,IF(LEFT(I20,2)="L5",5,""))))))</f>
        <v>1</v>
      </c>
      <c r="K20" s="213" t="s">
        <v>545</v>
      </c>
      <c r="L20" s="172" t="n">
        <f aca="false">IF(K20="","",IF(LEFT(K20,2)="L1",1,IF(LEFT(K20,2)="L2",2,IF(LEFT(K20,2)="L3",3,IF(LEFT(K20,2)="L4",4,IF(LEFT(K20,2)="L5",5,""))))))</f>
        <v>4</v>
      </c>
      <c r="M20" s="173" t="n">
        <f aca="false">IFERROR(IF(OR(J20="",L20=""),"—",L20-J20),"—")</f>
        <v>3</v>
      </c>
      <c r="N20" s="174" t="str">
        <f aca="false">IFERROR(IF(I20="","⏳ Select a maturity rating to see the level description for this specific control.",INDEX(_DV!$1:$5,MATCH(LEFT(I20,2),{"L1","L2","L3","L4","L5"},0),150)),"⏳ Select a maturity rating.")</f>
        <v>L1 — Initial: Dark Web &amp; Exposure Monitoring is absent or ad hoc. No formal process, no documentation, no named owner. Controls exist only reactively after incidents.</v>
      </c>
      <c r="O20" s="108" t="str">
        <f aca="false">IF(S20="Exclude","⬛ Not Applicable",IF(T20="⬛ Auto-Excluded","⬛ Not Applicable",IF(I20="","✅ Applicable",IF(J20=1,"🔴 Critical",IF(J20=2,"🟠 Developing",IF(J20=3,"🟡 Defined",IF(J20&gt;=4,"🟢 Managed","✅ Applicable")))))))</f>
        <v>🔴 Critical</v>
      </c>
      <c r="P20" s="164" t="str">
        <f aca="false">IF(OR(J20="",L20=""),"⏳ Complete rating and target to generate recommendation.",IF(L20&lt;=J20,"✅ Target met — sustain evidence and raise target when programme allows.",IFERROR(INDEX(_REC!$B:$B,MATCH(A20&amp;"|"&amp;IF(L20="","",LEFT(TEXT(L20,"0"),1)),_REC!$A:$A,0)),"Recommendation pending — check _REC data.")))</f>
        <v>Instrument Dark Web &amp; Exposure Monitoring with measurable KPIs: define performance thresholds (coverage %, SLA adherence, exception count), establish automated telemetry where possible, and integrate reporting into quarterly governance cycles. Evidence must be system-generated and reviewed at each governance cycle.</v>
      </c>
      <c r="Q20" s="175" t="s">
        <v>1204</v>
      </c>
      <c r="R20" s="214" t="s">
        <v>299</v>
      </c>
      <c r="S20" s="177"/>
      <c r="T20" s="178" t="str">
        <f aca="false">IF(S20="Exclude","⬛ Excluded",IF(S20="Apply","✅ Applicable","✅ Applicable"))</f>
        <v>✅ Applicable</v>
      </c>
    </row>
    <row r="21" customFormat="false" ht="69.75" hidden="false" customHeight="true" outlineLevel="0" collapsed="false">
      <c r="A21" s="104" t="n">
        <v>151</v>
      </c>
      <c r="B21" s="179" t="s">
        <v>1177</v>
      </c>
      <c r="C21" s="180" t="s">
        <v>413</v>
      </c>
      <c r="D21" s="180" t="s">
        <v>1205</v>
      </c>
      <c r="E21" s="180" t="s">
        <v>1206</v>
      </c>
      <c r="F21" s="215" t="s">
        <v>1207</v>
      </c>
      <c r="G21" s="215" t="s">
        <v>566</v>
      </c>
      <c r="H21" s="183" t="str">
        <f aca="false">HYPERLINK("#'📎 Evidence Register'!C156","ER-151  →  Row 156")</f>
        <v>ER-151  →  Row 156</v>
      </c>
      <c r="I21" s="212" t="s">
        <v>495</v>
      </c>
      <c r="J21" s="184" t="n">
        <f aca="false">IF(I21="","",IF(LEFT(I21,2)="L1",1,IF(LEFT(I21,2)="L2",2,IF(LEFT(I21,2)="L3",3,IF(LEFT(I21,2)="L4",4,IF(LEFT(I21,2)="L5",5,""))))))</f>
        <v>1</v>
      </c>
      <c r="K21" s="216" t="s">
        <v>496</v>
      </c>
      <c r="L21" s="186" t="n">
        <f aca="false">IF(K21="","",IF(LEFT(K21,2)="L1",1,IF(LEFT(K21,2)="L2",2,IF(LEFT(K21,2)="L3",3,IF(LEFT(K21,2)="L4",4,IF(LEFT(K21,2)="L5",5,""))))))</f>
        <v>3</v>
      </c>
      <c r="M21" s="187" t="n">
        <f aca="false">IFERROR(IF(OR(J21="",L21=""),"—",L21-J21),"—")</f>
        <v>2</v>
      </c>
      <c r="N21" s="188" t="str">
        <f aca="false">IFERROR(IF(I21="","⏳ Select a maturity rating to see the level description for this specific control.",INDEX(_DV!$1:$5,MATCH(LEFT(I21,2),{"L1","L2","L3","L4","L5"},0),151)),"⏳ Select a maturity rating.")</f>
        <v>L1 — Initial: AI-Specific Threat Detection is absent or ad hoc. No formal process, no documentation, no named owner. Controls exist only reactively after incidents.</v>
      </c>
      <c r="O21" s="113" t="str">
        <f aca="false">IF(S21="Exclude","⬛ Not Applicable",IF(T21="⬛ Auto-Excluded","⬛ Not Applicable",IF(I21="","✅ Applicable",IF(J21=1,"🔴 Critical",IF(J21=2,"🟠 Developing",IF(J21=3,"🟡 Defined",IF(J21&gt;=4,"🟢 Managed","✅ Applicable")))))))</f>
        <v>⬛ Not Applicable</v>
      </c>
      <c r="P21" s="179" t="str">
        <f aca="false">IF(OR(J21="",L21=""),"⏳ Complete rating and target to generate recommendation.",IF(L21&lt;=J21,"✅ Target met — sustain evidence and raise target when programme allows.",IFERROR(INDEX(_REC!$B:$B,MATCH(A21&amp;"|"&amp;IF(L21="","",LEFT(TEXT(L21,"0"),1)),_REC!$A:$A,0)),"Recommendation pending — check _REC data.")))</f>
        <v>Standardise AI-Specific Threat Detection: formalise all documentation, apply the control consistently across all in-scope assets, close remaining coverage gaps, and ensure evidence is collected routinely. Exceptions must be formally managed with named owners and defined expiry dates.</v>
      </c>
      <c r="Q21" s="189" t="s">
        <v>1208</v>
      </c>
      <c r="R21" s="217" t="s">
        <v>299</v>
      </c>
      <c r="S21" s="177" t="s">
        <v>603</v>
      </c>
      <c r="T21" s="191" t="str">
        <f aca="false">IF(S21="Exclude","⬛ Excluded",IF(S21="Apply","✅ Applicable",IF((('🔍 Scoping'!$E$26="No"))&gt;0,"⬛ Auto-Excluded","✅ Applicable")))</f>
        <v>⬛ Excluded</v>
      </c>
    </row>
    <row r="22" customFormat="false" ht="69.75" hidden="false" customHeight="true" outlineLevel="0" collapsed="false">
      <c r="A22" s="104" t="n">
        <v>152</v>
      </c>
      <c r="B22" s="164" t="s">
        <v>1209</v>
      </c>
      <c r="C22" s="165" t="s">
        <v>414</v>
      </c>
      <c r="D22" s="165" t="s">
        <v>1210</v>
      </c>
      <c r="E22" s="165" t="s">
        <v>1211</v>
      </c>
      <c r="F22" s="211" t="s">
        <v>1212</v>
      </c>
      <c r="G22" s="211" t="s">
        <v>566</v>
      </c>
      <c r="H22" s="168" t="str">
        <f aca="false">HYPERLINK("#'📎 Evidence Register'!C157","ER-152  →  Row 157")</f>
        <v>ER-152  →  Row 157</v>
      </c>
      <c r="I22" s="212" t="s">
        <v>495</v>
      </c>
      <c r="J22" s="170" t="n">
        <f aca="false">IF(I22="","",IF(LEFT(I22,2)="L1",1,IF(LEFT(I22,2)="L2",2,IF(LEFT(I22,2)="L3",3,IF(LEFT(I22,2)="L4",4,IF(LEFT(I22,2)="L5",5,""))))))</f>
        <v>1</v>
      </c>
      <c r="K22" s="213" t="s">
        <v>496</v>
      </c>
      <c r="L22" s="172" t="n">
        <f aca="false">IF(K22="","",IF(LEFT(K22,2)="L1",1,IF(LEFT(K22,2)="L2",2,IF(LEFT(K22,2)="L3",3,IF(LEFT(K22,2)="L4",4,IF(LEFT(K22,2)="L5",5,""))))))</f>
        <v>3</v>
      </c>
      <c r="M22" s="173" t="n">
        <f aca="false">IFERROR(IF(OR(J22="",L22=""),"—",L22-J22),"—")</f>
        <v>2</v>
      </c>
      <c r="N22" s="174" t="str">
        <f aca="false">IFERROR(IF(I22="","⏳ Select a maturity rating to see the level description for this specific control.",INDEX(_DV!$1:$5,MATCH(LEFT(I22,2),{"L1","L2","L3","L4","L5"},0),152)),"⏳ Select a maturity rating.")</f>
        <v>L1 — Initial: Detection Validation — Purple Team Exercises is absent or ad hoc. No formal process, no documentation, no named owner. Controls exist only reactively after incidents.</v>
      </c>
      <c r="O22" s="108" t="str">
        <f aca="false">IF(S22="Exclude","⬛ Not Applicable",IF(T22="⬛ Auto-Excluded","⬛ Not Applicable",IF(I22="","✅ Applicable",IF(J22=1,"🔴 Critical",IF(J22=2,"🟠 Developing",IF(J22=3,"🟡 Defined",IF(J22&gt;=4,"🟢 Managed","✅ Applicable")))))))</f>
        <v>🔴 Critical</v>
      </c>
      <c r="P22" s="164" t="str">
        <f aca="false">IF(OR(J22="",L22=""),"⏳ Complete rating and target to generate recommendation.",IF(L22&lt;=J22,"✅ Target met — sustain evidence and raise target when programme allows.",IFERROR(INDEX(_REC!$B:$B,MATCH(A22&amp;"|"&amp;IF(L22="","",LEFT(TEXT(L22,"0"),1)),_REC!$A:$A,0)),"Recommendation pending — check _REC data.")))</f>
        <v>Standardise Detection Validation — Purple Team Exercises: formalise all documentation, apply the control consistently across all in-scope assets, close remaining coverage gaps, and ensure evidence is collected routinely. Exceptions must be formally managed with named owners and defined expiry dates.</v>
      </c>
      <c r="Q22" s="175" t="s">
        <v>1213</v>
      </c>
      <c r="R22" s="214" t="s">
        <v>299</v>
      </c>
      <c r="S22" s="177"/>
      <c r="T22" s="178" t="str">
        <f aca="false">IF(S22="Exclude","⬛ Excluded",IF(S22="Apply","✅ Applicable","✅ Applicable"))</f>
        <v>✅ Applicable</v>
      </c>
    </row>
    <row r="23" customFormat="false" ht="69.75" hidden="false" customHeight="true" outlineLevel="0" collapsed="false">
      <c r="A23" s="104" t="n">
        <v>153</v>
      </c>
      <c r="B23" s="179" t="s">
        <v>1209</v>
      </c>
      <c r="C23" s="180" t="s">
        <v>415</v>
      </c>
      <c r="D23" s="180" t="s">
        <v>1214</v>
      </c>
      <c r="E23" s="180" t="s">
        <v>1215</v>
      </c>
      <c r="F23" s="215" t="s">
        <v>1216</v>
      </c>
      <c r="G23" s="215" t="s">
        <v>566</v>
      </c>
      <c r="H23" s="183" t="str">
        <f aca="false">HYPERLINK("#'📎 Evidence Register'!C158","ER-153  →  Row 158")</f>
        <v>ER-153  →  Row 158</v>
      </c>
      <c r="I23" s="212" t="s">
        <v>495</v>
      </c>
      <c r="J23" s="184" t="n">
        <f aca="false">IF(I23="","",IF(LEFT(I23,2)="L1",1,IF(LEFT(I23,2)="L2",2,IF(LEFT(I23,2)="L3",3,IF(LEFT(I23,2)="L4",4,IF(LEFT(I23,2)="L5",5,""))))))</f>
        <v>1</v>
      </c>
      <c r="K23" s="216" t="s">
        <v>496</v>
      </c>
      <c r="L23" s="186" t="n">
        <f aca="false">IF(K23="","",IF(LEFT(K23,2)="L1",1,IF(LEFT(K23,2)="L2",2,IF(LEFT(K23,2)="L3",3,IF(LEFT(K23,2)="L4",4,IF(LEFT(K23,2)="L5",5,""))))))</f>
        <v>3</v>
      </c>
      <c r="M23" s="187" t="n">
        <f aca="false">IFERROR(IF(OR(J23="",L23=""),"—",L23-J23),"—")</f>
        <v>2</v>
      </c>
      <c r="N23" s="188" t="str">
        <f aca="false">IFERROR(IF(I23="","⏳ Select a maturity rating to see the level description for this specific control.",INDEX(_DV!$1:$5,MATCH(LEFT(I23,2),{"L1","L2","L3","L4","L5"},0),153)),"⏳ Select a maturity rating.")</f>
        <v>L1 — Initial: Security Metrics &amp; KPIs — Detection Domain is absent or ad hoc. No formal process, no documentation, no named owner. Controls exist only reactively after incidents.</v>
      </c>
      <c r="O23" s="113" t="str">
        <f aca="false">IF(S23="Exclude","⬛ Not Applicable",IF(T23="⬛ Auto-Excluded","⬛ Not Applicable",IF(I23="","✅ Applicable",IF(J23=1,"🔴 Critical",IF(J23=2,"🟠 Developing",IF(J23=3,"🟡 Defined",IF(J23&gt;=4,"🟢 Managed","✅ Applicable")))))))</f>
        <v>🔴 Critical</v>
      </c>
      <c r="P23" s="179" t="str">
        <f aca="false">IF(OR(J23="",L23=""),"⏳ Complete rating and target to generate recommendation.",IF(L23&lt;=J23,"✅ Target met — sustain evidence and raise target when programme allows.",IFERROR(INDEX(_REC!$B:$B,MATCH(A23&amp;"|"&amp;IF(L23="","",LEFT(TEXT(L23,"0"),1)),_REC!$A:$A,0)),"Recommendation pending — check _REC data.")))</f>
        <v>Standardise Security Metrics &amp; KPIs — Detection Domain: formalise all documentation, apply the control consistently across all in-scope assets, close remaining coverage gaps, and ensure evidence is collected routinely. Exceptions must be formally managed with named owners and defined expiry dates.</v>
      </c>
      <c r="Q23" s="189" t="s">
        <v>1217</v>
      </c>
      <c r="R23" s="217" t="s">
        <v>299</v>
      </c>
      <c r="S23" s="177"/>
      <c r="T23" s="191" t="str">
        <f aca="false">IF(S23="Exclude","⬛ Excluded",IF(S23="Apply","✅ Applicable","✅ Applicable"))</f>
        <v>✅ Applicable</v>
      </c>
    </row>
    <row r="24" customFormat="false" ht="69.75" hidden="false" customHeight="true" outlineLevel="0" collapsed="false">
      <c r="A24" s="104" t="n">
        <v>154</v>
      </c>
      <c r="B24" s="164" t="s">
        <v>1209</v>
      </c>
      <c r="C24" s="165" t="s">
        <v>416</v>
      </c>
      <c r="D24" s="165" t="s">
        <v>1218</v>
      </c>
      <c r="E24" s="165" t="s">
        <v>1219</v>
      </c>
      <c r="F24" s="211" t="s">
        <v>1220</v>
      </c>
      <c r="G24" s="211" t="s">
        <v>566</v>
      </c>
      <c r="H24" s="168" t="str">
        <f aca="false">HYPERLINK("#'📎 Evidence Register'!C159","ER-154  →  Row 159")</f>
        <v>ER-154  →  Row 159</v>
      </c>
      <c r="I24" s="212" t="s">
        <v>495</v>
      </c>
      <c r="J24" s="170" t="n">
        <f aca="false">IF(I24="","",IF(LEFT(I24,2)="L1",1,IF(LEFT(I24,2)="L2",2,IF(LEFT(I24,2)="L3",3,IF(LEFT(I24,2)="L4",4,IF(LEFT(I24,2)="L5",5,""))))))</f>
        <v>1</v>
      </c>
      <c r="K24" s="213" t="s">
        <v>496</v>
      </c>
      <c r="L24" s="172" t="n">
        <f aca="false">IF(K24="","",IF(LEFT(K24,2)="L1",1,IF(LEFT(K24,2)="L2",2,IF(LEFT(K24,2)="L3",3,IF(LEFT(K24,2)="L4",4,IF(LEFT(K24,2)="L5",5,""))))))</f>
        <v>3</v>
      </c>
      <c r="M24" s="173" t="n">
        <f aca="false">IFERROR(IF(OR(J24="",L24=""),"—",L24-J24),"—")</f>
        <v>2</v>
      </c>
      <c r="N24" s="174" t="str">
        <f aca="false">IFERROR(IF(I24="","⏳ Select a maturity rating to see the level description for this specific control.",INDEX(_DV!$1:$5,MATCH(LEFT(I24,2),{"L1","L2","L3","L4","L5"},0),154)),"⏳ Select a maturity rating.")</f>
        <v>L1 — Initial: Security Dashboard &amp; Visibility is absent or ad hoc. No formal process, no documentation, no named owner. Controls exist only reactively after incidents.</v>
      </c>
      <c r="O24" s="108" t="str">
        <f aca="false">IF(S24="Exclude","⬛ Not Applicable",IF(T24="⬛ Auto-Excluded","⬛ Not Applicable",IF(I24="","✅ Applicable",IF(J24=1,"🔴 Critical",IF(J24=2,"🟠 Developing",IF(J24=3,"🟡 Defined",IF(J24&gt;=4,"🟢 Managed","✅ Applicable")))))))</f>
        <v>🔴 Critical</v>
      </c>
      <c r="P24" s="164" t="str">
        <f aca="false">IF(OR(J24="",L24=""),"⏳ Complete rating and target to generate recommendation.",IF(L24&lt;=J24,"✅ Target met — sustain evidence and raise target when programme allows.",IFERROR(INDEX(_REC!$B:$B,MATCH(A24&amp;"|"&amp;IF(L24="","",LEFT(TEXT(L24,"0"),1)),_REC!$A:$A,0)),"Recommendation pending — check _REC data.")))</f>
        <v>Standardise Security Dashboard &amp; Visibility: formalise all documentation, apply the control consistently across all in-scope assets, close remaining coverage gaps, and ensure evidence is collected routinely. Exceptions must be formally managed with named owners and defined expiry dates.</v>
      </c>
      <c r="Q24" s="175" t="s">
        <v>1221</v>
      </c>
      <c r="R24" s="214" t="s">
        <v>249</v>
      </c>
      <c r="S24" s="177"/>
      <c r="T24" s="178" t="str">
        <f aca="false">IF(S24="Exclude","⬛ Excluded",IF(S24="Apply","✅ Applicable","✅ Applicable"))</f>
        <v>✅ Applicable</v>
      </c>
    </row>
    <row r="25" customFormat="false" ht="69.75" hidden="false" customHeight="true" outlineLevel="0" collapsed="false">
      <c r="A25" s="104" t="n">
        <v>155</v>
      </c>
      <c r="B25" s="179" t="s">
        <v>1209</v>
      </c>
      <c r="C25" s="180" t="s">
        <v>417</v>
      </c>
      <c r="D25" s="180" t="s">
        <v>1222</v>
      </c>
      <c r="E25" s="180" t="s">
        <v>1223</v>
      </c>
      <c r="F25" s="215" t="s">
        <v>1224</v>
      </c>
      <c r="G25" s="215" t="s">
        <v>1225</v>
      </c>
      <c r="H25" s="183" t="str">
        <f aca="false">HYPERLINK("#'📎 Evidence Register'!C160","ER-155  →  Row 160")</f>
        <v>ER-155  →  Row 160</v>
      </c>
      <c r="I25" s="212" t="s">
        <v>495</v>
      </c>
      <c r="J25" s="184" t="n">
        <f aca="false">IF(I25="","",IF(LEFT(I25,2)="L1",1,IF(LEFT(I25,2)="L2",2,IF(LEFT(I25,2)="L3",3,IF(LEFT(I25,2)="L4",4,IF(LEFT(I25,2)="L5",5,""))))))</f>
        <v>1</v>
      </c>
      <c r="K25" s="216" t="s">
        <v>545</v>
      </c>
      <c r="L25" s="186" t="n">
        <f aca="false">IF(K25="","",IF(LEFT(K25,2)="L1",1,IF(LEFT(K25,2)="L2",2,IF(LEFT(K25,2)="L3",3,IF(LEFT(K25,2)="L4",4,IF(LEFT(K25,2)="L5",5,""))))))</f>
        <v>4</v>
      </c>
      <c r="M25" s="187" t="n">
        <f aca="false">IFERROR(IF(OR(J25="",L25=""),"—",L25-J25),"—")</f>
        <v>3</v>
      </c>
      <c r="N25" s="188" t="str">
        <f aca="false">IFERROR(IF(I25="","⏳ Select a maturity rating to see the level description for this specific control.",INDEX(_DV!$1:$5,MATCH(LEFT(I25,2),{"L1","L2","L3","L4","L5"},0),155)),"⏳ Select a maturity rating.")</f>
        <v>L1 — Initial: Vulnerability Scanner Integration is absent or ad hoc. No formal process, no documentation, no named owner. Controls exist only reactively after incidents.</v>
      </c>
      <c r="O25" s="113" t="str">
        <f aca="false">IF(S25="Exclude","⬛ Not Applicable",IF(T25="⬛ Auto-Excluded","⬛ Not Applicable",IF(I25="","✅ Applicable",IF(J25=1,"🔴 Critical",IF(J25=2,"🟠 Developing",IF(J25=3,"🟡 Defined",IF(J25&gt;=4,"🟢 Managed","✅ Applicable")))))))</f>
        <v>🔴 Critical</v>
      </c>
      <c r="P25" s="179" t="str">
        <f aca="false">IF(OR(J25="",L25=""),"⏳ Complete rating and target to generate recommendation.",IF(L25&lt;=J25,"✅ Target met — sustain evidence and raise target when programme allows.",IFERROR(INDEX(_REC!$B:$B,MATCH(A25&amp;"|"&amp;IF(L25="","",LEFT(TEXT(L25,"0"),1)),_REC!$A:$A,0)),"Recommendation pending — check _REC data.")))</f>
        <v>Instrument Vulnerability Scanner Integration with measurable KPIs: define performance thresholds (coverage %, SLA adherence, exception count), establish automated telemetry where possible, and integrate reporting into quarterly governance cycles. Evidence must be system-generated and reviewed at each governance cycle.</v>
      </c>
      <c r="Q25" s="189" t="s">
        <v>1226</v>
      </c>
      <c r="R25" s="217" t="s">
        <v>299</v>
      </c>
      <c r="S25" s="177"/>
      <c r="T25" s="191" t="str">
        <f aca="false">IF(S25="Exclude","⬛ Excluded",IF(S25="Apply","✅ Applicable","✅ Applicable"))</f>
        <v>✅ Applicable</v>
      </c>
    </row>
    <row r="26" customFormat="false" ht="69.75" hidden="false" customHeight="true" outlineLevel="0" collapsed="false">
      <c r="A26" s="155"/>
      <c r="B26" s="155"/>
      <c r="C26" s="155"/>
      <c r="D26" s="155"/>
      <c r="E26" s="155"/>
      <c r="F26" s="155"/>
      <c r="G26" s="155"/>
      <c r="H26" s="155"/>
      <c r="I26" s="155"/>
      <c r="J26" s="155"/>
      <c r="K26" s="155"/>
      <c r="L26" s="155"/>
      <c r="M26" s="155"/>
      <c r="N26" s="155"/>
      <c r="O26" s="155"/>
      <c r="P26" s="155"/>
      <c r="Q26" s="155"/>
      <c r="R26" s="155"/>
      <c r="S26" s="155"/>
      <c r="T26" s="155"/>
    </row>
    <row r="27" customFormat="false" ht="69.75" hidden="false" customHeight="true" outlineLevel="0" collapsed="false">
      <c r="A27" s="155"/>
      <c r="B27" s="155"/>
      <c r="C27" s="155"/>
      <c r="D27" s="155"/>
      <c r="E27" s="155"/>
      <c r="F27" s="155"/>
      <c r="G27" s="155"/>
      <c r="H27" s="155"/>
      <c r="I27" s="155"/>
      <c r="J27" s="155"/>
      <c r="K27" s="155"/>
      <c r="L27" s="155"/>
      <c r="M27" s="155"/>
      <c r="N27" s="155"/>
      <c r="O27" s="155"/>
      <c r="P27" s="155"/>
      <c r="Q27" s="155"/>
      <c r="R27" s="155"/>
      <c r="S27" s="155"/>
      <c r="T27" s="155"/>
    </row>
    <row r="28" customFormat="false" ht="69.75" hidden="false" customHeight="true" outlineLevel="0" collapsed="false">
      <c r="A28" s="155"/>
      <c r="B28" s="155"/>
      <c r="C28" s="155"/>
      <c r="D28" s="155"/>
      <c r="E28" s="155"/>
      <c r="F28" s="155"/>
      <c r="G28" s="155"/>
      <c r="H28" s="155"/>
      <c r="I28" s="155"/>
      <c r="J28" s="155"/>
      <c r="K28" s="155"/>
      <c r="L28" s="155"/>
      <c r="M28" s="155"/>
      <c r="N28" s="155"/>
      <c r="O28" s="155"/>
      <c r="P28" s="155"/>
      <c r="Q28" s="155"/>
      <c r="R28" s="155"/>
      <c r="S28" s="155"/>
      <c r="T28" s="155"/>
    </row>
    <row r="29" customFormat="false" ht="69.75" hidden="false" customHeight="true" outlineLevel="0" collapsed="false">
      <c r="A29" s="155"/>
      <c r="B29" s="155"/>
      <c r="C29" s="155"/>
      <c r="D29" s="155"/>
      <c r="E29" s="155"/>
      <c r="F29" s="155"/>
      <c r="G29" s="155"/>
      <c r="H29" s="155"/>
      <c r="I29" s="155"/>
      <c r="J29" s="155"/>
      <c r="K29" s="155"/>
      <c r="L29" s="155"/>
      <c r="M29" s="155"/>
      <c r="N29" s="155"/>
      <c r="O29" s="155"/>
      <c r="P29" s="155"/>
      <c r="Q29" s="155"/>
      <c r="R29" s="155"/>
      <c r="S29" s="155"/>
      <c r="T29" s="155"/>
    </row>
    <row r="30" customFormat="false" ht="69.75" hidden="false" customHeight="true" outlineLevel="0" collapsed="false">
      <c r="A30" s="155"/>
      <c r="B30" s="155"/>
      <c r="C30" s="155"/>
      <c r="D30" s="155"/>
      <c r="E30" s="155"/>
      <c r="F30" s="155"/>
      <c r="G30" s="155"/>
      <c r="H30" s="155"/>
      <c r="I30" s="155"/>
      <c r="J30" s="155"/>
      <c r="K30" s="155"/>
      <c r="L30" s="155"/>
      <c r="M30" s="155"/>
      <c r="N30" s="155"/>
      <c r="O30" s="155"/>
      <c r="P30" s="155"/>
      <c r="Q30" s="155"/>
      <c r="R30" s="155"/>
      <c r="S30" s="155"/>
      <c r="T30" s="155"/>
    </row>
    <row r="31" customFormat="false" ht="69.75" hidden="false" customHeight="true" outlineLevel="0" collapsed="false">
      <c r="A31" s="155"/>
      <c r="B31" s="155"/>
      <c r="C31" s="155"/>
      <c r="D31" s="155"/>
      <c r="E31" s="155"/>
      <c r="F31" s="155"/>
      <c r="G31" s="155"/>
      <c r="H31" s="155"/>
      <c r="I31" s="155"/>
      <c r="J31" s="155"/>
      <c r="K31" s="155"/>
      <c r="L31" s="155"/>
      <c r="M31" s="155"/>
      <c r="N31" s="155"/>
      <c r="O31" s="155"/>
      <c r="P31" s="155"/>
      <c r="Q31" s="155"/>
      <c r="R31" s="155"/>
      <c r="S31" s="155"/>
      <c r="T31" s="155"/>
    </row>
    <row r="32" customFormat="false" ht="69.75" hidden="false" customHeight="true" outlineLevel="0" collapsed="false">
      <c r="A32" s="155"/>
      <c r="B32" s="155"/>
      <c r="C32" s="155"/>
      <c r="D32" s="155"/>
      <c r="E32" s="155"/>
      <c r="F32" s="155"/>
      <c r="G32" s="155"/>
      <c r="H32" s="155"/>
      <c r="I32" s="155"/>
      <c r="J32" s="155"/>
      <c r="K32" s="155"/>
      <c r="L32" s="155"/>
      <c r="M32" s="155"/>
      <c r="N32" s="155"/>
      <c r="O32" s="155"/>
      <c r="P32" s="155"/>
      <c r="Q32" s="155"/>
      <c r="R32" s="155"/>
      <c r="S32" s="155"/>
      <c r="T32" s="155"/>
    </row>
    <row r="33" customFormat="false" ht="69.75" hidden="false" customHeight="true" outlineLevel="0" collapsed="false">
      <c r="A33" s="155"/>
      <c r="B33" s="155"/>
      <c r="C33" s="155"/>
      <c r="D33" s="155"/>
      <c r="E33" s="155"/>
      <c r="F33" s="155"/>
      <c r="G33" s="155"/>
      <c r="H33" s="155"/>
      <c r="I33" s="155"/>
      <c r="J33" s="155"/>
      <c r="K33" s="155"/>
      <c r="L33" s="155"/>
      <c r="M33" s="155"/>
      <c r="N33" s="155"/>
      <c r="O33" s="155"/>
      <c r="P33" s="155"/>
      <c r="Q33" s="155"/>
      <c r="R33" s="155"/>
      <c r="S33" s="155"/>
      <c r="T33" s="155"/>
    </row>
    <row r="34" customFormat="false" ht="69.75" hidden="false" customHeight="true" outlineLevel="0" collapsed="false">
      <c r="A34" s="155"/>
      <c r="B34" s="155"/>
      <c r="C34" s="155"/>
      <c r="D34" s="155"/>
      <c r="E34" s="155"/>
      <c r="F34" s="155"/>
      <c r="G34" s="155"/>
      <c r="H34" s="155"/>
      <c r="I34" s="155"/>
      <c r="J34" s="155"/>
      <c r="K34" s="155"/>
      <c r="L34" s="155"/>
      <c r="M34" s="155"/>
      <c r="N34" s="155"/>
      <c r="O34" s="155"/>
      <c r="P34" s="155"/>
      <c r="Q34" s="155"/>
      <c r="R34" s="155"/>
      <c r="S34" s="155"/>
      <c r="T34" s="155"/>
    </row>
    <row r="35" customFormat="false" ht="69.75" hidden="false" customHeight="true" outlineLevel="0" collapsed="false">
      <c r="A35" s="155"/>
      <c r="B35" s="155"/>
      <c r="C35" s="155"/>
      <c r="D35" s="155"/>
      <c r="E35" s="155"/>
      <c r="F35" s="155"/>
      <c r="G35" s="155"/>
      <c r="H35" s="155"/>
      <c r="I35" s="155"/>
      <c r="J35" s="155"/>
      <c r="K35" s="155"/>
      <c r="L35" s="155"/>
      <c r="M35" s="155"/>
      <c r="N35" s="155"/>
      <c r="O35" s="155"/>
      <c r="P35" s="155"/>
      <c r="Q35" s="155"/>
      <c r="R35" s="155"/>
      <c r="S35" s="155"/>
      <c r="T35" s="155"/>
    </row>
    <row r="36" customFormat="false" ht="69.75" hidden="false" customHeight="true" outlineLevel="0" collapsed="false">
      <c r="A36" s="155"/>
      <c r="B36" s="155"/>
      <c r="C36" s="155"/>
      <c r="D36" s="155"/>
      <c r="E36" s="155"/>
      <c r="F36" s="155"/>
      <c r="G36" s="155"/>
      <c r="H36" s="155"/>
      <c r="I36" s="155"/>
      <c r="J36" s="155"/>
      <c r="K36" s="155"/>
      <c r="L36" s="155"/>
      <c r="M36" s="155"/>
      <c r="N36" s="155"/>
      <c r="O36" s="155"/>
      <c r="P36" s="155"/>
      <c r="Q36" s="155"/>
      <c r="R36" s="155"/>
      <c r="S36" s="155"/>
      <c r="T36" s="155"/>
    </row>
    <row r="37" customFormat="false" ht="69.75" hidden="false" customHeight="true" outlineLevel="0" collapsed="false">
      <c r="A37" s="155"/>
      <c r="B37" s="155"/>
      <c r="C37" s="155"/>
      <c r="D37" s="155"/>
      <c r="E37" s="155"/>
      <c r="F37" s="155"/>
      <c r="G37" s="155"/>
      <c r="H37" s="155"/>
      <c r="I37" s="155"/>
      <c r="J37" s="155"/>
      <c r="K37" s="155"/>
      <c r="L37" s="155"/>
      <c r="M37" s="155"/>
      <c r="N37" s="155"/>
      <c r="O37" s="155"/>
      <c r="P37" s="155"/>
      <c r="Q37" s="155"/>
      <c r="R37" s="155"/>
      <c r="S37" s="155"/>
      <c r="T37" s="155"/>
    </row>
    <row r="38" customFormat="false" ht="69.75" hidden="false" customHeight="true" outlineLevel="0" collapsed="false">
      <c r="A38" s="155"/>
      <c r="B38" s="155"/>
      <c r="C38" s="155"/>
      <c r="D38" s="155"/>
      <c r="E38" s="155"/>
      <c r="F38" s="155"/>
      <c r="G38" s="155"/>
      <c r="H38" s="155"/>
      <c r="I38" s="155"/>
      <c r="J38" s="155"/>
      <c r="K38" s="155"/>
      <c r="L38" s="155"/>
      <c r="M38" s="155"/>
      <c r="N38" s="155"/>
      <c r="O38" s="155"/>
      <c r="P38" s="155"/>
      <c r="Q38" s="155"/>
      <c r="R38" s="155"/>
      <c r="S38" s="155"/>
      <c r="T38" s="155"/>
    </row>
  </sheetData>
  <autoFilter ref="A3:Q23"/>
  <mergeCells count="4">
    <mergeCell ref="A1:S1"/>
    <mergeCell ref="B2:G2"/>
    <mergeCell ref="N2:O2"/>
    <mergeCell ref="Q2:S2"/>
  </mergeCells>
  <conditionalFormatting sqref="A4:S38">
    <cfRule type="expression" priority="2" aboveAverage="0" equalAverage="0" bottom="0" percent="0" rank="0" text="" dxfId="26">
      <formula>OR($S4="Exclude",$T4="⬛ Auto-Excluded")</formula>
    </cfRule>
  </conditionalFormatting>
  <conditionalFormatting sqref="J4:J38">
    <cfRule type="expression" priority="3" aboveAverage="0" equalAverage="0" bottom="0" percent="0" rank="0" text="" dxfId="27">
      <formula>$J4=1</formula>
    </cfRule>
    <cfRule type="expression" priority="4" aboveAverage="0" equalAverage="0" bottom="0" percent="0" rank="0" text="" dxfId="28">
      <formula>$J4=2</formula>
    </cfRule>
    <cfRule type="expression" priority="5" aboveAverage="0" equalAverage="0" bottom="0" percent="0" rank="0" text="" dxfId="29">
      <formula>$J4=3</formula>
    </cfRule>
    <cfRule type="expression" priority="6" aboveAverage="0" equalAverage="0" bottom="0" percent="0" rank="0" text="" dxfId="30">
      <formula>$J4=4</formula>
    </cfRule>
    <cfRule type="expression" priority="7" aboveAverage="0" equalAverage="0" bottom="0" percent="0" rank="0" text="" dxfId="31">
      <formula>$J4=5</formula>
    </cfRule>
  </conditionalFormatting>
  <conditionalFormatting sqref="M4:M38">
    <cfRule type="expression" priority="8" aboveAverage="0" equalAverage="0" bottom="0" percent="0" rank="0" text="" dxfId="32">
      <formula>AND(ISNUMBER($M4),$M4&gt;2)</formula>
    </cfRule>
    <cfRule type="expression" priority="9" aboveAverage="0" equalAverage="0" bottom="0" percent="0" rank="0" text="" dxfId="33">
      <formula>AND(ISNUMBER($M4),$M4&gt;=1,$M4&lt;=2)</formula>
    </cfRule>
    <cfRule type="expression" priority="10" aboveAverage="0" equalAverage="0" bottom="0" percent="0" rank="0" text="" dxfId="34">
      <formula>AND(ISNUMBER($M4),$M4&lt;=0)</formula>
    </cfRule>
  </conditionalFormatting>
  <conditionalFormatting sqref="K4:K38">
    <cfRule type="expression" priority="11" aboveAverage="0" equalAverage="0" bottom="0" percent="0" rank="0" text="" dxfId="35">
      <formula>AND($J4&lt;&gt;"",$K4="")</formula>
    </cfRule>
  </conditionalFormatting>
  <conditionalFormatting sqref="O4:O38">
    <cfRule type="expression" priority="12" aboveAverage="0" equalAverage="0" bottom="0" percent="0" rank="0" text="" dxfId="36">
      <formula>OR($S4="Exclude",$T4="⬛ Auto-Excluded")</formula>
    </cfRule>
  </conditionalFormatting>
  <conditionalFormatting sqref="A4:S25">
    <cfRule type="expression" priority="13" aboveAverage="0" equalAverage="0" bottom="0" percent="0" rank="0" text="" dxfId="37">
      <formula>OR($S4="Exclude",$T4="⬛ Auto-Excluded")</formula>
    </cfRule>
  </conditionalFormatting>
  <conditionalFormatting sqref="J4:J25">
    <cfRule type="expression" priority="14" aboveAverage="0" equalAverage="0" bottom="0" percent="0" rank="0" text="" dxfId="27">
      <formula>$J4=1</formula>
    </cfRule>
    <cfRule type="expression" priority="15" aboveAverage="0" equalAverage="0" bottom="0" percent="0" rank="0" text="" dxfId="28">
      <formula>$J4=2</formula>
    </cfRule>
    <cfRule type="expression" priority="16" aboveAverage="0" equalAverage="0" bottom="0" percent="0" rank="0" text="" dxfId="29">
      <formula>$J4=3</formula>
    </cfRule>
    <cfRule type="expression" priority="17" aboveAverage="0" equalAverage="0" bottom="0" percent="0" rank="0" text="" dxfId="30">
      <formula>$J4=4</formula>
    </cfRule>
    <cfRule type="expression" priority="18" aboveAverage="0" equalAverage="0" bottom="0" percent="0" rank="0" text="" dxfId="31">
      <formula>$J4=5</formula>
    </cfRule>
  </conditionalFormatting>
  <conditionalFormatting sqref="M4:M25">
    <cfRule type="expression" priority="19" aboveAverage="0" equalAverage="0" bottom="0" percent="0" rank="0" text="" dxfId="32">
      <formula>AND(ISNUMBER($M4),$M4&gt;2)</formula>
    </cfRule>
    <cfRule type="expression" priority="20" aboveAverage="0" equalAverage="0" bottom="0" percent="0" rank="0" text="" dxfId="33">
      <formula>AND(ISNUMBER($M4),$M4&gt;=1,$M4&lt;=2)</formula>
    </cfRule>
    <cfRule type="expression" priority="21" aboveAverage="0" equalAverage="0" bottom="0" percent="0" rank="0" text="" dxfId="34">
      <formula>AND(ISNUMBER($M4),$M4&lt;=0)</formula>
    </cfRule>
  </conditionalFormatting>
  <conditionalFormatting sqref="K4:K25">
    <cfRule type="expression" priority="22" aboveAverage="0" equalAverage="0" bottom="0" percent="0" rank="0" text="" dxfId="35">
      <formula>AND($J4&lt;&gt;"",$K4="")</formula>
    </cfRule>
  </conditionalFormatting>
  <dataValidations count="6">
    <dataValidation allowBlank="true" errorStyle="stop" operator="between" prompt="Select the current maturity level.&#10;L3 = Defined is the minimum enterprise baseline.&#10;Column N will auto-show a control-specific description." promptTitle="Maturity Rating" showDropDown="false" showErrorMessage="false" showInputMessage="true" sqref="I26:I38" type="list">
      <formula1>"L1 — Initial,L2 — Developing,L3 — Defined,L4 — Managed,L5 — Optimised"</formula1>
      <formula2>0</formula2>
    </dataValidation>
    <dataValidation allowBlank="true" errorStyle="stop" operator="between" prompt="Select the target maturity level.&#10;Column P will auto-generate a specific improvement recommendation." promptTitle="Target Level" showDropDown="false" showErrorMessage="false" showInputMessage="true" sqref="K26:K38" type="list">
      <formula1>"L1 — Initial,L2 — Developing,L3 — Defined,L4 — Managed,L5 — Optimised"</formula1>
      <formula2>0</formula2>
    </dataValidation>
    <dataValidation allowBlank="true" errorStyle="stop" operator="between" prompt="Leave blank = auto-determined by Scoping tab.&#10;Apply = force include (overrides auto-exclusion).&#10;Exclude = manually remove from scoring and calculations.&#10;&#10;Excluded rows will be greyed out automatically." promptTitle="Scope Override" showDropDown="false" showErrorMessage="false" showInputMessage="true" sqref="S26:S38" type="list">
      <formula1>"Apply,Exclude"</formula1>
      <formula2>0</formula2>
    </dataValidation>
    <dataValidation allowBlank="true" errorStyle="stop" operator="between" prompt="Select the current maturity level.&#10;L3 = Defined is the minimum enterprise baseline." promptTitle="Maturity Rating" showDropDown="false" showErrorMessage="false" showInputMessage="true" sqref="I4:I25" type="list">
      <formula1>"L1 — Initial,L2 — Developing,L3 — Defined,L4 — Managed,L5 — Optimised"</formula1>
      <formula2>0</formula2>
    </dataValidation>
    <dataValidation allowBlank="true" errorStyle="stop" operator="between" prompt="Select the target level. Column P auto-generates a recommendation." promptTitle="Target Level" showDropDown="false" showErrorMessage="false" showInputMessage="true" sqref="K4:K25" type="list">
      <formula1>"L1 — Initial,L2 — Developing,L3 — Defined,L4 — Managed,L5 — Optimised"</formula1>
      <formula2>0</formula2>
    </dataValidation>
    <dataValidation allowBlank="true" errorStyle="stop" operator="between" prompt="Leave blank = auto-determined by Scoping tab.&#10;Apply = force include.&#10;Exclude = remove from scoring." promptTitle="Scope Override" showDropDown="false" showErrorMessage="false" showInputMessage="true" sqref="S4:S25" type="list">
      <formula1>"Apply,Exclude"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2020"/>
    <pageSetUpPr fitToPage="false"/>
  </sheetPr>
  <dimension ref="A1:T33"/>
  <sheetViews>
    <sheetView showFormulas="false" showGridLines="false" showRowColHeaders="true" showZeros="true" rightToLeft="false" tabSelected="false" showOutlineSymbols="true" defaultGridColor="true" view="normal" topLeftCell="F1" colorId="64" zoomScale="88" zoomScaleNormal="88" zoomScalePageLayoutView="100" workbookViewId="0">
      <pane xSplit="0" ySplit="3" topLeftCell="A12" activePane="bottomLeft" state="frozen"/>
      <selection pane="topLeft" activeCell="F1" activeCellId="0" sqref="F1"/>
      <selection pane="bottomLeft" activeCell="Q13" activeCellId="0" sqref="Q13"/>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36"/>
    <col collapsed="false" customWidth="true" hidden="false" outlineLevel="0" max="4" min="4" style="1" width="46"/>
    <col collapsed="false" customWidth="true" hidden="false" outlineLevel="0" max="5" min="5" style="1" width="48"/>
    <col collapsed="false" customWidth="true" hidden="false" outlineLevel="0" max="6" min="6" style="1" width="36"/>
    <col collapsed="false" customWidth="true" hidden="false" outlineLevel="0" max="7" min="7" style="1" width="14"/>
    <col collapsed="false" customWidth="true" hidden="false" outlineLevel="0" max="9" min="8" style="1" width="13"/>
    <col collapsed="false" customWidth="true" hidden="false" outlineLevel="0" max="10" min="10" style="1" width="8"/>
    <col collapsed="false" customWidth="true" hidden="false" outlineLevel="0" max="11" min="11" style="1" width="30"/>
    <col collapsed="false" customWidth="true" hidden="false" outlineLevel="0" max="12" min="12" style="1" width="10"/>
    <col collapsed="false" customWidth="true" hidden="false" outlineLevel="0" max="13" min="13" style="1" width="8"/>
    <col collapsed="false" customWidth="true" hidden="false" outlineLevel="0" max="14" min="14" style="1" width="52"/>
    <col collapsed="false" customWidth="true" hidden="false" outlineLevel="0" max="15" min="15" style="1" width="16"/>
    <col collapsed="false" customWidth="true" hidden="false" outlineLevel="0" max="16" min="16" style="1" width="50"/>
    <col collapsed="false" customWidth="true" hidden="false" outlineLevel="0" max="17" min="17" style="1" width="38"/>
    <col collapsed="false" customWidth="true" hidden="false" outlineLevel="0" max="18" min="18" style="1" width="14"/>
    <col collapsed="false" customWidth="true" hidden="false" outlineLevel="0" max="19" min="19" style="1" width="12"/>
    <col collapsed="false" customWidth="true" hidden="true" outlineLevel="0" max="20" min="20" style="1" width="4"/>
  </cols>
  <sheetData>
    <row r="1" customFormat="false" ht="49.5" hidden="false" customHeight="true" outlineLevel="0" collapsed="false">
      <c r="A1" s="218" t="s">
        <v>1227</v>
      </c>
      <c r="B1" s="218"/>
      <c r="C1" s="218"/>
      <c r="D1" s="218"/>
      <c r="E1" s="218"/>
      <c r="F1" s="218"/>
      <c r="G1" s="218"/>
      <c r="H1" s="218"/>
      <c r="I1" s="218"/>
      <c r="J1" s="218"/>
      <c r="K1" s="218"/>
      <c r="L1" s="218"/>
      <c r="M1" s="218"/>
      <c r="N1" s="218"/>
      <c r="O1" s="218"/>
      <c r="P1" s="218"/>
      <c r="Q1" s="218"/>
      <c r="R1" s="218"/>
      <c r="S1" s="218"/>
      <c r="T1" s="155"/>
    </row>
    <row r="2" customFormat="false" ht="24" hidden="false" customHeight="true" outlineLevel="0" collapsed="false">
      <c r="A2" s="156"/>
      <c r="B2" s="157" t="s">
        <v>469</v>
      </c>
      <c r="C2" s="157"/>
      <c r="D2" s="157"/>
      <c r="E2" s="157"/>
      <c r="F2" s="157"/>
      <c r="G2" s="157"/>
      <c r="H2" s="156"/>
      <c r="I2" s="158" t="s">
        <v>470</v>
      </c>
      <c r="J2" s="159" t="n">
        <f aca="false">IFERROR(AVERAGEIFS(J4:J19,T4:T19,"✅ Applicable"),"—")</f>
        <v>1.28571428571429</v>
      </c>
      <c r="K2" s="158" t="s">
        <v>471</v>
      </c>
      <c r="L2" s="160" t="n">
        <f aca="false">IFERROR(AVERAGEIFS(L4:L19,T4:T19,"✅ Applicable"),"—")</f>
        <v>3.42857142857143</v>
      </c>
      <c r="M2" s="158" t="s">
        <v>472</v>
      </c>
      <c r="N2" s="161" t="str">
        <f aca="false">IFERROR(COUNTIFS(J4:J19,"&lt;&gt;",T4:T19,"✅ Applicable")&amp;" / "&amp;COUNTIF(T4:T19,"✅ Applicable")&amp;" applicable","—")</f>
        <v>14 / 14 applicable</v>
      </c>
      <c r="O2" s="161"/>
      <c r="P2" s="158" t="s">
        <v>473</v>
      </c>
      <c r="Q2" s="162" t="str">
        <f aca="false">COUNTIF(T4:T19,"⬛ Auto-Excluded")&amp;" controls (scoping)"</f>
        <v>0 controls (scoping)</v>
      </c>
      <c r="R2" s="162"/>
      <c r="S2" s="162"/>
      <c r="T2" s="155"/>
    </row>
    <row r="3" customFormat="false" ht="45" hidden="false" customHeight="true" outlineLevel="0" collapsed="false">
      <c r="A3" s="163" t="s">
        <v>474</v>
      </c>
      <c r="B3" s="163" t="s">
        <v>23</v>
      </c>
      <c r="C3" s="163" t="s">
        <v>229</v>
      </c>
      <c r="D3" s="163" t="s">
        <v>475</v>
      </c>
      <c r="E3" s="163" t="s">
        <v>476</v>
      </c>
      <c r="F3" s="163" t="s">
        <v>477</v>
      </c>
      <c r="G3" s="163" t="s">
        <v>478</v>
      </c>
      <c r="H3" s="163" t="s">
        <v>479</v>
      </c>
      <c r="I3" s="163" t="s">
        <v>480</v>
      </c>
      <c r="J3" s="163" t="s">
        <v>481</v>
      </c>
      <c r="K3" s="163" t="s">
        <v>482</v>
      </c>
      <c r="L3" s="163" t="s">
        <v>483</v>
      </c>
      <c r="M3" s="163" t="s">
        <v>142</v>
      </c>
      <c r="N3" s="163" t="s">
        <v>484</v>
      </c>
      <c r="O3" s="163" t="s">
        <v>485</v>
      </c>
      <c r="P3" s="163" t="s">
        <v>486</v>
      </c>
      <c r="Q3" s="163" t="s">
        <v>487</v>
      </c>
      <c r="R3" s="163" t="s">
        <v>233</v>
      </c>
      <c r="S3" s="163" t="s">
        <v>488</v>
      </c>
      <c r="T3" s="163" t="s">
        <v>489</v>
      </c>
    </row>
    <row r="4" customFormat="false" ht="69.75" hidden="false" customHeight="true" outlineLevel="0" collapsed="false">
      <c r="A4" s="104" t="n">
        <v>156</v>
      </c>
      <c r="B4" s="164" t="s">
        <v>1228</v>
      </c>
      <c r="C4" s="165" t="s">
        <v>419</v>
      </c>
      <c r="D4" s="165" t="s">
        <v>1229</v>
      </c>
      <c r="E4" s="165" t="s">
        <v>1230</v>
      </c>
      <c r="F4" s="219" t="s">
        <v>1231</v>
      </c>
      <c r="G4" s="219" t="s">
        <v>1232</v>
      </c>
      <c r="H4" s="168" t="str">
        <f aca="false">HYPERLINK("#'📎 Evidence Register'!C161","ER-156  →  Row 161")</f>
        <v>ER-156  →  Row 161</v>
      </c>
      <c r="I4" s="220" t="s">
        <v>508</v>
      </c>
      <c r="J4" s="170" t="n">
        <f aca="false">IF(I4="","",IF(LEFT(I4,2)="L1",1,IF(LEFT(I4,2)="L2",2,IF(LEFT(I4,2)="L3",3,IF(LEFT(I4,2)="L4",4,IF(LEFT(I4,2)="L5",5,""))))))</f>
        <v>2</v>
      </c>
      <c r="K4" s="221" t="s">
        <v>496</v>
      </c>
      <c r="L4" s="172" t="n">
        <f aca="false">IF(K4="","",IF(LEFT(K4,2)="L1",1,IF(LEFT(K4,2)="L2",2,IF(LEFT(K4,2)="L3",3,IF(LEFT(K4,2)="L4",4,IF(LEFT(K4,2)="L5",5,""))))))</f>
        <v>3</v>
      </c>
      <c r="M4" s="173" t="n">
        <f aca="false">IFERROR(IF(OR(J4="",L4=""),"—",L4-J4),"—")</f>
        <v>1</v>
      </c>
      <c r="N4" s="174" t="str">
        <f aca="false">IFERROR(IF(I4="","⏳ Select a maturity rating to see the level description for this specific control.",INDEX(_DV!$1:$5,MATCH(LEFT(I4,2),{"L1","L2","L3","L4","L5"},0),156)),"⏳ Select a maturity rating.")</f>
        <v>L2 — Developing: Incident Response Plan (IRP) has basic controls in place but coverage is incomplete and execution is manual. Not consistently applied across all in-scope assets. Formal governance is absent.</v>
      </c>
      <c r="O4" s="108" t="str">
        <f aca="false">IF(S4="Exclude","⬛ Not Applicable",IF(T4="⬛ Auto-Excluded","⬛ Not Applicable",IF(I4="","✅ Applicable",IF(J4=1,"🔴 Critical",IF(J4=2,"🟠 Developing",IF(J4=3,"🟡 Defined",IF(J4&gt;=4,"🟢 Managed","✅ Applicable")))))))</f>
        <v>🟠 Developing</v>
      </c>
      <c r="P4" s="164" t="str">
        <f aca="false">IF(OR(J4="",L4=""),"⏳ Complete rating and target to generate recommendation.",IF(L4&lt;=J4,"✅ Target met — sustain evidence and raise target when programme allows.",IFERROR(INDEX(_REC!$B:$B,MATCH(A4&amp;"|"&amp;IF(L4="","",LEFT(TEXT(L4,"0"),1)),_REC!$A:$A,0)),"Recommendation pending — check _REC data.")))</f>
        <v>Standardise Incident Response Plan (IRP): formalise all documentation, apply the control consistently across all in-scope assets, close remaining coverage gaps, and ensure evidence is collected routinely. Exceptions must be formally managed with named owners and defined expiry dates.</v>
      </c>
      <c r="Q4" s="175" t="s">
        <v>1233</v>
      </c>
      <c r="R4" s="222" t="s">
        <v>249</v>
      </c>
      <c r="S4" s="177"/>
      <c r="T4" s="178" t="str">
        <f aca="false">IF(S4="Exclude","⬛ Excluded",IF(S4="Apply","✅ Applicable","✅ Applicable"))</f>
        <v>✅ Applicable</v>
      </c>
    </row>
    <row r="5" customFormat="false" ht="69.75" hidden="false" customHeight="true" outlineLevel="0" collapsed="false">
      <c r="A5" s="104" t="n">
        <v>157</v>
      </c>
      <c r="B5" s="179" t="s">
        <v>1228</v>
      </c>
      <c r="C5" s="180" t="s">
        <v>420</v>
      </c>
      <c r="D5" s="180" t="s">
        <v>1234</v>
      </c>
      <c r="E5" s="180" t="s">
        <v>1235</v>
      </c>
      <c r="F5" s="223" t="s">
        <v>1236</v>
      </c>
      <c r="G5" s="223" t="s">
        <v>1237</v>
      </c>
      <c r="H5" s="183" t="str">
        <f aca="false">HYPERLINK("#'📎 Evidence Register'!C162","ER-157  →  Row 162")</f>
        <v>ER-157  →  Row 162</v>
      </c>
      <c r="I5" s="220" t="s">
        <v>495</v>
      </c>
      <c r="J5" s="184" t="n">
        <f aca="false">IF(I5="","",IF(LEFT(I5,2)="L1",1,IF(LEFT(I5,2)="L2",2,IF(LEFT(I5,2)="L3",3,IF(LEFT(I5,2)="L4",4,IF(LEFT(I5,2)="L5",5,""))))))</f>
        <v>1</v>
      </c>
      <c r="K5" s="224" t="s">
        <v>545</v>
      </c>
      <c r="L5" s="186" t="n">
        <f aca="false">IF(K5="","",IF(LEFT(K5,2)="L1",1,IF(LEFT(K5,2)="L2",2,IF(LEFT(K5,2)="L3",3,IF(LEFT(K5,2)="L4",4,IF(LEFT(K5,2)="L5",5,""))))))</f>
        <v>4</v>
      </c>
      <c r="M5" s="187" t="n">
        <f aca="false">IFERROR(IF(OR(J5="",L5=""),"—",L5-J5),"—")</f>
        <v>3</v>
      </c>
      <c r="N5" s="188" t="str">
        <f aca="false">IFERROR(IF(I5="","⏳ Select a maturity rating to see the level description for this specific control.",INDEX(_DV!$1:$5,MATCH(LEFT(I5,2),{"L1","L2","L3","L4","L5"},0),157)),"⏳ Select a maturity rating.")</f>
        <v>L1 — Initial: Evidence Preservation &amp; Chain of Custody is absent or ad hoc. No formal process, no documentation, no named owner. Controls exist only reactively after incidents.</v>
      </c>
      <c r="O5" s="113" t="str">
        <f aca="false">IF(S5="Exclude","⬛ Not Applicable",IF(T5="⬛ Auto-Excluded","⬛ Not Applicable",IF(I5="","✅ Applicable",IF(J5=1,"🔴 Critical",IF(J5=2,"🟠 Developing",IF(J5=3,"🟡 Defined",IF(J5&gt;=4,"🟢 Managed","✅ Applicable")))))))</f>
        <v>🔴 Critical</v>
      </c>
      <c r="P5" s="179" t="str">
        <f aca="false">IF(OR(J5="",L5=""),"⏳ Complete rating and target to generate recommendation.",IF(L5&lt;=J5,"✅ Target met — sustain evidence and raise target when programme allows.",IFERROR(INDEX(_REC!$B:$B,MATCH(A5&amp;"|"&amp;IF(L5="","",LEFT(TEXT(L5,"0"),1)),_REC!$A:$A,0)),"Recommendation pending — check _REC data.")))</f>
        <v>Instrument Evidence Preservation &amp; Chain of Custody with measurable KPIs: define performance thresholds (coverage %, SLA adherence, exception count), establish automated telemetry where possible, and integrate reporting into quarterly governance cycles. Evidence must be system-generated and reviewed at each governance cycle.</v>
      </c>
      <c r="Q5" s="189" t="s">
        <v>1238</v>
      </c>
      <c r="R5" s="225" t="s">
        <v>299</v>
      </c>
      <c r="S5" s="177"/>
      <c r="T5" s="191" t="str">
        <f aca="false">IF(S5="Exclude","⬛ Excluded",IF(S5="Apply","✅ Applicable","✅ Applicable"))</f>
        <v>✅ Applicable</v>
      </c>
    </row>
    <row r="6" customFormat="false" ht="69.75" hidden="false" customHeight="true" outlineLevel="0" collapsed="false">
      <c r="A6" s="104" t="n">
        <v>158</v>
      </c>
      <c r="B6" s="164" t="s">
        <v>1228</v>
      </c>
      <c r="C6" s="165" t="s">
        <v>421</v>
      </c>
      <c r="D6" s="165" t="s">
        <v>1239</v>
      </c>
      <c r="E6" s="165" t="s">
        <v>1240</v>
      </c>
      <c r="F6" s="219" t="s">
        <v>1241</v>
      </c>
      <c r="G6" s="219" t="s">
        <v>566</v>
      </c>
      <c r="H6" s="168" t="str">
        <f aca="false">HYPERLINK("#'📎 Evidence Register'!C163","ER-158  →  Row 163")</f>
        <v>ER-158  →  Row 163</v>
      </c>
      <c r="I6" s="220" t="s">
        <v>495</v>
      </c>
      <c r="J6" s="170" t="n">
        <f aca="false">IF(I6="","",IF(LEFT(I6,2)="L1",1,IF(LEFT(I6,2)="L2",2,IF(LEFT(I6,2)="L3",3,IF(LEFT(I6,2)="L4",4,IF(LEFT(I6,2)="L5",5,""))))))</f>
        <v>1</v>
      </c>
      <c r="K6" s="221" t="s">
        <v>545</v>
      </c>
      <c r="L6" s="172" t="n">
        <f aca="false">IF(K6="","",IF(LEFT(K6,2)="L1",1,IF(LEFT(K6,2)="L2",2,IF(LEFT(K6,2)="L3",3,IF(LEFT(K6,2)="L4",4,IF(LEFT(K6,2)="L5",5,""))))))</f>
        <v>4</v>
      </c>
      <c r="M6" s="173" t="n">
        <f aca="false">IFERROR(IF(OR(J6="",L6=""),"—",L6-J6),"—")</f>
        <v>3</v>
      </c>
      <c r="N6" s="174" t="str">
        <f aca="false">IFERROR(IF(I6="","⏳ Select a maturity rating to see the level description for this specific control.",INDEX(_DV!$1:$5,MATCH(LEFT(I6,2),{"L1","L2","L3","L4","L5"},0),158)),"⏳ Select a maturity rating.")</f>
        <v>L1 — Initial: Third-Party Incident Coordination is absent or ad hoc. No formal process, no documentation, no named owner. Controls exist only reactively after incidents.</v>
      </c>
      <c r="O6" s="108" t="str">
        <f aca="false">IF(S6="Exclude","⬛ Not Applicable",IF(T6="⬛ Auto-Excluded","⬛ Not Applicable",IF(I6="","✅ Applicable",IF(J6=1,"🔴 Critical",IF(J6=2,"🟠 Developing",IF(J6=3,"🟡 Defined",IF(J6&gt;=4,"🟢 Managed","✅ Applicable")))))))</f>
        <v>🔴 Critical</v>
      </c>
      <c r="P6" s="164" t="str">
        <f aca="false">IF(OR(J6="",L6=""),"⏳ Complete rating and target to generate recommendation.",IF(L6&lt;=J6,"✅ Target met — sustain evidence and raise target when programme allows.",IFERROR(INDEX(_REC!$B:$B,MATCH(A6&amp;"|"&amp;IF(L6="","",LEFT(TEXT(L6,"0"),1)),_REC!$A:$A,0)),"Recommendation pending — check _REC data.")))</f>
        <v>Instrument Third-Party Incident Coordination with measurable KPIs: define performance thresholds (coverage %, SLA adherence, exception count), establish automated telemetry where possible, and integrate reporting into quarterly governance cycles. Evidence must be system-generated and reviewed at each governance cycle.</v>
      </c>
      <c r="Q6" s="175" t="s">
        <v>1242</v>
      </c>
      <c r="R6" s="222" t="s">
        <v>261</v>
      </c>
      <c r="S6" s="177"/>
      <c r="T6" s="178" t="str">
        <f aca="false">IF(S6="Exclude","⬛ Excluded",IF(S6="Apply","✅ Applicable","✅ Applicable"))</f>
        <v>✅ Applicable</v>
      </c>
    </row>
    <row r="7" customFormat="false" ht="69.75" hidden="false" customHeight="true" outlineLevel="0" collapsed="false">
      <c r="A7" s="104" t="n">
        <v>159</v>
      </c>
      <c r="B7" s="179" t="s">
        <v>1228</v>
      </c>
      <c r="C7" s="180" t="s">
        <v>422</v>
      </c>
      <c r="D7" s="180" t="s">
        <v>1243</v>
      </c>
      <c r="E7" s="180" t="s">
        <v>1244</v>
      </c>
      <c r="F7" s="223" t="s">
        <v>1245</v>
      </c>
      <c r="G7" s="223" t="s">
        <v>1246</v>
      </c>
      <c r="H7" s="183" t="str">
        <f aca="false">HYPERLINK("#'📎 Evidence Register'!C164","ER-159  →  Row 164")</f>
        <v>ER-159  →  Row 164</v>
      </c>
      <c r="I7" s="220" t="s">
        <v>508</v>
      </c>
      <c r="J7" s="184" t="n">
        <f aca="false">IF(I7="","",IF(LEFT(I7,2)="L1",1,IF(LEFT(I7,2)="L2",2,IF(LEFT(I7,2)="L3",3,IF(LEFT(I7,2)="L4",4,IF(LEFT(I7,2)="L5",5,""))))))</f>
        <v>2</v>
      </c>
      <c r="K7" s="224" t="s">
        <v>496</v>
      </c>
      <c r="L7" s="186" t="n">
        <f aca="false">IF(K7="","",IF(LEFT(K7,2)="L1",1,IF(LEFT(K7,2)="L2",2,IF(LEFT(K7,2)="L3",3,IF(LEFT(K7,2)="L4",4,IF(LEFT(K7,2)="L5",5,""))))))</f>
        <v>3</v>
      </c>
      <c r="M7" s="187" t="n">
        <f aca="false">IFERROR(IF(OR(J7="",L7=""),"—",L7-J7),"—")</f>
        <v>1</v>
      </c>
      <c r="N7" s="188" t="str">
        <f aca="false">IFERROR(IF(I7="","⏳ Select a maturity rating to see the level description for this specific control.",INDEX(_DV!$1:$5,MATCH(LEFT(I7,2),{"L1","L2","L3","L4","L5"},0),159)),"⏳ Select a maturity rating.")</f>
        <v>L2 — Developing: Cyber Insurance Engagement &amp; Claim Management has basic controls in place but coverage is incomplete and execution is manual. Not consistently applied across all in-scope assets. Formal governance is absent.</v>
      </c>
      <c r="O7" s="113" t="str">
        <f aca="false">IF(S7="Exclude","⬛ Not Applicable",IF(T7="⬛ Auto-Excluded","⬛ Not Applicable",IF(I7="","✅ Applicable",IF(J7=1,"🔴 Critical",IF(J7=2,"🟠 Developing",IF(J7=3,"🟡 Defined",IF(J7&gt;=4,"🟢 Managed","✅ Applicable")))))))</f>
        <v>🟠 Developing</v>
      </c>
      <c r="P7" s="179" t="str">
        <f aca="false">IF(OR(J7="",L7=""),"⏳ Complete rating and target to generate recommendation.",IF(L7&lt;=J7,"✅ Target met — sustain evidence and raise target when programme allows.",IFERROR(INDEX(_REC!$B:$B,MATCH(A7&amp;"|"&amp;IF(L7="","",LEFT(TEXT(L7,"0"),1)),_REC!$A:$A,0)),"Recommendation pending — check _REC data.")))</f>
        <v>Standardise Cyber Insurance Engagement &amp; Claim Management: formalise all documentation, apply the control consistently across all in-scope assets, close remaining coverage gaps, and ensure evidence is collected routinely. Exceptions must be formally managed with named owners and defined expiry dates.</v>
      </c>
      <c r="Q7" s="189" t="s">
        <v>1247</v>
      </c>
      <c r="R7" s="225" t="s">
        <v>247</v>
      </c>
      <c r="S7" s="177"/>
      <c r="T7" s="191" t="str">
        <f aca="false">IF(S7="Exclude","⬛ Excluded",IF(S7="Apply","✅ Applicable","✅ Applicable"))</f>
        <v>✅ Applicable</v>
      </c>
    </row>
    <row r="8" customFormat="false" ht="69.75" hidden="false" customHeight="true" outlineLevel="0" collapsed="false">
      <c r="A8" s="104" t="n">
        <v>160</v>
      </c>
      <c r="B8" s="164" t="s">
        <v>1248</v>
      </c>
      <c r="C8" s="165" t="s">
        <v>423</v>
      </c>
      <c r="D8" s="165" t="s">
        <v>1249</v>
      </c>
      <c r="E8" s="165" t="s">
        <v>1250</v>
      </c>
      <c r="F8" s="219" t="s">
        <v>1251</v>
      </c>
      <c r="G8" s="219" t="s">
        <v>566</v>
      </c>
      <c r="H8" s="168" t="str">
        <f aca="false">HYPERLINK("#'📎 Evidence Register'!C165","ER-160  →  Row 165")</f>
        <v>ER-160  →  Row 165</v>
      </c>
      <c r="I8" s="220" t="s">
        <v>495</v>
      </c>
      <c r="J8" s="170" t="n">
        <f aca="false">IF(I8="","",IF(LEFT(I8,2)="L1",1,IF(LEFT(I8,2)="L2",2,IF(LEFT(I8,2)="L3",3,IF(LEFT(I8,2)="L4",4,IF(LEFT(I8,2)="L5",5,""))))))</f>
        <v>1</v>
      </c>
      <c r="K8" s="221" t="s">
        <v>496</v>
      </c>
      <c r="L8" s="172" t="n">
        <f aca="false">IF(K8="","",IF(LEFT(K8,2)="L1",1,IF(LEFT(K8,2)="L2",2,IF(LEFT(K8,2)="L3",3,IF(LEFT(K8,2)="L4",4,IF(LEFT(K8,2)="L5",5,""))))))</f>
        <v>3</v>
      </c>
      <c r="M8" s="173" t="n">
        <f aca="false">IFERROR(IF(OR(J8="",L8=""),"—",L8-J8),"—")</f>
        <v>2</v>
      </c>
      <c r="N8" s="174" t="str">
        <f aca="false">IFERROR(IF(I8="","⏳ Select a maturity rating to see the level description for this specific control.",INDEX(_DV!$1:$5,MATCH(LEFT(I8,2),{"L1","L2","L3","L4","L5"},0),160)),"⏳ Select a maturity rating.")</f>
        <v>L1 — Initial: Incident Playbooks — Ransomware is absent or ad hoc. No formal process, no documentation, no named owner. Controls exist only reactively after incidents.</v>
      </c>
      <c r="O8" s="108" t="str">
        <f aca="false">IF(S8="Exclude","⬛ Not Applicable",IF(T8="⬛ Auto-Excluded","⬛ Not Applicable",IF(I8="","✅ Applicable",IF(J8=1,"🔴 Critical",IF(J8=2,"🟠 Developing",IF(J8=3,"🟡 Defined",IF(J8&gt;=4,"🟢 Managed","✅ Applicable")))))))</f>
        <v>🔴 Critical</v>
      </c>
      <c r="P8" s="164" t="str">
        <f aca="false">IF(OR(J8="",L8=""),"⏳ Complete rating and target to generate recommendation.",IF(L8&lt;=J8,"✅ Target met — sustain evidence and raise target when programme allows.",IFERROR(INDEX(_REC!$B:$B,MATCH(A8&amp;"|"&amp;IF(L8="","",LEFT(TEXT(L8,"0"),1)),_REC!$A:$A,0)),"Recommendation pending — check _REC data.")))</f>
        <v>Standardise Incident Playbooks — Ransomware: formalise all documentation, apply the control consistently across all in-scope assets, close remaining coverage gaps, and ensure evidence is collected routinely. Exceptions must be formally managed with named owners and defined expiry dates.</v>
      </c>
      <c r="Q8" s="175" t="s">
        <v>1252</v>
      </c>
      <c r="R8" s="222" t="s">
        <v>249</v>
      </c>
      <c r="S8" s="177"/>
      <c r="T8" s="178" t="str">
        <f aca="false">IF(S8="Exclude","⬛ Excluded",IF(S8="Apply","✅ Applicable","✅ Applicable"))</f>
        <v>✅ Applicable</v>
      </c>
    </row>
    <row r="9" customFormat="false" ht="69.75" hidden="false" customHeight="true" outlineLevel="0" collapsed="false">
      <c r="A9" s="104" t="n">
        <v>161</v>
      </c>
      <c r="B9" s="179" t="s">
        <v>1248</v>
      </c>
      <c r="C9" s="180" t="s">
        <v>424</v>
      </c>
      <c r="D9" s="180" t="s">
        <v>1253</v>
      </c>
      <c r="E9" s="180" t="s">
        <v>1254</v>
      </c>
      <c r="F9" s="223" t="s">
        <v>1255</v>
      </c>
      <c r="G9" s="223" t="s">
        <v>566</v>
      </c>
      <c r="H9" s="183" t="str">
        <f aca="false">HYPERLINK("#'📎 Evidence Register'!C166","ER-161  →  Row 166")</f>
        <v>ER-161  →  Row 166</v>
      </c>
      <c r="I9" s="220" t="s">
        <v>495</v>
      </c>
      <c r="J9" s="184" t="n">
        <f aca="false">IF(I9="","",IF(LEFT(I9,2)="L1",1,IF(LEFT(I9,2)="L2",2,IF(LEFT(I9,2)="L3",3,IF(LEFT(I9,2)="L4",4,IF(LEFT(I9,2)="L5",5,""))))))</f>
        <v>1</v>
      </c>
      <c r="K9" s="224" t="s">
        <v>545</v>
      </c>
      <c r="L9" s="186" t="n">
        <f aca="false">IF(K9="","",IF(LEFT(K9,2)="L1",1,IF(LEFT(K9,2)="L2",2,IF(LEFT(K9,2)="L3",3,IF(LEFT(K9,2)="L4",4,IF(LEFT(K9,2)="L5",5,""))))))</f>
        <v>4</v>
      </c>
      <c r="M9" s="187" t="n">
        <f aca="false">IFERROR(IF(OR(J9="",L9=""),"—",L9-J9),"—")</f>
        <v>3</v>
      </c>
      <c r="N9" s="188" t="str">
        <f aca="false">IFERROR(IF(I9="","⏳ Select a maturity rating to see the level description for this specific control.",INDEX(_DV!$1:$5,MATCH(LEFT(I9,2),{"L1","L2","L3","L4","L5"},0),161)),"⏳ Select a maturity rating.")</f>
        <v>L1 — Initial: Incident Playbooks — Data Breach is absent or ad hoc. No formal process, no documentation, no named owner. Controls exist only reactively after incidents.</v>
      </c>
      <c r="O9" s="113" t="str">
        <f aca="false">IF(S9="Exclude","⬛ Not Applicable",IF(T9="⬛ Auto-Excluded","⬛ Not Applicable",IF(I9="","✅ Applicable",IF(J9=1,"🔴 Critical",IF(J9=2,"🟠 Developing",IF(J9=3,"🟡 Defined",IF(J9&gt;=4,"🟢 Managed","✅ Applicable")))))))</f>
        <v>🔴 Critical</v>
      </c>
      <c r="P9" s="179" t="str">
        <f aca="false">IF(OR(J9="",L9=""),"⏳ Complete rating and target to generate recommendation.",IF(L9&lt;=J9,"✅ Target met — sustain evidence and raise target when programme allows.",IFERROR(INDEX(_REC!$B:$B,MATCH(A9&amp;"|"&amp;IF(L9="","",LEFT(TEXT(L9,"0"),1)),_REC!$A:$A,0)),"Recommendation pending — check _REC data.")))</f>
        <v>Instrument Incident Playbooks — Data Breach with measurable KPIs: define performance thresholds (coverage %, SLA adherence, exception count), establish automated telemetry where possible, and integrate reporting into quarterly governance cycles. Evidence must be system-generated and reviewed at each governance cycle.</v>
      </c>
      <c r="Q9" s="189" t="s">
        <v>1256</v>
      </c>
      <c r="R9" s="225" t="s">
        <v>252</v>
      </c>
      <c r="S9" s="177"/>
      <c r="T9" s="191" t="str">
        <f aca="false">IF(S9="Exclude","⬛ Excluded",IF(S9="Apply","✅ Applicable","✅ Applicable"))</f>
        <v>✅ Applicable</v>
      </c>
    </row>
    <row r="10" customFormat="false" ht="69.75" hidden="false" customHeight="true" outlineLevel="0" collapsed="false">
      <c r="A10" s="104" t="n">
        <v>162</v>
      </c>
      <c r="B10" s="164" t="s">
        <v>1248</v>
      </c>
      <c r="C10" s="165" t="s">
        <v>425</v>
      </c>
      <c r="D10" s="165" t="s">
        <v>1257</v>
      </c>
      <c r="E10" s="165" t="s">
        <v>1258</v>
      </c>
      <c r="F10" s="219" t="s">
        <v>1259</v>
      </c>
      <c r="G10" s="219" t="s">
        <v>1260</v>
      </c>
      <c r="H10" s="168" t="str">
        <f aca="false">HYPERLINK("#'📎 Evidence Register'!C167","ER-162  →  Row 167")</f>
        <v>ER-162  →  Row 167</v>
      </c>
      <c r="I10" s="220" t="s">
        <v>508</v>
      </c>
      <c r="J10" s="170" t="n">
        <f aca="false">IF(I10="","",IF(LEFT(I10,2)="L1",1,IF(LEFT(I10,2)="L2",2,IF(LEFT(I10,2)="L3",3,IF(LEFT(I10,2)="L4",4,IF(LEFT(I10,2)="L5",5,""))))))</f>
        <v>2</v>
      </c>
      <c r="K10" s="221" t="s">
        <v>496</v>
      </c>
      <c r="L10" s="172" t="n">
        <f aca="false">IF(K10="","",IF(LEFT(K10,2)="L1",1,IF(LEFT(K10,2)="L2",2,IF(LEFT(K10,2)="L3",3,IF(LEFT(K10,2)="L4",4,IF(LEFT(K10,2)="L5",5,""))))))</f>
        <v>3</v>
      </c>
      <c r="M10" s="173" t="n">
        <f aca="false">IFERROR(IF(OR(J10="",L10=""),"—",L10-J10),"—")</f>
        <v>1</v>
      </c>
      <c r="N10" s="174" t="str">
        <f aca="false">IFERROR(IF(I10="","⏳ Select a maturity rating to see the level description for this specific control.",INDEX(_DV!$1:$5,MATCH(LEFT(I10,2),{"L1","L2","L3","L4","L5"},0),162)),"⏳ Select a maturity rating.")</f>
        <v>L2 — Developing: Incident Playbooks — Business Email Compromise has basic controls in place but coverage is incomplete and execution is manual. Not consistently applied across all in-scope assets. Formal governance is absent.</v>
      </c>
      <c r="O10" s="108" t="str">
        <f aca="false">IF(S10="Exclude","⬛ Not Applicable",IF(T10="⬛ Auto-Excluded","⬛ Not Applicable",IF(I10="","✅ Applicable",IF(J10=1,"🔴 Critical",IF(J10=2,"🟠 Developing",IF(J10=3,"🟡 Defined",IF(J10&gt;=4,"🟢 Managed","✅ Applicable")))))))</f>
        <v>🟠 Developing</v>
      </c>
      <c r="P10" s="164" t="str">
        <f aca="false">IF(OR(J10="",L10=""),"⏳ Complete rating and target to generate recommendation.",IF(L10&lt;=J10,"✅ Target met — sustain evidence and raise target when programme allows.",IFERROR(INDEX(_REC!$B:$B,MATCH(A10&amp;"|"&amp;IF(L10="","",LEFT(TEXT(L10,"0"),1)),_REC!$A:$A,0)),"Recommendation pending — check _REC data.")))</f>
        <v>Standardise Incident Playbooks — Business Email Compromise: formalise all documentation, apply the control consistently across all in-scope assets, close remaining coverage gaps, and ensure evidence is collected routinely. Exceptions must be formally managed with named owners and defined expiry dates.</v>
      </c>
      <c r="Q10" s="175" t="s">
        <v>1261</v>
      </c>
      <c r="R10" s="222" t="s">
        <v>247</v>
      </c>
      <c r="S10" s="177"/>
      <c r="T10" s="178" t="str">
        <f aca="false">IF(S10="Exclude","⬛ Excluded",IF(S10="Apply","✅ Applicable","✅ Applicable"))</f>
        <v>✅ Applicable</v>
      </c>
    </row>
    <row r="11" customFormat="false" ht="69.75" hidden="false" customHeight="true" outlineLevel="0" collapsed="false">
      <c r="A11" s="104" t="n">
        <v>163</v>
      </c>
      <c r="B11" s="179" t="s">
        <v>1248</v>
      </c>
      <c r="C11" s="180" t="s">
        <v>426</v>
      </c>
      <c r="D11" s="180" t="s">
        <v>1262</v>
      </c>
      <c r="E11" s="180" t="s">
        <v>1263</v>
      </c>
      <c r="F11" s="223" t="s">
        <v>1264</v>
      </c>
      <c r="G11" s="223" t="s">
        <v>566</v>
      </c>
      <c r="H11" s="183" t="str">
        <f aca="false">HYPERLINK("#'📎 Evidence Register'!C168","ER-163  →  Row 168")</f>
        <v>ER-163  →  Row 168</v>
      </c>
      <c r="I11" s="220" t="s">
        <v>495</v>
      </c>
      <c r="J11" s="184" t="n">
        <f aca="false">IF(I11="","",IF(LEFT(I11,2)="L1",1,IF(LEFT(I11,2)="L2",2,IF(LEFT(I11,2)="L3",3,IF(LEFT(I11,2)="L4",4,IF(LEFT(I11,2)="L5",5,""))))))</f>
        <v>1</v>
      </c>
      <c r="K11" s="224" t="s">
        <v>496</v>
      </c>
      <c r="L11" s="186" t="n">
        <f aca="false">IF(K11="","",IF(LEFT(K11,2)="L1",1,IF(LEFT(K11,2)="L2",2,IF(LEFT(K11,2)="L3",3,IF(LEFT(K11,2)="L4",4,IF(LEFT(K11,2)="L5",5,""))))))</f>
        <v>3</v>
      </c>
      <c r="M11" s="187" t="n">
        <f aca="false">IFERROR(IF(OR(J11="",L11=""),"—",L11-J11),"—")</f>
        <v>2</v>
      </c>
      <c r="N11" s="188" t="str">
        <f aca="false">IFERROR(IF(I11="","⏳ Select a maturity rating to see the level description for this specific control.",INDEX(_DV!$1:$5,MATCH(LEFT(I11,2),{"L1","L2","L3","L4","L5"},0),163)),"⏳ Select a maturity rating.")</f>
        <v>L1 — Initial: Incident Playbooks — Cloud Security Incident is absent or ad hoc. No formal process, no documentation, no named owner. Controls exist only reactively after incidents.</v>
      </c>
      <c r="O11" s="113" t="str">
        <f aca="false">IF(S11="Exclude","⬛ Not Applicable",IF(T11="⬛ Auto-Excluded","⬛ Not Applicable",IF(I11="","✅ Applicable",IF(J11=1,"🔴 Critical",IF(J11=2,"🟠 Developing",IF(J11=3,"🟡 Defined",IF(J11&gt;=4,"🟢 Managed","✅ Applicable")))))))</f>
        <v>🔴 Critical</v>
      </c>
      <c r="P11" s="179" t="str">
        <f aca="false">IF(OR(J11="",L11=""),"⏳ Complete rating and target to generate recommendation.",IF(L11&lt;=J11,"✅ Target met — sustain evidence and raise target when programme allows.",IFERROR(INDEX(_REC!$B:$B,MATCH(A11&amp;"|"&amp;IF(L11="","",LEFT(TEXT(L11,"0"),1)),_REC!$A:$A,0)),"Recommendation pending — check _REC data.")))</f>
        <v>Standardise Incident Playbooks — Cloud Security Incident: formalise all documentation, apply the control consistently across all in-scope assets, close remaining coverage gaps, and ensure evidence is collected routinely. Exceptions must be formally managed with named owners and defined expiry dates.</v>
      </c>
      <c r="Q11" s="189" t="s">
        <v>1265</v>
      </c>
      <c r="R11" s="225" t="s">
        <v>287</v>
      </c>
      <c r="S11" s="177"/>
      <c r="T11" s="191" t="str">
        <f aca="false">IF(S11="Exclude","⬛ Excluded",IF(S11="Apply","✅ Applicable","✅ Applicable"))</f>
        <v>✅ Applicable</v>
      </c>
    </row>
    <row r="12" customFormat="false" ht="69.75" hidden="false" customHeight="true" outlineLevel="0" collapsed="false">
      <c r="A12" s="104" t="n">
        <v>164</v>
      </c>
      <c r="B12" s="164" t="s">
        <v>1266</v>
      </c>
      <c r="C12" s="165" t="s">
        <v>427</v>
      </c>
      <c r="D12" s="165" t="s">
        <v>1267</v>
      </c>
      <c r="E12" s="165" t="s">
        <v>1268</v>
      </c>
      <c r="F12" s="219"/>
      <c r="G12" s="219"/>
      <c r="H12" s="168" t="str">
        <f aca="false">HYPERLINK("#'📎 Evidence Register'!C169","ER-164  →  Row 169")</f>
        <v>ER-164  →  Row 169</v>
      </c>
      <c r="I12" s="220"/>
      <c r="J12" s="170" t="str">
        <f aca="false">IF(I12="","",IF(LEFT(I12,2)="L1",1,IF(LEFT(I12,2)="L2",2,IF(LEFT(I12,2)="L3",3,IF(LEFT(I12,2)="L4",4,IF(LEFT(I12,2)="L5",5,""))))))</f>
        <v/>
      </c>
      <c r="K12" s="221"/>
      <c r="L12" s="172" t="str">
        <f aca="false">IF(K12="","",IF(LEFT(K12,2)="L1",1,IF(LEFT(K12,2)="L2",2,IF(LEFT(K12,2)="L3",3,IF(LEFT(K12,2)="L4",4,IF(LEFT(K12,2)="L5",5,""))))))</f>
        <v/>
      </c>
      <c r="M12" s="173" t="str">
        <f aca="false">IFERROR(IF(OR(J12="",L12=""),"—",L12-J12),"—")</f>
        <v>—</v>
      </c>
      <c r="N12" s="174" t="str">
        <f aca="false">IFERROR(IF(I12="","⏳ Select a maturity rating to see the level description for this specific control.",INDEX(_DV!$1:$5,MATCH(LEFT(I12,2),{"L1","L2","L3","L4","L5"},0),164)),"⏳ Select a maturity rating.")</f>
        <v>⏳ Select a maturity rating to see the level description for this specific control.</v>
      </c>
      <c r="O12" s="108" t="str">
        <f aca="false">IF(S12="Exclude","⬛ Not Applicable",IF(T12="⬛ Auto-Excluded","⬛ Not Applicable",IF(I12="","✅ Applicable",IF(J12=1,"🔴 Critical",IF(J12=2,"🟠 Developing",IF(J12=3,"🟡 Defined",IF(J12&gt;=4,"🟢 Managed","✅ Applicable")))))))</f>
        <v>⬛ Not Applicable</v>
      </c>
      <c r="P12" s="164" t="str">
        <f aca="false">IF(OR(J12="",L12=""),"⏳ Complete rating and target to generate recommendation.",IF(L12&lt;=J12,"✅ Target met — sustain evidence and raise target when programme allows.",IFERROR(INDEX(_REC!$B:$B,MATCH(A12&amp;"|"&amp;IF(L12="","",LEFT(TEXT(L12,"0"),1)),_REC!$A:$A,0)),"Recommendation pending — check _REC data.")))</f>
        <v>⏳ Complete rating and target to generate recommendation.</v>
      </c>
      <c r="Q12" s="175" t="s">
        <v>1173</v>
      </c>
      <c r="R12" s="222"/>
      <c r="S12" s="177" t="s">
        <v>603</v>
      </c>
      <c r="T12" s="178" t="str">
        <f aca="false">IF(S12="Exclude","⬛ Excluded",IF(S12="Apply","✅ Applicable",IF((('🔍 Scoping'!$E$7="No"))&gt;0,"⬛ Auto-Excluded","✅ Applicable")))</f>
        <v>⬛ Excluded</v>
      </c>
    </row>
    <row r="13" customFormat="false" ht="69.75" hidden="false" customHeight="true" outlineLevel="0" collapsed="false">
      <c r="A13" s="104" t="n">
        <v>165</v>
      </c>
      <c r="B13" s="179" t="s">
        <v>1266</v>
      </c>
      <c r="C13" s="180" t="s">
        <v>428</v>
      </c>
      <c r="D13" s="180" t="s">
        <v>1269</v>
      </c>
      <c r="E13" s="180" t="s">
        <v>1270</v>
      </c>
      <c r="F13" s="223"/>
      <c r="G13" s="223"/>
      <c r="H13" s="183" t="str">
        <f aca="false">HYPERLINK("#'📎 Evidence Register'!C170","ER-165  →  Row 170")</f>
        <v>ER-165  →  Row 170</v>
      </c>
      <c r="I13" s="220"/>
      <c r="J13" s="184" t="str">
        <f aca="false">IF(I13="","",IF(LEFT(I13,2)="L1",1,IF(LEFT(I13,2)="L2",2,IF(LEFT(I13,2)="L3",3,IF(LEFT(I13,2)="L4",4,IF(LEFT(I13,2)="L5",5,""))))))</f>
        <v/>
      </c>
      <c r="K13" s="224"/>
      <c r="L13" s="186" t="str">
        <f aca="false">IF(K13="","",IF(LEFT(K13,2)="L1",1,IF(LEFT(K13,2)="L2",2,IF(LEFT(K13,2)="L3",3,IF(LEFT(K13,2)="L4",4,IF(LEFT(K13,2)="L5",5,""))))))</f>
        <v/>
      </c>
      <c r="M13" s="187" t="str">
        <f aca="false">IFERROR(IF(OR(J13="",L13=""),"—",L13-J13),"—")</f>
        <v>—</v>
      </c>
      <c r="N13" s="188" t="str">
        <f aca="false">IFERROR(IF(I13="","⏳ Select a maturity rating to see the level description for this specific control.",INDEX(_DV!$1:$5,MATCH(LEFT(I13,2),{"L1","L2","L3","L4","L5"},0),165)),"⏳ Select a maturity rating.")</f>
        <v>⏳ Select a maturity rating to see the level description for this specific control.</v>
      </c>
      <c r="O13" s="113" t="str">
        <f aca="false">IF(S13="Exclude","⬛ Not Applicable",IF(T13="⬛ Auto-Excluded","⬛ Not Applicable",IF(I13="","✅ Applicable",IF(J13=1,"🔴 Critical",IF(J13=2,"🟠 Developing",IF(J13=3,"🟡 Defined",IF(J13&gt;=4,"🟢 Managed","✅ Applicable")))))))</f>
        <v>⬛ Not Applicable</v>
      </c>
      <c r="P13" s="179" t="str">
        <f aca="false">IF(OR(J13="",L13=""),"⏳ Complete rating and target to generate recommendation.",IF(L13&lt;=J13,"✅ Target met — sustain evidence and raise target when programme allows.",IFERROR(INDEX(_REC!$B:$B,MATCH(A13&amp;"|"&amp;IF(L13="","",LEFT(TEXT(L13,"0"),1)),_REC!$A:$A,0)),"Recommendation pending — check _REC data.")))</f>
        <v>⏳ Complete rating and target to generate recommendation.</v>
      </c>
      <c r="Q13" s="189" t="s">
        <v>1176</v>
      </c>
      <c r="R13" s="225"/>
      <c r="S13" s="177" t="s">
        <v>603</v>
      </c>
      <c r="T13" s="191" t="str">
        <f aca="false">IF(S13="Exclude","⬛ Excluded",IF(S13="Apply","✅ Applicable",IF((('🔍 Scoping'!$E$8="No"))&gt;0,"⬛ Auto-Excluded","✅ Applicable")))</f>
        <v>⬛ Excluded</v>
      </c>
    </row>
    <row r="14" customFormat="false" ht="69.75" hidden="false" customHeight="true" outlineLevel="0" collapsed="false">
      <c r="A14" s="104" t="n">
        <v>166</v>
      </c>
      <c r="B14" s="164" t="s">
        <v>1266</v>
      </c>
      <c r="C14" s="165" t="s">
        <v>429</v>
      </c>
      <c r="D14" s="165" t="s">
        <v>1271</v>
      </c>
      <c r="E14" s="165" t="s">
        <v>1272</v>
      </c>
      <c r="F14" s="219" t="s">
        <v>1273</v>
      </c>
      <c r="G14" s="219" t="s">
        <v>566</v>
      </c>
      <c r="H14" s="168" t="str">
        <f aca="false">HYPERLINK("#'📎 Evidence Register'!C171","ER-166  →  Row 171")</f>
        <v>ER-166  →  Row 171</v>
      </c>
      <c r="I14" s="220" t="s">
        <v>495</v>
      </c>
      <c r="J14" s="170" t="n">
        <f aca="false">IF(I14="","",IF(LEFT(I14,2)="L1",1,IF(LEFT(I14,2)="L2",2,IF(LEFT(I14,2)="L3",3,IF(LEFT(I14,2)="L4",4,IF(LEFT(I14,2)="L5",5,""))))))</f>
        <v>1</v>
      </c>
      <c r="K14" s="221" t="s">
        <v>545</v>
      </c>
      <c r="L14" s="172" t="n">
        <f aca="false">IF(K14="","",IF(LEFT(K14,2)="L1",1,IF(LEFT(K14,2)="L2",2,IF(LEFT(K14,2)="L3",3,IF(LEFT(K14,2)="L4",4,IF(LEFT(K14,2)="L5",5,""))))))</f>
        <v>4</v>
      </c>
      <c r="M14" s="173" t="n">
        <f aca="false">IFERROR(IF(OR(J14="",L14=""),"—",L14-J14),"—")</f>
        <v>3</v>
      </c>
      <c r="N14" s="174" t="str">
        <f aca="false">IFERROR(IF(I14="","⏳ Select a maturity rating to see the level description for this specific control.",INDEX(_DV!$1:$5,MATCH(LEFT(I14,2),{"L1","L2","L3","L4","L5"},0),166)),"⏳ Select a maturity rating.")</f>
        <v>L1 — Initial: GDPR Breach Notification Process is absent or ad hoc. No formal process, no documentation, no named owner. Controls exist only reactively after incidents.</v>
      </c>
      <c r="O14" s="108" t="str">
        <f aca="false">IF(S14="Exclude","⬛ Not Applicable",IF(T14="⬛ Auto-Excluded","⬛ Not Applicable",IF(I14="","✅ Applicable",IF(J14=1,"🔴 Critical",IF(J14=2,"🟠 Developing",IF(J14=3,"🟡 Defined",IF(J14&gt;=4,"🟢 Managed","✅ Applicable")))))))</f>
        <v>🔴 Critical</v>
      </c>
      <c r="P14" s="164" t="str">
        <f aca="false">IF(OR(J14="",L14=""),"⏳ Complete rating and target to generate recommendation.",IF(L14&lt;=J14,"✅ Target met — sustain evidence and raise target when programme allows.",IFERROR(INDEX(_REC!$B:$B,MATCH(A14&amp;"|"&amp;IF(L14="","",LEFT(TEXT(L14,"0"),1)),_REC!$A:$A,0)),"Recommendation pending — check _REC data.")))</f>
        <v>Instrument GDPR Breach Notification Process with measurable KPIs: define performance thresholds (coverage %, SLA adherence, exception count), establish automated telemetry where possible, and integrate reporting into quarterly governance cycles. Evidence must be system-generated and reviewed at each governance cycle.</v>
      </c>
      <c r="Q14" s="175" t="s">
        <v>1274</v>
      </c>
      <c r="R14" s="222" t="s">
        <v>252</v>
      </c>
      <c r="S14" s="177"/>
      <c r="T14" s="178" t="str">
        <f aca="false">IF(S14="Exclude","⬛ Excluded",IF(S14="Apply","✅ Applicable",IF((('🔍 Scoping'!$E$6="No"))&gt;0,"⬛ Auto-Excluded","✅ Applicable")))</f>
        <v>✅ Applicable</v>
      </c>
    </row>
    <row r="15" customFormat="false" ht="69.75" hidden="false" customHeight="true" outlineLevel="0" collapsed="false">
      <c r="A15" s="104" t="n">
        <v>167</v>
      </c>
      <c r="B15" s="179" t="s">
        <v>1266</v>
      </c>
      <c r="C15" s="180" t="s">
        <v>430</v>
      </c>
      <c r="D15" s="180" t="s">
        <v>1275</v>
      </c>
      <c r="E15" s="180" t="s">
        <v>1276</v>
      </c>
      <c r="F15" s="223" t="s">
        <v>1277</v>
      </c>
      <c r="G15" s="223" t="s">
        <v>566</v>
      </c>
      <c r="H15" s="183" t="str">
        <f aca="false">HYPERLINK("#'📎 Evidence Register'!C172","ER-167  →  Row 172")</f>
        <v>ER-167  →  Row 172</v>
      </c>
      <c r="I15" s="220" t="s">
        <v>495</v>
      </c>
      <c r="J15" s="184" t="n">
        <f aca="false">IF(I15="","",IF(LEFT(I15,2)="L1",1,IF(LEFT(I15,2)="L2",2,IF(LEFT(I15,2)="L3",3,IF(LEFT(I15,2)="L4",4,IF(LEFT(I15,2)="L5",5,""))))))</f>
        <v>1</v>
      </c>
      <c r="K15" s="224" t="s">
        <v>545</v>
      </c>
      <c r="L15" s="186" t="n">
        <f aca="false">IF(K15="","",IF(LEFT(K15,2)="L1",1,IF(LEFT(K15,2)="L2",2,IF(LEFT(K15,2)="L3",3,IF(LEFT(K15,2)="L4",4,IF(LEFT(K15,2)="L5",5,""))))))</f>
        <v>4</v>
      </c>
      <c r="M15" s="187" t="n">
        <f aca="false">IFERROR(IF(OR(J15="",L15=""),"—",L15-J15),"—")</f>
        <v>3</v>
      </c>
      <c r="N15" s="188" t="str">
        <f aca="false">IFERROR(IF(I15="","⏳ Select a maturity rating to see the level description for this specific control.",INDEX(_DV!$1:$5,MATCH(LEFT(I15,2),{"L1","L2","L3","L4","L5"},0),167)),"⏳ Select a maturity rating.")</f>
        <v>L1 — Initial: Breach Materiality &amp; Regulatory Decision Tree is absent or ad hoc. No formal process, no documentation, no named owner. Controls exist only reactively after incidents.</v>
      </c>
      <c r="O15" s="113" t="str">
        <f aca="false">IF(S15="Exclude","⬛ Not Applicable",IF(T15="⬛ Auto-Excluded","⬛ Not Applicable",IF(I15="","✅ Applicable",IF(J15=1,"🔴 Critical",IF(J15=2,"🟠 Developing",IF(J15=3,"🟡 Defined",IF(J15&gt;=4,"🟢 Managed","✅ Applicable")))))))</f>
        <v>🔴 Critical</v>
      </c>
      <c r="P15" s="179" t="str">
        <f aca="false">IF(OR(J15="",L15=""),"⏳ Complete rating and target to generate recommendation.",IF(L15&lt;=J15,"✅ Target met — sustain evidence and raise target when programme allows.",IFERROR(INDEX(_REC!$B:$B,MATCH(A15&amp;"|"&amp;IF(L15="","",LEFT(TEXT(L15,"0"),1)),_REC!$A:$A,0)),"Recommendation pending — check _REC data.")))</f>
        <v>Instrument Breach Materiality &amp; Regulatory Decision Tree with measurable KPIs: define performance thresholds (coverage %, SLA adherence, exception count), establish automated telemetry where possible, and integrate reporting into quarterly governance cycles. Evidence must be system-generated and reviewed at each governance cycle.</v>
      </c>
      <c r="Q15" s="189" t="s">
        <v>1278</v>
      </c>
      <c r="R15" s="225" t="s">
        <v>252</v>
      </c>
      <c r="S15" s="177"/>
      <c r="T15" s="191" t="str">
        <f aca="false">IF(S15="Exclude","⬛ Excluded",IF(S15="Apply","✅ Applicable","✅ Applicable"))</f>
        <v>✅ Applicable</v>
      </c>
    </row>
    <row r="16" customFormat="false" ht="69.75" hidden="false" customHeight="true" outlineLevel="0" collapsed="false">
      <c r="A16" s="104" t="n">
        <v>168</v>
      </c>
      <c r="B16" s="164" t="s">
        <v>1279</v>
      </c>
      <c r="C16" s="165" t="s">
        <v>431</v>
      </c>
      <c r="D16" s="165" t="s">
        <v>1280</v>
      </c>
      <c r="E16" s="165" t="s">
        <v>1281</v>
      </c>
      <c r="F16" s="219" t="s">
        <v>1282</v>
      </c>
      <c r="G16" s="219" t="s">
        <v>566</v>
      </c>
      <c r="H16" s="168" t="str">
        <f aca="false">HYPERLINK("#'📎 Evidence Register'!C173","ER-168  →  Row 173")</f>
        <v>ER-168  →  Row 173</v>
      </c>
      <c r="I16" s="220" t="s">
        <v>495</v>
      </c>
      <c r="J16" s="170" t="n">
        <f aca="false">IF(I16="","",IF(LEFT(I16,2)="L1",1,IF(LEFT(I16,2)="L2",2,IF(LEFT(I16,2)="L3",3,IF(LEFT(I16,2)="L4",4,IF(LEFT(I16,2)="L5",5,""))))))</f>
        <v>1</v>
      </c>
      <c r="K16" s="221" t="s">
        <v>496</v>
      </c>
      <c r="L16" s="172" t="n">
        <f aca="false">IF(K16="","",IF(LEFT(K16,2)="L1",1,IF(LEFT(K16,2)="L2",2,IF(LEFT(K16,2)="L3",3,IF(LEFT(K16,2)="L4",4,IF(LEFT(K16,2)="L5",5,""))))))</f>
        <v>3</v>
      </c>
      <c r="M16" s="173" t="n">
        <f aca="false">IFERROR(IF(OR(J16="",L16=""),"—",L16-J16),"—")</f>
        <v>2</v>
      </c>
      <c r="N16" s="174" t="str">
        <f aca="false">IFERROR(IF(I16="","⏳ Select a maturity rating to see the level description for this specific control.",INDEX(_DV!$1:$5,MATCH(LEFT(I16,2),{"L1","L2","L3","L4","L5"},0),168)),"⏳ Select a maturity rating.")</f>
        <v>L1 — Initial: Tabletop Exercises — Technical is absent or ad hoc. No formal process, no documentation, no named owner. Controls exist only reactively after incidents.</v>
      </c>
      <c r="O16" s="108" t="str">
        <f aca="false">IF(S16="Exclude","⬛ Not Applicable",IF(T16="⬛ Auto-Excluded","⬛ Not Applicable",IF(I16="","✅ Applicable",IF(J16=1,"🔴 Critical",IF(J16=2,"🟠 Developing",IF(J16=3,"🟡 Defined",IF(J16&gt;=4,"🟢 Managed","✅ Applicable")))))))</f>
        <v>🔴 Critical</v>
      </c>
      <c r="P16" s="164" t="str">
        <f aca="false">IF(OR(J16="",L16=""),"⏳ Complete rating and target to generate recommendation.",IF(L16&lt;=J16,"✅ Target met — sustain evidence and raise target when programme allows.",IFERROR(INDEX(_REC!$B:$B,MATCH(A16&amp;"|"&amp;IF(L16="","",LEFT(TEXT(L16,"0"),1)),_REC!$A:$A,0)),"Recommendation pending — check _REC data.")))</f>
        <v>Standardise Tabletop Exercises — Technical: formalise all documentation, apply the control consistently across all in-scope assets, close remaining coverage gaps, and ensure evidence is collected routinely. Exceptions must be formally managed with named owners and defined expiry dates.</v>
      </c>
      <c r="Q16" s="175" t="s">
        <v>1283</v>
      </c>
      <c r="R16" s="222" t="s">
        <v>249</v>
      </c>
      <c r="S16" s="177"/>
      <c r="T16" s="178" t="str">
        <f aca="false">IF(S16="Exclude","⬛ Excluded",IF(S16="Apply","✅ Applicable","✅ Applicable"))</f>
        <v>✅ Applicable</v>
      </c>
    </row>
    <row r="17" customFormat="false" ht="69.75" hidden="false" customHeight="true" outlineLevel="0" collapsed="false">
      <c r="A17" s="104" t="n">
        <v>169</v>
      </c>
      <c r="B17" s="179" t="s">
        <v>1279</v>
      </c>
      <c r="C17" s="180" t="s">
        <v>432</v>
      </c>
      <c r="D17" s="180" t="s">
        <v>1284</v>
      </c>
      <c r="E17" s="180" t="s">
        <v>1285</v>
      </c>
      <c r="F17" s="223" t="s">
        <v>1286</v>
      </c>
      <c r="G17" s="223" t="s">
        <v>566</v>
      </c>
      <c r="H17" s="183" t="str">
        <f aca="false">HYPERLINK("#'📎 Evidence Register'!C174","ER-169  →  Row 174")</f>
        <v>ER-169  →  Row 174</v>
      </c>
      <c r="I17" s="220" t="s">
        <v>495</v>
      </c>
      <c r="J17" s="184" t="n">
        <f aca="false">IF(I17="","",IF(LEFT(I17,2)="L1",1,IF(LEFT(I17,2)="L2",2,IF(LEFT(I17,2)="L3",3,IF(LEFT(I17,2)="L4",4,IF(LEFT(I17,2)="L5",5,""))))))</f>
        <v>1</v>
      </c>
      <c r="K17" s="224" t="s">
        <v>496</v>
      </c>
      <c r="L17" s="186" t="n">
        <f aca="false">IF(K17="","",IF(LEFT(K17,2)="L1",1,IF(LEFT(K17,2)="L2",2,IF(LEFT(K17,2)="L3",3,IF(LEFT(K17,2)="L4",4,IF(LEFT(K17,2)="L5",5,""))))))</f>
        <v>3</v>
      </c>
      <c r="M17" s="187" t="n">
        <f aca="false">IFERROR(IF(OR(J17="",L17=""),"—",L17-J17),"—")</f>
        <v>2</v>
      </c>
      <c r="N17" s="188" t="str">
        <f aca="false">IFERROR(IF(I17="","⏳ Select a maturity rating to see the level description for this specific control.",INDEX(_DV!$1:$5,MATCH(LEFT(I17,2),{"L1","L2","L3","L4","L5"},0),169)),"⏳ Select a maturity rating.")</f>
        <v>L1 — Initial: Tabletop Exercises — Executive is absent or ad hoc. No formal process, no documentation, no named owner. Controls exist only reactively after incidents.</v>
      </c>
      <c r="O17" s="113" t="str">
        <f aca="false">IF(S17="Exclude","⬛ Not Applicable",IF(T17="⬛ Auto-Excluded","⬛ Not Applicable",IF(I17="","✅ Applicable",IF(J17=1,"🔴 Critical",IF(J17=2,"🟠 Developing",IF(J17=3,"🟡 Defined",IF(J17&gt;=4,"🟢 Managed","✅ Applicable")))))))</f>
        <v>🔴 Critical</v>
      </c>
      <c r="P17" s="179" t="str">
        <f aca="false">IF(OR(J17="",L17=""),"⏳ Complete rating and target to generate recommendation.",IF(L17&lt;=J17,"✅ Target met — sustain evidence and raise target when programme allows.",IFERROR(INDEX(_REC!$B:$B,MATCH(A17&amp;"|"&amp;IF(L17="","",LEFT(TEXT(L17,"0"),1)),_REC!$A:$A,0)),"Recommendation pending — check _REC data.")))</f>
        <v>Standardise Tabletop Exercises — Executive: formalise all documentation, apply the control consistently across all in-scope assets, close remaining coverage gaps, and ensure evidence is collected routinely. Exceptions must be formally managed with named owners and defined expiry dates.</v>
      </c>
      <c r="Q17" s="189" t="s">
        <v>1287</v>
      </c>
      <c r="R17" s="225" t="s">
        <v>240</v>
      </c>
      <c r="S17" s="177"/>
      <c r="T17" s="191" t="str">
        <f aca="false">IF(S17="Exclude","⬛ Excluded",IF(S17="Apply","✅ Applicable","✅ Applicable"))</f>
        <v>✅ Applicable</v>
      </c>
    </row>
    <row r="18" customFormat="false" ht="69.75" hidden="false" customHeight="true" outlineLevel="0" collapsed="false">
      <c r="A18" s="104" t="n">
        <v>170</v>
      </c>
      <c r="B18" s="164" t="s">
        <v>1279</v>
      </c>
      <c r="C18" s="165" t="s">
        <v>433</v>
      </c>
      <c r="D18" s="165" t="s">
        <v>1288</v>
      </c>
      <c r="E18" s="165" t="s">
        <v>1289</v>
      </c>
      <c r="F18" s="219" t="s">
        <v>1290</v>
      </c>
      <c r="G18" s="219" t="s">
        <v>1291</v>
      </c>
      <c r="H18" s="168" t="str">
        <f aca="false">HYPERLINK("#'📎 Evidence Register'!C175","ER-170  →  Row 175")</f>
        <v>ER-170  →  Row 175</v>
      </c>
      <c r="I18" s="220" t="s">
        <v>508</v>
      </c>
      <c r="J18" s="170" t="n">
        <f aca="false">IF(I18="","",IF(LEFT(I18,2)="L1",1,IF(LEFT(I18,2)="L2",2,IF(LEFT(I18,2)="L3",3,IF(LEFT(I18,2)="L4",4,IF(LEFT(I18,2)="L5",5,""))))))</f>
        <v>2</v>
      </c>
      <c r="K18" s="221" t="s">
        <v>496</v>
      </c>
      <c r="L18" s="172" t="n">
        <f aca="false">IF(K18="","",IF(LEFT(K18,2)="L1",1,IF(LEFT(K18,2)="L2",2,IF(LEFT(K18,2)="L3",3,IF(LEFT(K18,2)="L4",4,IF(LEFT(K18,2)="L5",5,""))))))</f>
        <v>3</v>
      </c>
      <c r="M18" s="173" t="n">
        <f aca="false">IFERROR(IF(OR(J18="",L18=""),"—",L18-J18),"—")</f>
        <v>1</v>
      </c>
      <c r="N18" s="174" t="str">
        <f aca="false">IFERROR(IF(I18="","⏳ Select a maturity rating to see the level description for this specific control.",INDEX(_DV!$1:$5,MATCH(LEFT(I18,2),{"L1","L2","L3","L4","L5"},0),170)),"⏳ Select a maturity rating.")</f>
        <v>L2 — Developing: Post-Incident Review &amp; Lessons Learned has basic controls in place but coverage is incomplete and execution is manual. Not consistently applied across all in-scope assets. Formal governance is absent.</v>
      </c>
      <c r="O18" s="108" t="str">
        <f aca="false">IF(S18="Exclude","⬛ Not Applicable",IF(T18="⬛ Auto-Excluded","⬛ Not Applicable",IF(I18="","✅ Applicable",IF(J18=1,"🔴 Critical",IF(J18=2,"🟠 Developing",IF(J18=3,"🟡 Defined",IF(J18&gt;=4,"🟢 Managed","✅ Applicable")))))))</f>
        <v>🟠 Developing</v>
      </c>
      <c r="P18" s="164" t="str">
        <f aca="false">IF(OR(J18="",L18=""),"⏳ Complete rating and target to generate recommendation.",IF(L18&lt;=J18,"✅ Target met — sustain evidence and raise target when programme allows.",IFERROR(INDEX(_REC!$B:$B,MATCH(A18&amp;"|"&amp;IF(L18="","",LEFT(TEXT(L18,"0"),1)),_REC!$A:$A,0)),"Recommendation pending — check _REC data.")))</f>
        <v>Standardise Post-Incident Review &amp; Lessons Learned: formalise all documentation, apply the control consistently across all in-scope assets, close remaining coverage gaps, and ensure evidence is collected routinely. Exceptions must be formally managed with named owners and defined expiry dates.</v>
      </c>
      <c r="Q18" s="175" t="s">
        <v>1292</v>
      </c>
      <c r="R18" s="222" t="s">
        <v>249</v>
      </c>
      <c r="S18" s="177"/>
      <c r="T18" s="178" t="str">
        <f aca="false">IF(S18="Exclude","⬛ Excluded",IF(S18="Apply","✅ Applicable","✅ Applicable"))</f>
        <v>✅ Applicable</v>
      </c>
    </row>
    <row r="19" customFormat="false" ht="69.75" hidden="false" customHeight="true" outlineLevel="0" collapsed="false">
      <c r="A19" s="104" t="n">
        <v>171</v>
      </c>
      <c r="B19" s="179" t="s">
        <v>1279</v>
      </c>
      <c r="C19" s="180" t="s">
        <v>434</v>
      </c>
      <c r="D19" s="180" t="s">
        <v>1293</v>
      </c>
      <c r="E19" s="180" t="s">
        <v>1294</v>
      </c>
      <c r="F19" s="223" t="s">
        <v>1295</v>
      </c>
      <c r="G19" s="223" t="s">
        <v>566</v>
      </c>
      <c r="H19" s="183" t="str">
        <f aca="false">HYPERLINK("#'📎 Evidence Register'!C176","ER-171  →  Row 176")</f>
        <v>ER-171  →  Row 176</v>
      </c>
      <c r="I19" s="220" t="s">
        <v>495</v>
      </c>
      <c r="J19" s="184" t="n">
        <f aca="false">IF(I19="","",IF(LEFT(I19,2)="L1",1,IF(LEFT(I19,2)="L2",2,IF(LEFT(I19,2)="L3",3,IF(LEFT(I19,2)="L4",4,IF(LEFT(I19,2)="L5",5,""))))))</f>
        <v>1</v>
      </c>
      <c r="K19" s="224" t="s">
        <v>545</v>
      </c>
      <c r="L19" s="186" t="n">
        <f aca="false">IF(K19="","",IF(LEFT(K19,2)="L1",1,IF(LEFT(K19,2)="L2",2,IF(LEFT(K19,2)="L3",3,IF(LEFT(K19,2)="L4",4,IF(LEFT(K19,2)="L5",5,""))))))</f>
        <v>4</v>
      </c>
      <c r="M19" s="187" t="n">
        <f aca="false">IFERROR(IF(OR(J19="",L19=""),"—",L19-J19),"—")</f>
        <v>3</v>
      </c>
      <c r="N19" s="188" t="str">
        <f aca="false">IFERROR(IF(I19="","⏳ Select a maturity rating to see the level description for this specific control.",INDEX(_DV!$1:$5,MATCH(LEFT(I19,2),{"L1","L2","L3","L4","L5"},0),171)),"⏳ Select a maturity rating.")</f>
        <v>L1 — Initial: Regulatory Investigation Management is absent or ad hoc. No formal process, no documentation, no named owner. Controls exist only reactively after incidents.</v>
      </c>
      <c r="O19" s="113" t="str">
        <f aca="false">IF(S19="Exclude","⬛ Not Applicable",IF(T19="⬛ Auto-Excluded","⬛ Not Applicable",IF(I19="","✅ Applicable",IF(J19=1,"🔴 Critical",IF(J19=2,"🟠 Developing",IF(J19=3,"🟡 Defined",IF(J19&gt;=4,"🟢 Managed","✅ Applicable")))))))</f>
        <v>🔴 Critical</v>
      </c>
      <c r="P19" s="179" t="str">
        <f aca="false">IF(OR(J19="",L19=""),"⏳ Complete rating and target to generate recommendation.",IF(L19&lt;=J19,"✅ Target met — sustain evidence and raise target when programme allows.",IFERROR(INDEX(_REC!$B:$B,MATCH(A19&amp;"|"&amp;IF(L19="","",LEFT(TEXT(L19,"0"),1)),_REC!$A:$A,0)),"Recommendation pending — check _REC data.")))</f>
        <v>Instrument Regulatory Investigation Management with measurable KPIs: define performance thresholds (coverage %, SLA adherence, exception count), establish automated telemetry where possible, and integrate reporting into quarterly governance cycles. Evidence must be system-generated and reviewed at each governance cycle.</v>
      </c>
      <c r="Q19" s="189" t="s">
        <v>1296</v>
      </c>
      <c r="R19" s="225" t="s">
        <v>252</v>
      </c>
      <c r="S19" s="177"/>
      <c r="T19" s="191" t="str">
        <f aca="false">IF(S19="Exclude","⬛ Excluded",IF(S19="Apply","✅ Applicable","✅ Applicable"))</f>
        <v>✅ Applicable</v>
      </c>
    </row>
    <row r="20" customFormat="false" ht="69.75" hidden="false" customHeight="true" outlineLevel="0" collapsed="false">
      <c r="A20" s="155"/>
      <c r="B20" s="155"/>
      <c r="C20" s="155"/>
      <c r="D20" s="155"/>
      <c r="E20" s="155"/>
      <c r="F20" s="155"/>
      <c r="G20" s="155"/>
      <c r="H20" s="155"/>
      <c r="I20" s="155"/>
      <c r="J20" s="155"/>
      <c r="K20" s="155"/>
      <c r="L20" s="155"/>
      <c r="M20" s="155"/>
      <c r="N20" s="155"/>
      <c r="O20" s="155"/>
      <c r="P20" s="155"/>
      <c r="Q20" s="155"/>
      <c r="R20" s="155"/>
      <c r="S20" s="155"/>
      <c r="T20" s="155"/>
    </row>
    <row r="21" customFormat="false" ht="69.75" hidden="false" customHeight="true" outlineLevel="0" collapsed="false">
      <c r="A21" s="155"/>
      <c r="B21" s="155"/>
      <c r="C21" s="155"/>
      <c r="D21" s="155"/>
      <c r="E21" s="155"/>
      <c r="F21" s="155"/>
      <c r="G21" s="155"/>
      <c r="H21" s="155"/>
      <c r="I21" s="155"/>
      <c r="J21" s="155"/>
      <c r="K21" s="155"/>
      <c r="L21" s="155"/>
      <c r="M21" s="155"/>
      <c r="N21" s="155"/>
      <c r="O21" s="155"/>
      <c r="P21" s="155"/>
      <c r="Q21" s="155"/>
      <c r="R21" s="155"/>
      <c r="S21" s="155"/>
      <c r="T21" s="155"/>
    </row>
    <row r="22" customFormat="false" ht="69.75" hidden="false" customHeight="true" outlineLevel="0" collapsed="false">
      <c r="A22" s="155"/>
      <c r="B22" s="155"/>
      <c r="C22" s="155"/>
      <c r="D22" s="155"/>
      <c r="E22" s="155"/>
      <c r="F22" s="155"/>
      <c r="G22" s="155"/>
      <c r="H22" s="155"/>
      <c r="I22" s="155"/>
      <c r="J22" s="155"/>
      <c r="K22" s="155"/>
      <c r="L22" s="155"/>
      <c r="M22" s="155"/>
      <c r="N22" s="155"/>
      <c r="O22" s="155"/>
      <c r="P22" s="155"/>
      <c r="Q22" s="155"/>
      <c r="R22" s="155"/>
      <c r="S22" s="155"/>
      <c r="T22" s="155"/>
    </row>
    <row r="23" customFormat="false" ht="69.75" hidden="false" customHeight="true" outlineLevel="0" collapsed="false">
      <c r="A23" s="155"/>
      <c r="B23" s="155"/>
      <c r="C23" s="155"/>
      <c r="D23" s="155"/>
      <c r="E23" s="155"/>
      <c r="F23" s="155"/>
      <c r="G23" s="155"/>
      <c r="H23" s="155"/>
      <c r="I23" s="155"/>
      <c r="J23" s="155"/>
      <c r="K23" s="155"/>
      <c r="L23" s="155"/>
      <c r="M23" s="155"/>
      <c r="N23" s="155"/>
      <c r="O23" s="155"/>
      <c r="P23" s="155"/>
      <c r="Q23" s="155"/>
      <c r="R23" s="155"/>
      <c r="S23" s="155"/>
      <c r="T23" s="155"/>
    </row>
    <row r="24" customFormat="false" ht="69.75" hidden="false" customHeight="true" outlineLevel="0" collapsed="false">
      <c r="A24" s="155"/>
      <c r="B24" s="155"/>
      <c r="C24" s="155"/>
      <c r="D24" s="155"/>
      <c r="E24" s="155"/>
      <c r="F24" s="155"/>
      <c r="G24" s="155"/>
      <c r="H24" s="155"/>
      <c r="I24" s="155"/>
      <c r="J24" s="155"/>
      <c r="K24" s="155"/>
      <c r="L24" s="155"/>
      <c r="M24" s="155"/>
      <c r="N24" s="155"/>
      <c r="O24" s="155"/>
      <c r="P24" s="155"/>
      <c r="Q24" s="155"/>
      <c r="R24" s="155"/>
      <c r="S24" s="155"/>
      <c r="T24" s="155"/>
    </row>
    <row r="25" customFormat="false" ht="69.75" hidden="false" customHeight="true" outlineLevel="0" collapsed="false">
      <c r="A25" s="155"/>
      <c r="B25" s="155"/>
      <c r="C25" s="155"/>
      <c r="D25" s="155"/>
      <c r="E25" s="155"/>
      <c r="F25" s="155"/>
      <c r="G25" s="155"/>
      <c r="H25" s="155"/>
      <c r="I25" s="155"/>
      <c r="J25" s="155"/>
      <c r="K25" s="155"/>
      <c r="L25" s="155"/>
      <c r="M25" s="155"/>
      <c r="N25" s="155"/>
      <c r="O25" s="155"/>
      <c r="P25" s="155"/>
      <c r="Q25" s="155"/>
      <c r="R25" s="155"/>
      <c r="S25" s="155"/>
      <c r="T25" s="155"/>
    </row>
    <row r="26" customFormat="false" ht="69.75" hidden="false" customHeight="true" outlineLevel="0" collapsed="false">
      <c r="A26" s="155"/>
      <c r="B26" s="155"/>
      <c r="C26" s="155"/>
      <c r="D26" s="155"/>
      <c r="E26" s="155"/>
      <c r="F26" s="155"/>
      <c r="G26" s="155"/>
      <c r="H26" s="155"/>
      <c r="I26" s="155"/>
      <c r="J26" s="155"/>
      <c r="K26" s="155"/>
      <c r="L26" s="155"/>
      <c r="M26" s="155"/>
      <c r="N26" s="155"/>
      <c r="O26" s="155"/>
      <c r="P26" s="155"/>
      <c r="Q26" s="155"/>
      <c r="R26" s="155"/>
      <c r="S26" s="155"/>
      <c r="T26" s="155"/>
    </row>
    <row r="27" customFormat="false" ht="69.75" hidden="false" customHeight="true" outlineLevel="0" collapsed="false">
      <c r="A27" s="155"/>
      <c r="B27" s="155"/>
      <c r="C27" s="155"/>
      <c r="D27" s="155"/>
      <c r="E27" s="155"/>
      <c r="F27" s="155"/>
      <c r="G27" s="155"/>
      <c r="H27" s="155"/>
      <c r="I27" s="155"/>
      <c r="J27" s="155"/>
      <c r="K27" s="155"/>
      <c r="L27" s="155"/>
      <c r="M27" s="155"/>
      <c r="N27" s="155"/>
      <c r="O27" s="155"/>
      <c r="P27" s="155"/>
      <c r="Q27" s="155"/>
      <c r="R27" s="155"/>
      <c r="S27" s="155"/>
      <c r="T27" s="155"/>
    </row>
    <row r="28" customFormat="false" ht="69.75" hidden="false" customHeight="true" outlineLevel="0" collapsed="false">
      <c r="A28" s="155"/>
      <c r="B28" s="155"/>
      <c r="C28" s="155"/>
      <c r="D28" s="155"/>
      <c r="E28" s="155"/>
      <c r="F28" s="155"/>
      <c r="G28" s="155"/>
      <c r="H28" s="155"/>
      <c r="I28" s="155"/>
      <c r="J28" s="155"/>
      <c r="K28" s="155"/>
      <c r="L28" s="155"/>
      <c r="M28" s="155"/>
      <c r="N28" s="155"/>
      <c r="O28" s="155"/>
      <c r="P28" s="155"/>
      <c r="Q28" s="155"/>
      <c r="R28" s="155"/>
      <c r="S28" s="155"/>
      <c r="T28" s="155"/>
    </row>
    <row r="29" customFormat="false" ht="69.75" hidden="false" customHeight="true" outlineLevel="0" collapsed="false">
      <c r="A29" s="155"/>
      <c r="B29" s="155"/>
      <c r="C29" s="155"/>
      <c r="D29" s="155"/>
      <c r="E29" s="155"/>
      <c r="F29" s="155"/>
      <c r="G29" s="155"/>
      <c r="H29" s="155"/>
      <c r="I29" s="155"/>
      <c r="J29" s="155"/>
      <c r="K29" s="155"/>
      <c r="L29" s="155"/>
      <c r="M29" s="155"/>
      <c r="N29" s="155"/>
      <c r="O29" s="155"/>
      <c r="P29" s="155"/>
      <c r="Q29" s="155"/>
      <c r="R29" s="155"/>
      <c r="S29" s="155"/>
      <c r="T29" s="155"/>
    </row>
    <row r="30" customFormat="false" ht="69.75" hidden="false" customHeight="true" outlineLevel="0" collapsed="false">
      <c r="A30" s="155"/>
      <c r="B30" s="155"/>
      <c r="C30" s="155"/>
      <c r="D30" s="155"/>
      <c r="E30" s="155"/>
      <c r="F30" s="155"/>
      <c r="G30" s="155"/>
      <c r="H30" s="155"/>
      <c r="I30" s="155"/>
      <c r="J30" s="155"/>
      <c r="K30" s="155"/>
      <c r="L30" s="155"/>
      <c r="M30" s="155"/>
      <c r="N30" s="155"/>
      <c r="O30" s="155"/>
      <c r="P30" s="155"/>
      <c r="Q30" s="155"/>
      <c r="R30" s="155"/>
      <c r="S30" s="155"/>
      <c r="T30" s="155"/>
    </row>
    <row r="31" customFormat="false" ht="69.75" hidden="false" customHeight="true" outlineLevel="0" collapsed="false">
      <c r="A31" s="155"/>
      <c r="B31" s="155"/>
      <c r="C31" s="155"/>
      <c r="D31" s="155"/>
      <c r="E31" s="155"/>
      <c r="F31" s="155"/>
      <c r="G31" s="155"/>
      <c r="H31" s="155"/>
      <c r="I31" s="155"/>
      <c r="J31" s="155"/>
      <c r="K31" s="155"/>
      <c r="L31" s="155"/>
      <c r="M31" s="155"/>
      <c r="N31" s="155"/>
      <c r="O31" s="155"/>
      <c r="P31" s="155"/>
      <c r="Q31" s="155"/>
      <c r="R31" s="155"/>
      <c r="S31" s="155"/>
      <c r="T31" s="155"/>
    </row>
    <row r="32" customFormat="false" ht="69.75" hidden="false" customHeight="true" outlineLevel="0" collapsed="false">
      <c r="A32" s="155"/>
      <c r="B32" s="155"/>
      <c r="C32" s="155"/>
      <c r="D32" s="155"/>
      <c r="E32" s="155"/>
      <c r="F32" s="155"/>
      <c r="G32" s="155"/>
      <c r="H32" s="155"/>
      <c r="I32" s="155"/>
      <c r="J32" s="155"/>
      <c r="K32" s="155"/>
      <c r="L32" s="155"/>
      <c r="M32" s="155"/>
      <c r="N32" s="155"/>
      <c r="O32" s="155"/>
      <c r="P32" s="155"/>
      <c r="Q32" s="155"/>
      <c r="R32" s="155"/>
      <c r="S32" s="155"/>
      <c r="T32" s="155"/>
    </row>
    <row r="33" customFormat="false" ht="69.75" hidden="false" customHeight="true" outlineLevel="0" collapsed="false">
      <c r="A33" s="155"/>
      <c r="B33" s="155"/>
      <c r="C33" s="155"/>
      <c r="D33" s="155"/>
      <c r="E33" s="155"/>
      <c r="F33" s="155"/>
      <c r="G33" s="155"/>
      <c r="H33" s="155"/>
      <c r="I33" s="155"/>
      <c r="J33" s="155"/>
      <c r="K33" s="155"/>
      <c r="L33" s="155"/>
      <c r="M33" s="155"/>
      <c r="N33" s="155"/>
      <c r="O33" s="155"/>
      <c r="P33" s="155"/>
      <c r="Q33" s="155"/>
      <c r="R33" s="155"/>
      <c r="S33" s="155"/>
      <c r="T33" s="155"/>
    </row>
  </sheetData>
  <autoFilter ref="A3:Q20"/>
  <mergeCells count="4">
    <mergeCell ref="A1:S1"/>
    <mergeCell ref="B2:G2"/>
    <mergeCell ref="N2:O2"/>
    <mergeCell ref="Q2:S2"/>
  </mergeCells>
  <conditionalFormatting sqref="A4:S33">
    <cfRule type="expression" priority="2" aboveAverage="0" equalAverage="0" bottom="0" percent="0" rank="0" text="" dxfId="26">
      <formula>OR($S4="Exclude",$T4="⬛ Auto-Excluded")</formula>
    </cfRule>
  </conditionalFormatting>
  <conditionalFormatting sqref="J4:J33">
    <cfRule type="expression" priority="3" aboveAverage="0" equalAverage="0" bottom="0" percent="0" rank="0" text="" dxfId="27">
      <formula>$J4=1</formula>
    </cfRule>
    <cfRule type="expression" priority="4" aboveAverage="0" equalAverage="0" bottom="0" percent="0" rank="0" text="" dxfId="28">
      <formula>$J4=2</formula>
    </cfRule>
    <cfRule type="expression" priority="5" aboveAverage="0" equalAverage="0" bottom="0" percent="0" rank="0" text="" dxfId="29">
      <formula>$J4=3</formula>
    </cfRule>
    <cfRule type="expression" priority="6" aboveAverage="0" equalAverage="0" bottom="0" percent="0" rank="0" text="" dxfId="30">
      <formula>$J4=4</formula>
    </cfRule>
    <cfRule type="expression" priority="7" aboveAverage="0" equalAverage="0" bottom="0" percent="0" rank="0" text="" dxfId="31">
      <formula>$J4=5</formula>
    </cfRule>
  </conditionalFormatting>
  <conditionalFormatting sqref="M4:M33">
    <cfRule type="expression" priority="8" aboveAverage="0" equalAverage="0" bottom="0" percent="0" rank="0" text="" dxfId="32">
      <formula>AND(ISNUMBER($M4),$M4&gt;2)</formula>
    </cfRule>
    <cfRule type="expression" priority="9" aboveAverage="0" equalAverage="0" bottom="0" percent="0" rank="0" text="" dxfId="33">
      <formula>AND(ISNUMBER($M4),$M4&gt;=1,$M4&lt;=2)</formula>
    </cfRule>
    <cfRule type="expression" priority="10" aboveAverage="0" equalAverage="0" bottom="0" percent="0" rank="0" text="" dxfId="34">
      <formula>AND(ISNUMBER($M4),$M4&lt;=0)</formula>
    </cfRule>
  </conditionalFormatting>
  <conditionalFormatting sqref="K4:K33">
    <cfRule type="expression" priority="11" aboveAverage="0" equalAverage="0" bottom="0" percent="0" rank="0" text="" dxfId="35">
      <formula>AND($J4&lt;&gt;"",$K4="")</formula>
    </cfRule>
  </conditionalFormatting>
  <conditionalFormatting sqref="O4:O33">
    <cfRule type="expression" priority="12" aboveAverage="0" equalAverage="0" bottom="0" percent="0" rank="0" text="" dxfId="36">
      <formula>OR($S4="Exclude",$T4="⬛ Auto-Excluded")</formula>
    </cfRule>
  </conditionalFormatting>
  <conditionalFormatting sqref="A4:S19">
    <cfRule type="expression" priority="13" aboveAverage="0" equalAverage="0" bottom="0" percent="0" rank="0" text="" dxfId="37">
      <formula>OR($S4="Exclude",$T4="⬛ Auto-Excluded")</formula>
    </cfRule>
  </conditionalFormatting>
  <conditionalFormatting sqref="J4:J19">
    <cfRule type="expression" priority="14" aboveAverage="0" equalAverage="0" bottom="0" percent="0" rank="0" text="" dxfId="27">
      <formula>$J4=1</formula>
    </cfRule>
    <cfRule type="expression" priority="15" aboveAverage="0" equalAverage="0" bottom="0" percent="0" rank="0" text="" dxfId="28">
      <formula>$J4=2</formula>
    </cfRule>
    <cfRule type="expression" priority="16" aboveAverage="0" equalAverage="0" bottom="0" percent="0" rank="0" text="" dxfId="29">
      <formula>$J4=3</formula>
    </cfRule>
    <cfRule type="expression" priority="17" aboveAverage="0" equalAverage="0" bottom="0" percent="0" rank="0" text="" dxfId="30">
      <formula>$J4=4</formula>
    </cfRule>
    <cfRule type="expression" priority="18" aboveAverage="0" equalAverage="0" bottom="0" percent="0" rank="0" text="" dxfId="31">
      <formula>$J4=5</formula>
    </cfRule>
  </conditionalFormatting>
  <conditionalFormatting sqref="M4:M19">
    <cfRule type="expression" priority="19" aboveAverage="0" equalAverage="0" bottom="0" percent="0" rank="0" text="" dxfId="32">
      <formula>AND(ISNUMBER($M4),$M4&gt;2)</formula>
    </cfRule>
    <cfRule type="expression" priority="20" aboveAverage="0" equalAverage="0" bottom="0" percent="0" rank="0" text="" dxfId="33">
      <formula>AND(ISNUMBER($M4),$M4&gt;=1,$M4&lt;=2)</formula>
    </cfRule>
    <cfRule type="expression" priority="21" aboveAverage="0" equalAverage="0" bottom="0" percent="0" rank="0" text="" dxfId="34">
      <formula>AND(ISNUMBER($M4),$M4&lt;=0)</formula>
    </cfRule>
  </conditionalFormatting>
  <conditionalFormatting sqref="K4:K19">
    <cfRule type="expression" priority="22" aboveAverage="0" equalAverage="0" bottom="0" percent="0" rank="0" text="" dxfId="35">
      <formula>AND($J4&lt;&gt;"",$K4="")</formula>
    </cfRule>
  </conditionalFormatting>
  <dataValidations count="6">
    <dataValidation allowBlank="true" errorStyle="stop" operator="between" prompt="Select the current maturity level.&#10;L3 = Defined is the minimum enterprise baseline.&#10;Column N will auto-show a control-specific description." promptTitle="Maturity Rating" showDropDown="false" showErrorMessage="false" showInputMessage="true" sqref="I20:I33" type="list">
      <formula1>"L1 — Initial,L2 — Developing,L3 — Defined,L4 — Managed,L5 — Optimised"</formula1>
      <formula2>0</formula2>
    </dataValidation>
    <dataValidation allowBlank="true" errorStyle="stop" operator="between" prompt="Select the target maturity level.&#10;Column P will auto-generate a specific improvement recommendation." promptTitle="Target Level" showDropDown="false" showErrorMessage="false" showInputMessage="true" sqref="K20:K33" type="list">
      <formula1>"L1 — Initial,L2 — Developing,L3 — Defined,L4 — Managed,L5 — Optimised"</formula1>
      <formula2>0</formula2>
    </dataValidation>
    <dataValidation allowBlank="true" errorStyle="stop" operator="between" prompt="Leave blank = auto-determined by Scoping tab.&#10;Apply = force include (overrides auto-exclusion).&#10;Exclude = manually remove from scoring and calculations.&#10;&#10;Excluded rows will be greyed out automatically." promptTitle="Scope Override" showDropDown="false" showErrorMessage="false" showInputMessage="true" sqref="S20:S33" type="list">
      <formula1>"Apply,Exclude"</formula1>
      <formula2>0</formula2>
    </dataValidation>
    <dataValidation allowBlank="true" errorStyle="stop" operator="between" prompt="Select the current maturity level.&#10;L3 = Defined is the minimum enterprise baseline." promptTitle="Maturity Rating" showDropDown="false" showErrorMessage="false" showInputMessage="true" sqref="I4:I19" type="list">
      <formula1>"L1 — Initial,L2 — Developing,L3 — Defined,L4 — Managed,L5 — Optimised"</formula1>
      <formula2>0</formula2>
    </dataValidation>
    <dataValidation allowBlank="true" errorStyle="stop" operator="between" prompt="Select the target level. Column P auto-generates a recommendation." promptTitle="Target Level" showDropDown="false" showErrorMessage="false" showInputMessage="true" sqref="K4:K19" type="list">
      <formula1>"L1 — Initial,L2 — Developing,L3 — Defined,L4 — Managed,L5 — Optimised"</formula1>
      <formula2>0</formula2>
    </dataValidation>
    <dataValidation allowBlank="true" errorStyle="stop" operator="between" prompt="Leave blank = auto-determined by Scoping tab.&#10;Apply = force include.&#10;Exclude = remove from scoring." promptTitle="Scope Override" showDropDown="false" showErrorMessage="false" showInputMessage="true" sqref="S4:S19" type="list">
      <formula1>"Apply,Exclude"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5E3A"/>
    <pageSetUpPr fitToPage="false"/>
  </sheetPr>
  <dimension ref="A1:T31"/>
  <sheetViews>
    <sheetView showFormulas="false" showGridLines="false" showRowColHeaders="true" showZeros="true" rightToLeft="false" tabSelected="false" showOutlineSymbols="true" defaultGridColor="true" view="normal" topLeftCell="K1" colorId="64" zoomScale="88" zoomScaleNormal="88" zoomScalePageLayoutView="100" workbookViewId="0">
      <pane xSplit="0" ySplit="3" topLeftCell="A19" activePane="bottomLeft" state="frozen"/>
      <selection pane="topLeft" activeCell="K1" activeCellId="0" sqref="K1"/>
      <selection pane="bottomLeft" activeCell="S19" activeCellId="0" sqref="S19"/>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36"/>
    <col collapsed="false" customWidth="true" hidden="false" outlineLevel="0" max="4" min="4" style="1" width="46"/>
    <col collapsed="false" customWidth="true" hidden="false" outlineLevel="0" max="5" min="5" style="1" width="48"/>
    <col collapsed="false" customWidth="true" hidden="false" outlineLevel="0" max="6" min="6" style="1" width="36"/>
    <col collapsed="false" customWidth="true" hidden="false" outlineLevel="0" max="7" min="7" style="1" width="14"/>
    <col collapsed="false" customWidth="true" hidden="false" outlineLevel="0" max="9" min="8" style="1" width="13"/>
    <col collapsed="false" customWidth="true" hidden="false" outlineLevel="0" max="10" min="10" style="1" width="8"/>
    <col collapsed="false" customWidth="true" hidden="false" outlineLevel="0" max="11" min="11" style="1" width="30"/>
    <col collapsed="false" customWidth="true" hidden="false" outlineLevel="0" max="12" min="12" style="1" width="10"/>
    <col collapsed="false" customWidth="true" hidden="false" outlineLevel="0" max="13" min="13" style="1" width="8"/>
    <col collapsed="false" customWidth="true" hidden="false" outlineLevel="0" max="14" min="14" style="1" width="52"/>
    <col collapsed="false" customWidth="true" hidden="false" outlineLevel="0" max="15" min="15" style="1" width="16"/>
    <col collapsed="false" customWidth="true" hidden="false" outlineLevel="0" max="16" min="16" style="1" width="50"/>
    <col collapsed="false" customWidth="true" hidden="false" outlineLevel="0" max="17" min="17" style="1" width="38"/>
    <col collapsed="false" customWidth="true" hidden="false" outlineLevel="0" max="18" min="18" style="1" width="14"/>
    <col collapsed="false" customWidth="true" hidden="false" outlineLevel="0" max="19" min="19" style="1" width="12"/>
    <col collapsed="false" customWidth="true" hidden="true" outlineLevel="0" max="20" min="20" style="1" width="4"/>
  </cols>
  <sheetData>
    <row r="1" customFormat="false" ht="49.5" hidden="false" customHeight="true" outlineLevel="0" collapsed="false">
      <c r="A1" s="226" t="s">
        <v>1297</v>
      </c>
      <c r="B1" s="226"/>
      <c r="C1" s="226"/>
      <c r="D1" s="226"/>
      <c r="E1" s="226"/>
      <c r="F1" s="226"/>
      <c r="G1" s="226"/>
      <c r="H1" s="226"/>
      <c r="I1" s="226"/>
      <c r="J1" s="226"/>
      <c r="K1" s="226"/>
      <c r="L1" s="226"/>
      <c r="M1" s="226"/>
      <c r="N1" s="226"/>
      <c r="O1" s="226"/>
      <c r="P1" s="226"/>
      <c r="Q1" s="226"/>
      <c r="R1" s="226"/>
      <c r="S1" s="226"/>
      <c r="T1" s="155"/>
    </row>
    <row r="2" customFormat="false" ht="24" hidden="false" customHeight="true" outlineLevel="0" collapsed="false">
      <c r="A2" s="156"/>
      <c r="B2" s="157" t="s">
        <v>469</v>
      </c>
      <c r="C2" s="157"/>
      <c r="D2" s="157"/>
      <c r="E2" s="157"/>
      <c r="F2" s="157"/>
      <c r="G2" s="157"/>
      <c r="H2" s="156"/>
      <c r="I2" s="158" t="s">
        <v>470</v>
      </c>
      <c r="J2" s="159" t="n">
        <f aca="false">IFERROR(AVERAGEIFS(J4:J20,T4:T20,"✅ Applicable"),"—")</f>
        <v>1.07142857142857</v>
      </c>
      <c r="K2" s="158" t="s">
        <v>471</v>
      </c>
      <c r="L2" s="160" t="n">
        <f aca="false">IFERROR(AVERAGEIFS(L4:L20,T4:T20,"✅ Applicable"),"—")</f>
        <v>3.21428571428571</v>
      </c>
      <c r="M2" s="158" t="s">
        <v>472</v>
      </c>
      <c r="N2" s="161" t="str">
        <f aca="false">IFERROR(COUNTIFS(J4:J20,"&lt;&gt;",T4:T20,"✅ Applicable")&amp;" / "&amp;COUNTIF(T4:T20,"✅ Applicable")&amp;" applicable","—")</f>
        <v>14 / 14 applicable</v>
      </c>
      <c r="O2" s="161"/>
      <c r="P2" s="158" t="s">
        <v>473</v>
      </c>
      <c r="Q2" s="162" t="str">
        <f aca="false">COUNTIF(T4:T20,"⬛ Auto-Excluded")&amp;" controls (scoping)"</f>
        <v>0 controls (scoping)</v>
      </c>
      <c r="R2" s="162"/>
      <c r="S2" s="162"/>
      <c r="T2" s="155"/>
    </row>
    <row r="3" customFormat="false" ht="45" hidden="false" customHeight="true" outlineLevel="0" collapsed="false">
      <c r="A3" s="163" t="s">
        <v>474</v>
      </c>
      <c r="B3" s="163" t="s">
        <v>23</v>
      </c>
      <c r="C3" s="163" t="s">
        <v>229</v>
      </c>
      <c r="D3" s="163" t="s">
        <v>475</v>
      </c>
      <c r="E3" s="163" t="s">
        <v>476</v>
      </c>
      <c r="F3" s="163" t="s">
        <v>477</v>
      </c>
      <c r="G3" s="163" t="s">
        <v>478</v>
      </c>
      <c r="H3" s="163" t="s">
        <v>479</v>
      </c>
      <c r="I3" s="163" t="s">
        <v>480</v>
      </c>
      <c r="J3" s="163" t="s">
        <v>481</v>
      </c>
      <c r="K3" s="163" t="s">
        <v>482</v>
      </c>
      <c r="L3" s="163" t="s">
        <v>483</v>
      </c>
      <c r="M3" s="163" t="s">
        <v>142</v>
      </c>
      <c r="N3" s="163" t="s">
        <v>484</v>
      </c>
      <c r="O3" s="163" t="s">
        <v>485</v>
      </c>
      <c r="P3" s="163" t="s">
        <v>486</v>
      </c>
      <c r="Q3" s="163" t="s">
        <v>487</v>
      </c>
      <c r="R3" s="163" t="s">
        <v>233</v>
      </c>
      <c r="S3" s="163" t="s">
        <v>488</v>
      </c>
      <c r="T3" s="163" t="s">
        <v>489</v>
      </c>
    </row>
    <row r="4" customFormat="false" ht="69.75" hidden="false" customHeight="true" outlineLevel="0" collapsed="false">
      <c r="A4" s="104" t="n">
        <v>172</v>
      </c>
      <c r="B4" s="164" t="s">
        <v>1298</v>
      </c>
      <c r="C4" s="165" t="s">
        <v>436</v>
      </c>
      <c r="D4" s="165" t="s">
        <v>1299</v>
      </c>
      <c r="E4" s="165" t="s">
        <v>1300</v>
      </c>
      <c r="F4" s="227" t="s">
        <v>1301</v>
      </c>
      <c r="G4" s="227" t="s">
        <v>1302</v>
      </c>
      <c r="H4" s="168" t="str">
        <f aca="false">HYPERLINK("#'📎 Evidence Register'!C177","ER-172  →  Row 177")</f>
        <v>ER-172  →  Row 177</v>
      </c>
      <c r="I4" s="228" t="s">
        <v>495</v>
      </c>
      <c r="J4" s="170" t="n">
        <f aca="false">IF(I4="","",IF(LEFT(I4,2)="L1",1,IF(LEFT(I4,2)="L2",2,IF(LEFT(I4,2)="L3",3,IF(LEFT(I4,2)="L4",4,IF(LEFT(I4,2)="L5",5,""))))))</f>
        <v>1</v>
      </c>
      <c r="K4" s="229" t="s">
        <v>496</v>
      </c>
      <c r="L4" s="172" t="n">
        <f aca="false">IF(K4="","",IF(LEFT(K4,2)="L1",1,IF(LEFT(K4,2)="L2",2,IF(LEFT(K4,2)="L3",3,IF(LEFT(K4,2)="L4",4,IF(LEFT(K4,2)="L5",5,""))))))</f>
        <v>3</v>
      </c>
      <c r="M4" s="173" t="n">
        <f aca="false">IFERROR(IF(OR(J4="",L4=""),"—",L4-J4),"—")</f>
        <v>2</v>
      </c>
      <c r="N4" s="174" t="str">
        <f aca="false">IFERROR(IF(I4="","⏳ Select a maturity rating to see the level description for this specific control.",INDEX(_DV!$1:$5,MATCH(LEFT(I4,2),{"L1","L2","L3","L4","L5"},0),172)),"⏳ Select a maturity rating.")</f>
        <v>L1 — Initial: Business Continuity Plan (BCP) is absent or ad hoc. No formal process, no documentation, no named owner. Controls exist only reactively after incidents.</v>
      </c>
      <c r="O4" s="108" t="str">
        <f aca="false">IF(S4="Exclude","⬛ Not Applicable",IF(T4="⬛ Auto-Excluded","⬛ Not Applicable",IF(I4="","✅ Applicable",IF(J4=1,"🔴 Critical",IF(J4=2,"🟠 Developing",IF(J4=3,"🟡 Defined",IF(J4&gt;=4,"🟢 Managed","✅ Applicable")))))))</f>
        <v>🔴 Critical</v>
      </c>
      <c r="P4" s="164" t="str">
        <f aca="false">IF(OR(J4="",L4=""),"⏳ Complete rating and target to generate recommendation.",IF(L4&lt;=J4,"✅ Target met — sustain evidence and raise target when programme allows.",IFERROR(INDEX(_REC!$B:$B,MATCH(A4&amp;"|"&amp;IF(L4="","",LEFT(TEXT(L4,"0"),1)),_REC!$A:$A,0)),"Recommendation pending — check _REC data.")))</f>
        <v>Standardise Business Continuity Plan (BCP): formalise all documentation, apply the control consistently across all in-scope assets, close remaining coverage gaps, and ensure evidence is collected routinely. Exceptions must be formally managed with named owners and defined expiry dates.</v>
      </c>
      <c r="Q4" s="175" t="s">
        <v>702</v>
      </c>
      <c r="R4" s="230" t="s">
        <v>284</v>
      </c>
      <c r="S4" s="177"/>
      <c r="T4" s="178" t="str">
        <f aca="false">IF(S4="Exclude","⬛ Excluded",IF(S4="Apply","✅ Applicable","✅ Applicable"))</f>
        <v>✅ Applicable</v>
      </c>
    </row>
    <row r="5" customFormat="false" ht="69.75" hidden="false" customHeight="true" outlineLevel="0" collapsed="false">
      <c r="A5" s="104" t="n">
        <v>173</v>
      </c>
      <c r="B5" s="179" t="s">
        <v>1298</v>
      </c>
      <c r="C5" s="180" t="s">
        <v>437</v>
      </c>
      <c r="D5" s="180" t="s">
        <v>1303</v>
      </c>
      <c r="E5" s="180" t="s">
        <v>1304</v>
      </c>
      <c r="F5" s="231" t="s">
        <v>1305</v>
      </c>
      <c r="G5" s="231" t="s">
        <v>1306</v>
      </c>
      <c r="H5" s="183" t="str">
        <f aca="false">HYPERLINK("#'📎 Evidence Register'!C178","ER-173  →  Row 178")</f>
        <v>ER-173  →  Row 178</v>
      </c>
      <c r="I5" s="228" t="s">
        <v>495</v>
      </c>
      <c r="J5" s="184" t="n">
        <f aca="false">IF(I5="","",IF(LEFT(I5,2)="L1",1,IF(LEFT(I5,2)="L2",2,IF(LEFT(I5,2)="L3",3,IF(LEFT(I5,2)="L4",4,IF(LEFT(I5,2)="L5",5,""))))))</f>
        <v>1</v>
      </c>
      <c r="K5" s="232" t="s">
        <v>496</v>
      </c>
      <c r="L5" s="186" t="n">
        <f aca="false">IF(K5="","",IF(LEFT(K5,2)="L1",1,IF(LEFT(K5,2)="L2",2,IF(LEFT(K5,2)="L3",3,IF(LEFT(K5,2)="L4",4,IF(LEFT(K5,2)="L5",5,""))))))</f>
        <v>3</v>
      </c>
      <c r="M5" s="187" t="n">
        <f aca="false">IFERROR(IF(OR(J5="",L5=""),"—",L5-J5),"—")</f>
        <v>2</v>
      </c>
      <c r="N5" s="188" t="str">
        <f aca="false">IFERROR(IF(I5="","⏳ Select a maturity rating to see the level description for this specific control.",INDEX(_DV!$1:$5,MATCH(LEFT(I5,2),{"L1","L2","L3","L4","L5"},0),173)),"⏳ Select a maturity rating.")</f>
        <v>L1 — Initial: Disaster Recovery Plan (DRP) is absent or ad hoc. No formal process, no documentation, no named owner. Controls exist only reactively after incidents.</v>
      </c>
      <c r="O5" s="113" t="str">
        <f aca="false">IF(S5="Exclude","⬛ Not Applicable",IF(T5="⬛ Auto-Excluded","⬛ Not Applicable",IF(I5="","✅ Applicable",IF(J5=1,"🔴 Critical",IF(J5=2,"🟠 Developing",IF(J5=3,"🟡 Defined",IF(J5&gt;=4,"🟢 Managed","✅ Applicable")))))))</f>
        <v>🔴 Critical</v>
      </c>
      <c r="P5" s="179" t="str">
        <f aca="false">IF(OR(J5="",L5=""),"⏳ Complete rating and target to generate recommendation.",IF(L5&lt;=J5,"✅ Target met — sustain evidence and raise target when programme allows.",IFERROR(INDEX(_REC!$B:$B,MATCH(A5&amp;"|"&amp;IF(L5="","",LEFT(TEXT(L5,"0"),1)),_REC!$A:$A,0)),"Recommendation pending — check _REC data.")))</f>
        <v>Standardise Disaster Recovery Plan (DRP): formalise all documentation, apply the control consistently across all in-scope assets, close remaining coverage gaps, and ensure evidence is collected routinely. Exceptions must be formally managed with named owners and defined expiry dates.</v>
      </c>
      <c r="Q5" s="189" t="s">
        <v>1307</v>
      </c>
      <c r="R5" s="233" t="s">
        <v>284</v>
      </c>
      <c r="S5" s="177"/>
      <c r="T5" s="191" t="str">
        <f aca="false">IF(S5="Exclude","⬛ Excluded",IF(S5="Apply","✅ Applicable","✅ Applicable"))</f>
        <v>✅ Applicable</v>
      </c>
    </row>
    <row r="6" customFormat="false" ht="69.75" hidden="false" customHeight="true" outlineLevel="0" collapsed="false">
      <c r="A6" s="104" t="n">
        <v>174</v>
      </c>
      <c r="B6" s="164" t="s">
        <v>1298</v>
      </c>
      <c r="C6" s="165" t="s">
        <v>438</v>
      </c>
      <c r="D6" s="165" t="s">
        <v>1308</v>
      </c>
      <c r="E6" s="165" t="s">
        <v>1309</v>
      </c>
      <c r="F6" s="227" t="s">
        <v>1310</v>
      </c>
      <c r="G6" s="227" t="s">
        <v>566</v>
      </c>
      <c r="H6" s="168" t="str">
        <f aca="false">HYPERLINK("#'📎 Evidence Register'!C179","ER-174  →  Row 179")</f>
        <v>ER-174  →  Row 179</v>
      </c>
      <c r="I6" s="228" t="s">
        <v>495</v>
      </c>
      <c r="J6" s="170" t="n">
        <f aca="false">IF(I6="","",IF(LEFT(I6,2)="L1",1,IF(LEFT(I6,2)="L2",2,IF(LEFT(I6,2)="L3",3,IF(LEFT(I6,2)="L4",4,IF(LEFT(I6,2)="L5",5,""))))))</f>
        <v>1</v>
      </c>
      <c r="K6" s="229" t="s">
        <v>496</v>
      </c>
      <c r="L6" s="172" t="n">
        <f aca="false">IF(K6="","",IF(LEFT(K6,2)="L1",1,IF(LEFT(K6,2)="L2",2,IF(LEFT(K6,2)="L3",3,IF(LEFT(K6,2)="L4",4,IF(LEFT(K6,2)="L5",5,""))))))</f>
        <v>3</v>
      </c>
      <c r="M6" s="173" t="n">
        <f aca="false">IFERROR(IF(OR(J6="",L6=""),"—",L6-J6),"—")</f>
        <v>2</v>
      </c>
      <c r="N6" s="174" t="str">
        <f aca="false">IFERROR(IF(I6="","⏳ Select a maturity rating to see the level description for this specific control.",INDEX(_DV!$1:$5,MATCH(LEFT(I6,2),{"L1","L2","L3","L4","L5"},0),174)),"⏳ Select a maturity rating.")</f>
        <v>L1 — Initial: Recovery Time Objective (RTO) Validation is absent or ad hoc. No formal process, no documentation, no named owner. Controls exist only reactively after incidents.</v>
      </c>
      <c r="O6" s="108" t="str">
        <f aca="false">IF(S6="Exclude","⬛ Not Applicable",IF(T6="⬛ Auto-Excluded","⬛ Not Applicable",IF(I6="","✅ Applicable",IF(J6=1,"🔴 Critical",IF(J6=2,"🟠 Developing",IF(J6=3,"🟡 Defined",IF(J6&gt;=4,"🟢 Managed","✅ Applicable")))))))</f>
        <v>🔴 Critical</v>
      </c>
      <c r="P6" s="164" t="str">
        <f aca="false">IF(OR(J6="",L6=""),"⏳ Complete rating and target to generate recommendation.",IF(L6&lt;=J6,"✅ Target met — sustain evidence and raise target when programme allows.",IFERROR(INDEX(_REC!$B:$B,MATCH(A6&amp;"|"&amp;IF(L6="","",LEFT(TEXT(L6,"0"),1)),_REC!$A:$A,0)),"Recommendation pending — check _REC data.")))</f>
        <v>Standardise Recovery Time Objective (RTO) Validation: formalise all documentation, apply the control consistently across all in-scope assets, close remaining coverage gaps, and ensure evidence is collected routinely. Exceptions must be formally managed with named owners and defined expiry dates.</v>
      </c>
      <c r="Q6" s="175" t="s">
        <v>849</v>
      </c>
      <c r="R6" s="230" t="s">
        <v>284</v>
      </c>
      <c r="S6" s="177"/>
      <c r="T6" s="178" t="str">
        <f aca="false">IF(S6="Exclude","⬛ Excluded",IF(S6="Apply","✅ Applicable","✅ Applicable"))</f>
        <v>✅ Applicable</v>
      </c>
    </row>
    <row r="7" customFormat="false" ht="69.75" hidden="false" customHeight="true" outlineLevel="0" collapsed="false">
      <c r="A7" s="104" t="n">
        <v>175</v>
      </c>
      <c r="B7" s="179" t="s">
        <v>1298</v>
      </c>
      <c r="C7" s="180" t="s">
        <v>439</v>
      </c>
      <c r="D7" s="180" t="s">
        <v>1311</v>
      </c>
      <c r="E7" s="180" t="s">
        <v>1312</v>
      </c>
      <c r="F7" s="231" t="s">
        <v>1313</v>
      </c>
      <c r="G7" s="231" t="s">
        <v>1314</v>
      </c>
      <c r="H7" s="183" t="str">
        <f aca="false">HYPERLINK("#'📎 Evidence Register'!C180","ER-175  →  Row 180")</f>
        <v>ER-175  →  Row 180</v>
      </c>
      <c r="I7" s="228" t="s">
        <v>508</v>
      </c>
      <c r="J7" s="184" t="n">
        <f aca="false">IF(I7="","",IF(LEFT(I7,2)="L1",1,IF(LEFT(I7,2)="L2",2,IF(LEFT(I7,2)="L3",3,IF(LEFT(I7,2)="L4",4,IF(LEFT(I7,2)="L5",5,""))))))</f>
        <v>2</v>
      </c>
      <c r="K7" s="232" t="s">
        <v>496</v>
      </c>
      <c r="L7" s="186" t="n">
        <f aca="false">IF(K7="","",IF(LEFT(K7,2)="L1",1,IF(LEFT(K7,2)="L2",2,IF(LEFT(K7,2)="L3",3,IF(LEFT(K7,2)="L4",4,IF(LEFT(K7,2)="L5",5,""))))))</f>
        <v>3</v>
      </c>
      <c r="M7" s="187" t="n">
        <f aca="false">IFERROR(IF(OR(J7="",L7=""),"—",L7-J7),"—")</f>
        <v>1</v>
      </c>
      <c r="N7" s="188" t="str">
        <f aca="false">IFERROR(IF(I7="","⏳ Select a maturity rating to see the level description for this specific control.",INDEX(_DV!$1:$5,MATCH(LEFT(I7,2),{"L1","L2","L3","L4","L5"},0),175)),"⏳ Select a maturity rating.")</f>
        <v>L2 — Developing: Recovery Point Objective (RPO) Validation has basic controls in place but coverage is incomplete and execution is manual. Not consistently applied across all in-scope assets. Formal governance is absent.</v>
      </c>
      <c r="O7" s="113" t="str">
        <f aca="false">IF(S7="Exclude","⬛ Not Applicable",IF(T7="⬛ Auto-Excluded","⬛ Not Applicable",IF(I7="","✅ Applicable",IF(J7=1,"🔴 Critical",IF(J7=2,"🟠 Developing",IF(J7=3,"🟡 Defined",IF(J7&gt;=4,"🟢 Managed","✅ Applicable")))))))</f>
        <v>🟠 Developing</v>
      </c>
      <c r="P7" s="179" t="str">
        <f aca="false">IF(OR(J7="",L7=""),"⏳ Complete rating and target to generate recommendation.",IF(L7&lt;=J7,"✅ Target met — sustain evidence and raise target when programme allows.",IFERROR(INDEX(_REC!$B:$B,MATCH(A7&amp;"|"&amp;IF(L7="","",LEFT(TEXT(L7,"0"),1)),_REC!$A:$A,0)),"Recommendation pending — check _REC data.")))</f>
        <v>Standardise Recovery Point Objective (RPO) Validation: formalise all documentation, apply the control consistently across all in-scope assets, close remaining coverage gaps, and ensure evidence is collected routinely. Exceptions must be formally managed with named owners and defined expiry dates.</v>
      </c>
      <c r="Q7" s="189" t="s">
        <v>849</v>
      </c>
      <c r="R7" s="233" t="s">
        <v>284</v>
      </c>
      <c r="S7" s="177"/>
      <c r="T7" s="191" t="str">
        <f aca="false">IF(S7="Exclude","⬛ Excluded",IF(S7="Apply","✅ Applicable","✅ Applicable"))</f>
        <v>✅ Applicable</v>
      </c>
    </row>
    <row r="8" customFormat="false" ht="69.75" hidden="false" customHeight="true" outlineLevel="0" collapsed="false">
      <c r="A8" s="104" t="n">
        <v>176</v>
      </c>
      <c r="B8" s="164" t="s">
        <v>1298</v>
      </c>
      <c r="C8" s="165" t="s">
        <v>440</v>
      </c>
      <c r="D8" s="165" t="s">
        <v>1315</v>
      </c>
      <c r="E8" s="165" t="s">
        <v>1316</v>
      </c>
      <c r="F8" s="227" t="s">
        <v>1317</v>
      </c>
      <c r="G8" s="227" t="s">
        <v>566</v>
      </c>
      <c r="H8" s="168" t="str">
        <f aca="false">HYPERLINK("#'📎 Evidence Register'!C181","ER-176  →  Row 181")</f>
        <v>ER-176  →  Row 181</v>
      </c>
      <c r="I8" s="228" t="s">
        <v>495</v>
      </c>
      <c r="J8" s="170" t="n">
        <f aca="false">IF(I8="","",IF(LEFT(I8,2)="L1",1,IF(LEFT(I8,2)="L2",2,IF(LEFT(I8,2)="L3",3,IF(LEFT(I8,2)="L4",4,IF(LEFT(I8,2)="L5",5,""))))))</f>
        <v>1</v>
      </c>
      <c r="K8" s="229" t="s">
        <v>496</v>
      </c>
      <c r="L8" s="172" t="n">
        <f aca="false">IF(K8="","",IF(LEFT(K8,2)="L1",1,IF(LEFT(K8,2)="L2",2,IF(LEFT(K8,2)="L3",3,IF(LEFT(K8,2)="L4",4,IF(LEFT(K8,2)="L5",5,""))))))</f>
        <v>3</v>
      </c>
      <c r="M8" s="173" t="n">
        <f aca="false">IFERROR(IF(OR(J8="",L8=""),"—",L8-J8),"—")</f>
        <v>2</v>
      </c>
      <c r="N8" s="174" t="str">
        <f aca="false">IFERROR(IF(I8="","⏳ Select a maturity rating to see the level description for this specific control.",INDEX(_DV!$1:$5,MATCH(LEFT(I8,2),{"L1","L2","L3","L4","L5"},0),176)),"⏳ Select a maturity rating.")</f>
        <v>L1 — Initial: Crisis Communications Plan is absent or ad hoc. No formal process, no documentation, no named owner. Controls exist only reactively after incidents.</v>
      </c>
      <c r="O8" s="108" t="str">
        <f aca="false">IF(S8="Exclude","⬛ Not Applicable",IF(T8="⬛ Auto-Excluded","⬛ Not Applicable",IF(I8="","✅ Applicable",IF(J8=1,"🔴 Critical",IF(J8=2,"🟠 Developing",IF(J8=3,"🟡 Defined",IF(J8&gt;=4,"🟢 Managed","✅ Applicable")))))))</f>
        <v>🔴 Critical</v>
      </c>
      <c r="P8" s="164" t="str">
        <f aca="false">IF(OR(J8="",L8=""),"⏳ Complete rating and target to generate recommendation.",IF(L8&lt;=J8,"✅ Target met — sustain evidence and raise target when programme allows.",IFERROR(INDEX(_REC!$B:$B,MATCH(A8&amp;"|"&amp;IF(L8="","",LEFT(TEXT(L8,"0"),1)),_REC!$A:$A,0)),"Recommendation pending — check _REC data.")))</f>
        <v>Standardise Crisis Communications Plan: formalise all documentation, apply the control consistently across all in-scope assets, close remaining coverage gaps, and ensure evidence is collected routinely. Exceptions must be formally managed with named owners and defined expiry dates.</v>
      </c>
      <c r="Q8" s="175" t="s">
        <v>1318</v>
      </c>
      <c r="R8" s="230" t="s">
        <v>240</v>
      </c>
      <c r="S8" s="177"/>
      <c r="T8" s="178" t="str">
        <f aca="false">IF(S8="Exclude","⬛ Excluded",IF(S8="Apply","✅ Applicable","✅ Applicable"))</f>
        <v>✅ Applicable</v>
      </c>
    </row>
    <row r="9" customFormat="false" ht="69.75" hidden="false" customHeight="true" outlineLevel="0" collapsed="false">
      <c r="A9" s="104" t="n">
        <v>177</v>
      </c>
      <c r="B9" s="179" t="s">
        <v>1319</v>
      </c>
      <c r="C9" s="180" t="s">
        <v>441</v>
      </c>
      <c r="D9" s="180" t="s">
        <v>1320</v>
      </c>
      <c r="E9" s="180" t="s">
        <v>1321</v>
      </c>
      <c r="F9" s="231" t="s">
        <v>1322</v>
      </c>
      <c r="G9" s="231" t="s">
        <v>566</v>
      </c>
      <c r="H9" s="183" t="str">
        <f aca="false">HYPERLINK("#'📎 Evidence Register'!C182","ER-177  →  Row 182")</f>
        <v>ER-177  →  Row 182</v>
      </c>
      <c r="I9" s="228" t="s">
        <v>495</v>
      </c>
      <c r="J9" s="184" t="n">
        <f aca="false">IF(I9="","",IF(LEFT(I9,2)="L1",1,IF(LEFT(I9,2)="L2",2,IF(LEFT(I9,2)="L3",3,IF(LEFT(I9,2)="L4",4,IF(LEFT(I9,2)="L5",5,""))))))</f>
        <v>1</v>
      </c>
      <c r="K9" s="232" t="s">
        <v>496</v>
      </c>
      <c r="L9" s="186" t="n">
        <f aca="false">IF(K9="","",IF(LEFT(K9,2)="L1",1,IF(LEFT(K9,2)="L2",2,IF(LEFT(K9,2)="L3",3,IF(LEFT(K9,2)="L4",4,IF(LEFT(K9,2)="L5",5,""))))))</f>
        <v>3</v>
      </c>
      <c r="M9" s="187" t="n">
        <f aca="false">IFERROR(IF(OR(J9="",L9=""),"—",L9-J9),"—")</f>
        <v>2</v>
      </c>
      <c r="N9" s="188" t="str">
        <f aca="false">IFERROR(IF(I9="","⏳ Select a maturity rating to see the level description for this specific control.",INDEX(_DV!$1:$5,MATCH(LEFT(I9,2),{"L1","L2","L3","L4","L5"},0),177)),"⏳ Select a maturity rating.")</f>
        <v>L1 — Initial: Recovery Testing — Full System Failover is absent or ad hoc. No formal process, no documentation, no named owner. Controls exist only reactively after incidents.</v>
      </c>
      <c r="O9" s="113" t="str">
        <f aca="false">IF(S9="Exclude","⬛ Not Applicable",IF(T9="⬛ Auto-Excluded","⬛ Not Applicable",IF(I9="","✅ Applicable",IF(J9=1,"🔴 Critical",IF(J9=2,"🟠 Developing",IF(J9=3,"🟡 Defined",IF(J9&gt;=4,"🟢 Managed","✅ Applicable")))))))</f>
        <v>🔴 Critical</v>
      </c>
      <c r="P9" s="179" t="str">
        <f aca="false">IF(OR(J9="",L9=""),"⏳ Complete rating and target to generate recommendation.",IF(L9&lt;=J9,"✅ Target met — sustain evidence and raise target when programme allows.",IFERROR(INDEX(_REC!$B:$B,MATCH(A9&amp;"|"&amp;IF(L9="","",LEFT(TEXT(L9,"0"),1)),_REC!$A:$A,0)),"Recommendation pending — check _REC data.")))</f>
        <v>Standardise Recovery Testing — Full System Failover: formalise all documentation, apply the control consistently across all in-scope assets, close remaining coverage gaps, and ensure evidence is collected routinely. Exceptions must be formally managed with named owners and defined expiry dates.</v>
      </c>
      <c r="Q9" s="189" t="s">
        <v>1323</v>
      </c>
      <c r="R9" s="233" t="s">
        <v>284</v>
      </c>
      <c r="S9" s="177"/>
      <c r="T9" s="191" t="str">
        <f aca="false">IF(S9="Exclude","⬛ Excluded",IF(S9="Apply","✅ Applicable","✅ Applicable"))</f>
        <v>✅ Applicable</v>
      </c>
    </row>
    <row r="10" customFormat="false" ht="69.75" hidden="false" customHeight="true" outlineLevel="0" collapsed="false">
      <c r="A10" s="104" t="n">
        <v>178</v>
      </c>
      <c r="B10" s="164" t="s">
        <v>1319</v>
      </c>
      <c r="C10" s="165" t="s">
        <v>442</v>
      </c>
      <c r="D10" s="165" t="s">
        <v>1324</v>
      </c>
      <c r="E10" s="165" t="s">
        <v>1325</v>
      </c>
      <c r="F10" s="227"/>
      <c r="G10" s="227"/>
      <c r="H10" s="168" t="str">
        <f aca="false">HYPERLINK("#'📎 Evidence Register'!C183","ER-178  →  Row 183")</f>
        <v>ER-178  →  Row 183</v>
      </c>
      <c r="I10" s="228"/>
      <c r="J10" s="170" t="str">
        <f aca="false">IF(I10="","",IF(LEFT(I10,2)="L1",1,IF(LEFT(I10,2)="L2",2,IF(LEFT(I10,2)="L3",3,IF(LEFT(I10,2)="L4",4,IF(LEFT(I10,2)="L5",5,""))))))</f>
        <v/>
      </c>
      <c r="K10" s="229"/>
      <c r="L10" s="172" t="str">
        <f aca="false">IF(K10="","",IF(LEFT(K10,2)="L1",1,IF(LEFT(K10,2)="L2",2,IF(LEFT(K10,2)="L3",3,IF(LEFT(K10,2)="L4",4,IF(LEFT(K10,2)="L5",5,""))))))</f>
        <v/>
      </c>
      <c r="M10" s="173" t="str">
        <f aca="false">IFERROR(IF(OR(J10="",L10=""),"—",L10-J10),"—")</f>
        <v>—</v>
      </c>
      <c r="N10" s="174" t="str">
        <f aca="false">IFERROR(IF(I10="","⏳ Select a maturity rating to see the level description for this specific control.",INDEX(_DV!$1:$5,MATCH(LEFT(I10,2),{"L1","L2","L3","L4","L5"},0),178)),"⏳ Select a maturity rating.")</f>
        <v>⏳ Select a maturity rating to see the level description for this specific control.</v>
      </c>
      <c r="O10" s="108" t="str">
        <f aca="false">IF(S10="Exclude","⬛ Not Applicable",IF(T10="⬛ Auto-Excluded","⬛ Not Applicable",IF(I10="","✅ Applicable",IF(J10=1,"🔴 Critical",IF(J10=2,"🟠 Developing",IF(J10=3,"🟡 Defined",IF(J10&gt;=4,"🟢 Managed","✅ Applicable")))))))</f>
        <v>⬛ Not Applicable</v>
      </c>
      <c r="P10" s="164" t="str">
        <f aca="false">IF(OR(J10="",L10=""),"⏳ Complete rating and target to generate recommendation.",IF(L10&lt;=J10,"✅ Target met — sustain evidence and raise target when programme allows.",IFERROR(INDEX(_REC!$B:$B,MATCH(A10&amp;"|"&amp;IF(L10="","",LEFT(TEXT(L10,"0"),1)),_REC!$A:$A,0)),"Recommendation pending — check _REC data.")))</f>
        <v>⏳ Complete rating and target to generate recommendation.</v>
      </c>
      <c r="Q10" s="175" t="s">
        <v>1326</v>
      </c>
      <c r="R10" s="230"/>
      <c r="S10" s="177" t="s">
        <v>603</v>
      </c>
      <c r="T10" s="178" t="str">
        <f aca="false">IF(S10="Exclude","⬛ Excluded",IF(S10="Apply","✅ Applicable",IF((('🔍 Scoping'!$E$8="No"))&gt;0,"⬛ Auto-Excluded","✅ Applicable")))</f>
        <v>⬛ Excluded</v>
      </c>
    </row>
    <row r="11" customFormat="false" ht="69.75" hidden="false" customHeight="true" outlineLevel="0" collapsed="false">
      <c r="A11" s="104" t="n">
        <v>179</v>
      </c>
      <c r="B11" s="179" t="s">
        <v>1319</v>
      </c>
      <c r="C11" s="180" t="s">
        <v>443</v>
      </c>
      <c r="D11" s="180" t="s">
        <v>1327</v>
      </c>
      <c r="E11" s="180" t="s">
        <v>1328</v>
      </c>
      <c r="F11" s="231" t="s">
        <v>1329</v>
      </c>
      <c r="G11" s="231" t="s">
        <v>566</v>
      </c>
      <c r="H11" s="183" t="str">
        <f aca="false">HYPERLINK("#'📎 Evidence Register'!C184","ER-179  →  Row 184")</f>
        <v>ER-179  →  Row 184</v>
      </c>
      <c r="I11" s="228" t="s">
        <v>495</v>
      </c>
      <c r="J11" s="184" t="n">
        <f aca="false">IF(I11="","",IF(LEFT(I11,2)="L1",1,IF(LEFT(I11,2)="L2",2,IF(LEFT(I11,2)="L3",3,IF(LEFT(I11,2)="L4",4,IF(LEFT(I11,2)="L5",5,""))))))</f>
        <v>1</v>
      </c>
      <c r="K11" s="232" t="s">
        <v>545</v>
      </c>
      <c r="L11" s="186" t="n">
        <f aca="false">IF(K11="","",IF(LEFT(K11,2)="L1",1,IF(LEFT(K11,2)="L2",2,IF(LEFT(K11,2)="L3",3,IF(LEFT(K11,2)="L4",4,IF(LEFT(K11,2)="L5",5,""))))))</f>
        <v>4</v>
      </c>
      <c r="M11" s="187" t="n">
        <f aca="false">IFERROR(IF(OR(J11="",L11=""),"—",L11-J11),"—")</f>
        <v>3</v>
      </c>
      <c r="N11" s="188" t="str">
        <f aca="false">IFERROR(IF(I11="","⏳ Select a maturity rating to see the level description for this specific control.",INDEX(_DV!$1:$5,MATCH(LEFT(I11,2),{"L1","L2","L3","L4","L5"},0),179)),"⏳ Select a maturity rating.")</f>
        <v>L1 — Initial: Post-Recovery Control Validation is absent or ad hoc. No formal process, no documentation, no named owner. Controls exist only reactively after incidents.</v>
      </c>
      <c r="O11" s="113" t="str">
        <f aca="false">IF(S11="Exclude","⬛ Not Applicable",IF(T11="⬛ Auto-Excluded","⬛ Not Applicable",IF(I11="","✅ Applicable",IF(J11=1,"🔴 Critical",IF(J11=2,"🟠 Developing",IF(J11=3,"🟡 Defined",IF(J11&gt;=4,"🟢 Managed","✅ Applicable")))))))</f>
        <v>🔴 Critical</v>
      </c>
      <c r="P11" s="179" t="str">
        <f aca="false">IF(OR(J11="",L11=""),"⏳ Complete rating and target to generate recommendation.",IF(L11&lt;=J11,"✅ Target met — sustain evidence and raise target when programme allows.",IFERROR(INDEX(_REC!$B:$B,MATCH(A11&amp;"|"&amp;IF(L11="","",LEFT(TEXT(L11,"0"),1)),_REC!$A:$A,0)),"Recommendation pending — check _REC data.")))</f>
        <v>Instrument Post-Recovery Control Validation with measurable KPIs: define performance thresholds (coverage %, SLA adherence, exception count), establish automated telemetry where possible, and integrate reporting into quarterly governance cycles. Evidence must be system-generated and reviewed at each governance cycle.</v>
      </c>
      <c r="Q11" s="189" t="s">
        <v>1330</v>
      </c>
      <c r="R11" s="233" t="s">
        <v>284</v>
      </c>
      <c r="S11" s="177"/>
      <c r="T11" s="191" t="str">
        <f aca="false">IF(S11="Exclude","⬛ Excluded",IF(S11="Apply","✅ Applicable","✅ Applicable"))</f>
        <v>✅ Applicable</v>
      </c>
    </row>
    <row r="12" customFormat="false" ht="69.75" hidden="false" customHeight="true" outlineLevel="0" collapsed="false">
      <c r="A12" s="104" t="n">
        <v>180</v>
      </c>
      <c r="B12" s="164" t="s">
        <v>1319</v>
      </c>
      <c r="C12" s="165" t="s">
        <v>444</v>
      </c>
      <c r="D12" s="165" t="s">
        <v>1331</v>
      </c>
      <c r="E12" s="165" t="s">
        <v>1332</v>
      </c>
      <c r="F12" s="227" t="s">
        <v>1333</v>
      </c>
      <c r="G12" s="227" t="s">
        <v>566</v>
      </c>
      <c r="H12" s="168" t="str">
        <f aca="false">HYPERLINK("#'📎 Evidence Register'!C185","ER-180  →  Row 185")</f>
        <v>ER-180  →  Row 185</v>
      </c>
      <c r="I12" s="228" t="s">
        <v>495</v>
      </c>
      <c r="J12" s="170" t="n">
        <f aca="false">IF(I12="","",IF(LEFT(I12,2)="L1",1,IF(LEFT(I12,2)="L2",2,IF(LEFT(I12,2)="L3",3,IF(LEFT(I12,2)="L4",4,IF(LEFT(I12,2)="L5",5,""))))))</f>
        <v>1</v>
      </c>
      <c r="K12" s="229" t="s">
        <v>545</v>
      </c>
      <c r="L12" s="172" t="n">
        <f aca="false">IF(K12="","",IF(LEFT(K12,2)="L1",1,IF(LEFT(K12,2)="L2",2,IF(LEFT(K12,2)="L3",3,IF(LEFT(K12,2)="L4",4,IF(LEFT(K12,2)="L5",5,""))))))</f>
        <v>4</v>
      </c>
      <c r="M12" s="173" t="n">
        <f aca="false">IFERROR(IF(OR(J12="",L12=""),"—",L12-J12),"—")</f>
        <v>3</v>
      </c>
      <c r="N12" s="174" t="str">
        <f aca="false">IFERROR(IF(I12="","⏳ Select a maturity rating to see the level description for this specific control.",INDEX(_DV!$1:$5,MATCH(LEFT(I12,2),{"L1","L2","L3","L4","L5"},0),180)),"⏳ Select a maturity rating.")</f>
        <v>L1 — Initial: Privacy Capability Restoration is absent or ad hoc. No formal process, no documentation, no named owner. Controls exist only reactively after incidents.</v>
      </c>
      <c r="O12" s="108" t="str">
        <f aca="false">IF(S12="Exclude","⬛ Not Applicable",IF(T12="⬛ Auto-Excluded","⬛ Not Applicable",IF(I12="","✅ Applicable",IF(J12=1,"🔴 Critical",IF(J12=2,"🟠 Developing",IF(J12=3,"🟡 Defined",IF(J12&gt;=4,"🟢 Managed","✅ Applicable")))))))</f>
        <v>🔴 Critical</v>
      </c>
      <c r="P12" s="164" t="str">
        <f aca="false">IF(OR(J12="",L12=""),"⏳ Complete rating and target to generate recommendation.",IF(L12&lt;=J12,"✅ Target met — sustain evidence and raise target when programme allows.",IFERROR(INDEX(_REC!$B:$B,MATCH(A12&amp;"|"&amp;IF(L12="","",LEFT(TEXT(L12,"0"),1)),_REC!$A:$A,0)),"Recommendation pending — check _REC data.")))</f>
        <v>Instrument Privacy Capability Restoration with measurable KPIs: define performance thresholds (coverage %, SLA adherence, exception count), establish automated telemetry where possible, and integrate reporting into quarterly governance cycles. Evidence must be system-generated and reviewed at each governance cycle.</v>
      </c>
      <c r="Q12" s="175" t="s">
        <v>1334</v>
      </c>
      <c r="R12" s="230" t="s">
        <v>252</v>
      </c>
      <c r="S12" s="177"/>
      <c r="T12" s="178" t="str">
        <f aca="false">IF(S12="Exclude","⬛ Excluded",IF(S12="Apply","✅ Applicable",IF((('🔍 Scoping'!$E$6="No"))&gt;0,"⬛ Auto-Excluded","✅ Applicable")))</f>
        <v>✅ Applicable</v>
      </c>
    </row>
    <row r="13" customFormat="false" ht="69.75" hidden="false" customHeight="true" outlineLevel="0" collapsed="false">
      <c r="A13" s="104" t="n">
        <v>181</v>
      </c>
      <c r="B13" s="179" t="s">
        <v>1319</v>
      </c>
      <c r="C13" s="180" t="s">
        <v>445</v>
      </c>
      <c r="D13" s="180" t="s">
        <v>1335</v>
      </c>
      <c r="E13" s="180" t="s">
        <v>1336</v>
      </c>
      <c r="F13" s="231"/>
      <c r="G13" s="231"/>
      <c r="H13" s="183" t="str">
        <f aca="false">HYPERLINK("#'📎 Evidence Register'!C186","ER-181  →  Row 186")</f>
        <v>ER-181  →  Row 186</v>
      </c>
      <c r="I13" s="228"/>
      <c r="J13" s="184" t="str">
        <f aca="false">IF(I13="","",IF(LEFT(I13,2)="L1",1,IF(LEFT(I13,2)="L2",2,IF(LEFT(I13,2)="L3",3,IF(LEFT(I13,2)="L4",4,IF(LEFT(I13,2)="L5",5,""))))))</f>
        <v/>
      </c>
      <c r="K13" s="232"/>
      <c r="L13" s="186" t="str">
        <f aca="false">IF(K13="","",IF(LEFT(K13,2)="L1",1,IF(LEFT(K13,2)="L2",2,IF(LEFT(K13,2)="L3",3,IF(LEFT(K13,2)="L4",4,IF(LEFT(K13,2)="L5",5,""))))))</f>
        <v/>
      </c>
      <c r="M13" s="187" t="str">
        <f aca="false">IFERROR(IF(OR(J13="",L13=""),"—",L13-J13),"—")</f>
        <v>—</v>
      </c>
      <c r="N13" s="188" t="str">
        <f aca="false">IFERROR(IF(I13="","⏳ Select a maturity rating to see the level description for this specific control.",INDEX(_DV!$1:$5,MATCH(LEFT(I13,2),{"L1","L2","L3","L4","L5"},0),181)),"⏳ Select a maturity rating.")</f>
        <v>⏳ Select a maturity rating to see the level description for this specific control.</v>
      </c>
      <c r="O13" s="113" t="str">
        <f aca="false">IF(S13="Exclude","⬛ Not Applicable",IF(T13="⬛ Auto-Excluded","⬛ Not Applicable",IF(I13="","✅ Applicable",IF(J13=1,"🔴 Critical",IF(J13=2,"🟠 Developing",IF(J13=3,"🟡 Defined",IF(J13&gt;=4,"🟢 Managed","✅ Applicable")))))))</f>
        <v>⬛ Not Applicable</v>
      </c>
      <c r="P13" s="179" t="str">
        <f aca="false">IF(OR(J13="",L13=""),"⏳ Complete rating and target to generate recommendation.",IF(L13&lt;=J13,"✅ Target met — sustain evidence and raise target when programme allows.",IFERROR(INDEX(_REC!$B:$B,MATCH(A13&amp;"|"&amp;IF(L13="","",LEFT(TEXT(L13,"0"),1)),_REC!$A:$A,0)),"Recommendation pending — check _REC data.")))</f>
        <v>⏳ Complete rating and target to generate recommendation.</v>
      </c>
      <c r="Q13" s="189" t="s">
        <v>1337</v>
      </c>
      <c r="R13" s="233"/>
      <c r="S13" s="177" t="s">
        <v>603</v>
      </c>
      <c r="T13" s="191" t="str">
        <f aca="false">IF(S13="Exclude","⬛ Excluded",IF(S13="Apply","✅ Applicable",IF((('🔍 Scoping'!$E$26="No"))&gt;0,"⬛ Auto-Excluded","✅ Applicable")))</f>
        <v>⬛ Excluded</v>
      </c>
    </row>
    <row r="14" customFormat="false" ht="69.75" hidden="false" customHeight="true" outlineLevel="0" collapsed="false">
      <c r="A14" s="104" t="n">
        <v>182</v>
      </c>
      <c r="B14" s="164" t="s">
        <v>1319</v>
      </c>
      <c r="C14" s="165" t="s">
        <v>446</v>
      </c>
      <c r="D14" s="165" t="s">
        <v>1338</v>
      </c>
      <c r="E14" s="165" t="s">
        <v>1339</v>
      </c>
      <c r="F14" s="227" t="s">
        <v>1340</v>
      </c>
      <c r="G14" s="227" t="s">
        <v>566</v>
      </c>
      <c r="H14" s="168" t="str">
        <f aca="false">HYPERLINK("#'📎 Evidence Register'!C187","ER-182  →  Row 187")</f>
        <v>ER-182  →  Row 187</v>
      </c>
      <c r="I14" s="228" t="s">
        <v>495</v>
      </c>
      <c r="J14" s="170" t="n">
        <f aca="false">IF(I14="","",IF(LEFT(I14,2)="L1",1,IF(LEFT(I14,2)="L2",2,IF(LEFT(I14,2)="L3",3,IF(LEFT(I14,2)="L4",4,IF(LEFT(I14,2)="L5",5,""))))))</f>
        <v>1</v>
      </c>
      <c r="K14" s="229" t="s">
        <v>545</v>
      </c>
      <c r="L14" s="172" t="n">
        <f aca="false">IF(K14="","",IF(LEFT(K14,2)="L1",1,IF(LEFT(K14,2)="L2",2,IF(LEFT(K14,2)="L3",3,IF(LEFT(K14,2)="L4",4,IF(LEFT(K14,2)="L5",5,""))))))</f>
        <v>4</v>
      </c>
      <c r="M14" s="173" t="n">
        <f aca="false">IFERROR(IF(OR(J14="",L14=""),"—",L14-J14),"—")</f>
        <v>3</v>
      </c>
      <c r="N14" s="174" t="str">
        <f aca="false">IFERROR(IF(I14="","⏳ Select a maturity rating to see the level description for this specific control.",INDEX(_DV!$1:$5,MATCH(LEFT(I14,2),{"L1","L2","L3","L4","L5"},0),182)),"⏳ Select a maturity rating.")</f>
        <v>L1 — Initial: CDE Recovery &amp; PCI Compliance Re-validation is absent or ad hoc. No formal process, no documentation, no named owner. Controls exist only reactively after incidents.</v>
      </c>
      <c r="O14" s="108" t="str">
        <f aca="false">IF(S14="Exclude","⬛ Not Applicable",IF(T14="⬛ Auto-Excluded","⬛ Not Applicable",IF(I14="","✅ Applicable",IF(J14=1,"🔴 Critical",IF(J14=2,"🟠 Developing",IF(J14=3,"🟡 Defined",IF(J14&gt;=4,"🟢 Managed","✅ Applicable")))))))</f>
        <v>🔴 Critical</v>
      </c>
      <c r="P14" s="164" t="str">
        <f aca="false">IF(OR(J14="",L14=""),"⏳ Complete rating and target to generate recommendation.",IF(L14&lt;=J14,"✅ Target met — sustain evidence and raise target when programme allows.",IFERROR(INDEX(_REC!$B:$B,MATCH(A14&amp;"|"&amp;IF(L14="","",LEFT(TEXT(L14,"0"),1)),_REC!$A:$A,0)),"Recommendation pending — check _REC data.")))</f>
        <v>Instrument CDE Recovery &amp; PCI Compliance Re-validation with measurable KPIs: define performance thresholds (coverage %, SLA adherence, exception count), establish automated telemetry where possible, and integrate reporting into quarterly governance cycles. Evidence must be system-generated and reviewed at each governance cycle.</v>
      </c>
      <c r="Q14" s="175" t="s">
        <v>1341</v>
      </c>
      <c r="R14" s="230" t="s">
        <v>287</v>
      </c>
      <c r="S14" s="177"/>
      <c r="T14" s="178" t="str">
        <f aca="false">IF(S14="Exclude","⬛ Excluded",IF(S14="Apply","✅ Applicable",IF((('🔍 Scoping'!$E$9="No"))&gt;0,"⬛ Auto-Excluded","✅ Applicable")))</f>
        <v>✅ Applicable</v>
      </c>
    </row>
    <row r="15" customFormat="false" ht="69.75" hidden="false" customHeight="true" outlineLevel="0" collapsed="false">
      <c r="A15" s="104" t="n">
        <v>183</v>
      </c>
      <c r="B15" s="179" t="s">
        <v>1342</v>
      </c>
      <c r="C15" s="180" t="s">
        <v>447</v>
      </c>
      <c r="D15" s="180" t="s">
        <v>1343</v>
      </c>
      <c r="E15" s="180" t="s">
        <v>1344</v>
      </c>
      <c r="F15" s="231" t="s">
        <v>1345</v>
      </c>
      <c r="G15" s="231" t="s">
        <v>566</v>
      </c>
      <c r="H15" s="183" t="str">
        <f aca="false">HYPERLINK("#'📎 Evidence Register'!C188","ER-183  →  Row 188")</f>
        <v>ER-183  →  Row 188</v>
      </c>
      <c r="I15" s="228" t="s">
        <v>495</v>
      </c>
      <c r="J15" s="184" t="n">
        <f aca="false">IF(I15="","",IF(LEFT(I15,2)="L1",1,IF(LEFT(I15,2)="L2",2,IF(LEFT(I15,2)="L3",3,IF(LEFT(I15,2)="L4",4,IF(LEFT(I15,2)="L5",5,""))))))</f>
        <v>1</v>
      </c>
      <c r="K15" s="232" t="s">
        <v>496</v>
      </c>
      <c r="L15" s="186" t="n">
        <f aca="false">IF(K15="","",IF(LEFT(K15,2)="L1",1,IF(LEFT(K15,2)="L2",2,IF(LEFT(K15,2)="L3",3,IF(LEFT(K15,2)="L4",4,IF(LEFT(K15,2)="L5",5,""))))))</f>
        <v>3</v>
      </c>
      <c r="M15" s="187" t="n">
        <f aca="false">IFERROR(IF(OR(J15="",L15=""),"—",L15-J15),"—")</f>
        <v>2</v>
      </c>
      <c r="N15" s="188" t="str">
        <f aca="false">IFERROR(IF(I15="","⏳ Select a maturity rating to see the level description for this specific control.",INDEX(_DV!$1:$5,MATCH(LEFT(I15,2),{"L1","L2","L3","L4","L5"},0),183)),"⏳ Select a maturity rating.")</f>
        <v>L1 — Initial: Continuity Testing — Tabletop &amp; Simulation is absent or ad hoc. No formal process, no documentation, no named owner. Controls exist only reactively after incidents.</v>
      </c>
      <c r="O15" s="113" t="str">
        <f aca="false">IF(S15="Exclude","⬛ Not Applicable",IF(T15="⬛ Auto-Excluded","⬛ Not Applicable",IF(I15="","✅ Applicable",IF(J15=1,"🔴 Critical",IF(J15=2,"🟠 Developing",IF(J15=3,"🟡 Defined",IF(J15&gt;=4,"🟢 Managed","✅ Applicable")))))))</f>
        <v>🔴 Critical</v>
      </c>
      <c r="P15" s="179" t="str">
        <f aca="false">IF(OR(J15="",L15=""),"⏳ Complete rating and target to generate recommendation.",IF(L15&lt;=J15,"✅ Target met — sustain evidence and raise target when programme allows.",IFERROR(INDEX(_REC!$B:$B,MATCH(A15&amp;"|"&amp;IF(L15="","",LEFT(TEXT(L15,"0"),1)),_REC!$A:$A,0)),"Recommendation pending — check _REC data.")))</f>
        <v>Standardise Continuity Testing — Tabletop &amp; Simulation: formalise all documentation, apply the control consistently across all in-scope assets, close remaining coverage gaps, and ensure evidence is collected routinely. Exceptions must be formally managed with named owners and defined expiry dates.</v>
      </c>
      <c r="Q15" s="189" t="s">
        <v>1346</v>
      </c>
      <c r="R15" s="233" t="s">
        <v>284</v>
      </c>
      <c r="S15" s="177"/>
      <c r="T15" s="191" t="str">
        <f aca="false">IF(S15="Exclude","⬛ Excluded",IF(S15="Apply","✅ Applicable","✅ Applicable"))</f>
        <v>✅ Applicable</v>
      </c>
    </row>
    <row r="16" customFormat="false" ht="69.75" hidden="false" customHeight="true" outlineLevel="0" collapsed="false">
      <c r="A16" s="104" t="n">
        <v>184</v>
      </c>
      <c r="B16" s="164" t="s">
        <v>1342</v>
      </c>
      <c r="C16" s="165" t="s">
        <v>448</v>
      </c>
      <c r="D16" s="165" t="s">
        <v>1347</v>
      </c>
      <c r="E16" s="165" t="s">
        <v>1348</v>
      </c>
      <c r="F16" s="227" t="s">
        <v>1349</v>
      </c>
      <c r="G16" s="227" t="s">
        <v>566</v>
      </c>
      <c r="H16" s="168" t="str">
        <f aca="false">HYPERLINK("#'📎 Evidence Register'!C189","ER-184  →  Row 189")</f>
        <v>ER-184  →  Row 189</v>
      </c>
      <c r="I16" s="228" t="s">
        <v>495</v>
      </c>
      <c r="J16" s="170" t="n">
        <f aca="false">IF(I16="","",IF(LEFT(I16,2)="L1",1,IF(LEFT(I16,2)="L2",2,IF(LEFT(I16,2)="L3",3,IF(LEFT(I16,2)="L4",4,IF(LEFT(I16,2)="L5",5,""))))))</f>
        <v>1</v>
      </c>
      <c r="K16" s="229" t="s">
        <v>496</v>
      </c>
      <c r="L16" s="172" t="n">
        <f aca="false">IF(K16="","",IF(LEFT(K16,2)="L1",1,IF(LEFT(K16,2)="L2",2,IF(LEFT(K16,2)="L3",3,IF(LEFT(K16,2)="L4",4,IF(LEFT(K16,2)="L5",5,""))))))</f>
        <v>3</v>
      </c>
      <c r="M16" s="173" t="n">
        <f aca="false">IFERROR(IF(OR(J16="",L16=""),"—",L16-J16),"—")</f>
        <v>2</v>
      </c>
      <c r="N16" s="174" t="str">
        <f aca="false">IFERROR(IF(I16="","⏳ Select a maturity rating to see the level description for this specific control.",INDEX(_DV!$1:$5,MATCH(LEFT(I16,2),{"L1","L2","L3","L4","L5"},0),184)),"⏳ Select a maturity rating.")</f>
        <v>L1 — Initial: Lessons Learned — Continuity Programme Integration is absent or ad hoc. No formal process, no documentation, no named owner. Controls exist only reactively after incidents.</v>
      </c>
      <c r="O16" s="108" t="str">
        <f aca="false">IF(S16="Exclude","⬛ Not Applicable",IF(T16="⬛ Auto-Excluded","⬛ Not Applicable",IF(I16="","✅ Applicable",IF(J16=1,"🔴 Critical",IF(J16=2,"🟠 Developing",IF(J16=3,"🟡 Defined",IF(J16&gt;=4,"🟢 Managed","✅ Applicable")))))))</f>
        <v>🔴 Critical</v>
      </c>
      <c r="P16" s="164" t="str">
        <f aca="false">IF(OR(J16="",L16=""),"⏳ Complete rating and target to generate recommendation.",IF(L16&lt;=J16,"✅ Target met — sustain evidence and raise target when programme allows.",IFERROR(INDEX(_REC!$B:$B,MATCH(A16&amp;"|"&amp;IF(L16="","",LEFT(TEXT(L16,"0"),1)),_REC!$A:$A,0)),"Recommendation pending — check _REC data.")))</f>
        <v>Standardise Lessons Learned — Continuity Programme Integration: formalise all documentation, apply the control consistently across all in-scope assets, close remaining coverage gaps, and ensure evidence is collected routinely. Exceptions must be formally managed with named owners and defined expiry dates.</v>
      </c>
      <c r="Q16" s="175" t="s">
        <v>1350</v>
      </c>
      <c r="R16" s="230" t="s">
        <v>284</v>
      </c>
      <c r="S16" s="177"/>
      <c r="T16" s="178" t="str">
        <f aca="false">IF(S16="Exclude","⬛ Excluded",IF(S16="Apply","✅ Applicable","✅ Applicable"))</f>
        <v>✅ Applicable</v>
      </c>
    </row>
    <row r="17" customFormat="false" ht="69.75" hidden="false" customHeight="true" outlineLevel="0" collapsed="false">
      <c r="A17" s="104" t="n">
        <v>185</v>
      </c>
      <c r="B17" s="179" t="s">
        <v>1342</v>
      </c>
      <c r="C17" s="180" t="s">
        <v>449</v>
      </c>
      <c r="D17" s="180" t="s">
        <v>1351</v>
      </c>
      <c r="E17" s="180" t="s">
        <v>1352</v>
      </c>
      <c r="F17" s="231" t="s">
        <v>1353</v>
      </c>
      <c r="G17" s="231" t="s">
        <v>566</v>
      </c>
      <c r="H17" s="183" t="str">
        <f aca="false">HYPERLINK("#'📎 Evidence Register'!C190","ER-185  →  Row 190")</f>
        <v>ER-185  →  Row 190</v>
      </c>
      <c r="I17" s="228" t="s">
        <v>495</v>
      </c>
      <c r="J17" s="184" t="n">
        <f aca="false">IF(I17="","",IF(LEFT(I17,2)="L1",1,IF(LEFT(I17,2)="L2",2,IF(LEFT(I17,2)="L3",3,IF(LEFT(I17,2)="L4",4,IF(LEFT(I17,2)="L5",5,""))))))</f>
        <v>1</v>
      </c>
      <c r="K17" s="232" t="s">
        <v>496</v>
      </c>
      <c r="L17" s="186" t="n">
        <f aca="false">IF(K17="","",IF(LEFT(K17,2)="L1",1,IF(LEFT(K17,2)="L2",2,IF(LEFT(K17,2)="L3",3,IF(LEFT(K17,2)="L4",4,IF(LEFT(K17,2)="L5",5,""))))))</f>
        <v>3</v>
      </c>
      <c r="M17" s="187" t="n">
        <f aca="false">IFERROR(IF(OR(J17="",L17=""),"—",L17-J17),"—")</f>
        <v>2</v>
      </c>
      <c r="N17" s="188" t="str">
        <f aca="false">IFERROR(IF(I17="","⏳ Select a maturity rating to see the level description for this specific control.",INDEX(_DV!$1:$5,MATCH(LEFT(I17,2),{"L1","L2","L3","L4","L5"},0),185)),"⏳ Select a maturity rating.")</f>
        <v>L1 — Initial: Business Service Recovery Validation is absent or ad hoc. No formal process, no documentation, no named owner. Controls exist only reactively after incidents.</v>
      </c>
      <c r="O17" s="113" t="str">
        <f aca="false">IF(S17="Exclude","⬛ Not Applicable",IF(T17="⬛ Auto-Excluded","⬛ Not Applicable",IF(I17="","✅ Applicable",IF(J17=1,"🔴 Critical",IF(J17=2,"🟠 Developing",IF(J17=3,"🟡 Defined",IF(J17&gt;=4,"🟢 Managed","✅ Applicable")))))))</f>
        <v>🔴 Critical</v>
      </c>
      <c r="P17" s="179" t="str">
        <f aca="false">IF(OR(J17="",L17=""),"⏳ Complete rating and target to generate recommendation.",IF(L17&lt;=J17,"✅ Target met — sustain evidence and raise target when programme allows.",IFERROR(INDEX(_REC!$B:$B,MATCH(A17&amp;"|"&amp;IF(L17="","",LEFT(TEXT(L17,"0"),1)),_REC!$A:$A,0)),"Recommendation pending — check _REC data.")))</f>
        <v>Standardise Business Service Recovery Validation: formalise all documentation, apply the control consistently across all in-scope assets, close remaining coverage gaps, and ensure evidence is collected routinely. Exceptions must be formally managed with named owners and defined expiry dates.</v>
      </c>
      <c r="Q17" s="189" t="s">
        <v>1354</v>
      </c>
      <c r="R17" s="233" t="s">
        <v>284</v>
      </c>
      <c r="S17" s="177"/>
      <c r="T17" s="191" t="str">
        <f aca="false">IF(S17="Exclude","⬛ Excluded",IF(S17="Apply","✅ Applicable","✅ Applicable"))</f>
        <v>✅ Applicable</v>
      </c>
    </row>
    <row r="18" customFormat="false" ht="69.75" hidden="false" customHeight="true" outlineLevel="0" collapsed="false">
      <c r="A18" s="104" t="n">
        <v>186</v>
      </c>
      <c r="B18" s="164" t="s">
        <v>1342</v>
      </c>
      <c r="C18" s="165" t="s">
        <v>450</v>
      </c>
      <c r="D18" s="165" t="s">
        <v>1355</v>
      </c>
      <c r="E18" s="165" t="s">
        <v>1356</v>
      </c>
      <c r="F18" s="227" t="s">
        <v>1357</v>
      </c>
      <c r="G18" s="227" t="s">
        <v>566</v>
      </c>
      <c r="H18" s="168" t="str">
        <f aca="false">HYPERLINK("#'📎 Evidence Register'!C191","ER-186  →  Row 191")</f>
        <v>ER-186  →  Row 191</v>
      </c>
      <c r="I18" s="228" t="s">
        <v>495</v>
      </c>
      <c r="J18" s="170" t="n">
        <f aca="false">IF(I18="","",IF(LEFT(I18,2)="L1",1,IF(LEFT(I18,2)="L2",2,IF(LEFT(I18,2)="L3",3,IF(LEFT(I18,2)="L4",4,IF(LEFT(I18,2)="L5",5,""))))))</f>
        <v>1</v>
      </c>
      <c r="K18" s="229" t="s">
        <v>496</v>
      </c>
      <c r="L18" s="172" t="n">
        <f aca="false">IF(K18="","",IF(LEFT(K18,2)="L1",1,IF(LEFT(K18,2)="L2",2,IF(LEFT(K18,2)="L3",3,IF(LEFT(K18,2)="L4",4,IF(LEFT(K18,2)="L5",5,""))))))</f>
        <v>3</v>
      </c>
      <c r="M18" s="173" t="n">
        <f aca="false">IFERROR(IF(OR(J18="",L18=""),"—",L18-J18),"—")</f>
        <v>2</v>
      </c>
      <c r="N18" s="174" t="str">
        <f aca="false">IFERROR(IF(I18="","⏳ Select a maturity rating to see the level description for this specific control.",INDEX(_DV!$1:$5,MATCH(LEFT(I18,2),{"L1","L2","L3","L4","L5"},0),186)),"⏳ Select a maturity rating.")</f>
        <v>L1 — Initial: Recovery Metrics — RTO/RPO Achievement Tracking is absent or ad hoc. No formal process, no documentation, no named owner. Controls exist only reactively after incidents.</v>
      </c>
      <c r="O18" s="108" t="str">
        <f aca="false">IF(S18="Exclude","⬛ Not Applicable",IF(T18="⬛ Auto-Excluded","⬛ Not Applicable",IF(I18="","✅ Applicable",IF(J18=1,"🔴 Critical",IF(J18=2,"🟠 Developing",IF(J18=3,"🟡 Defined",IF(J18&gt;=4,"🟢 Managed","✅ Applicable")))))))</f>
        <v>🔴 Critical</v>
      </c>
      <c r="P18" s="164" t="str">
        <f aca="false">IF(OR(J18="",L18=""),"⏳ Complete rating and target to generate recommendation.",IF(L18&lt;=J18,"✅ Target met — sustain evidence and raise target when programme allows.",IFERROR(INDEX(_REC!$B:$B,MATCH(A18&amp;"|"&amp;IF(L18="","",LEFT(TEXT(L18,"0"),1)),_REC!$A:$A,0)),"Recommendation pending — check _REC data.")))</f>
        <v>Standardise Recovery Metrics — RTO/RPO Achievement Tracking: formalise all documentation, apply the control consistently across all in-scope assets, close remaining coverage gaps, and ensure evidence is collected routinely. Exceptions must be formally managed with named owners and defined expiry dates.</v>
      </c>
      <c r="Q18" s="175" t="s">
        <v>849</v>
      </c>
      <c r="R18" s="230" t="s">
        <v>284</v>
      </c>
      <c r="S18" s="177"/>
      <c r="T18" s="178" t="str">
        <f aca="false">IF(S18="Exclude","⬛ Excluded",IF(S18="Apply","✅ Applicable","✅ Applicable"))</f>
        <v>✅ Applicable</v>
      </c>
    </row>
    <row r="19" customFormat="false" ht="69.75" hidden="false" customHeight="true" outlineLevel="0" collapsed="false">
      <c r="A19" s="104" t="n">
        <v>187</v>
      </c>
      <c r="B19" s="179" t="s">
        <v>1342</v>
      </c>
      <c r="C19" s="180" t="s">
        <v>451</v>
      </c>
      <c r="D19" s="180" t="s">
        <v>1358</v>
      </c>
      <c r="E19" s="180" t="s">
        <v>1359</v>
      </c>
      <c r="F19" s="231"/>
      <c r="G19" s="231"/>
      <c r="H19" s="183" t="str">
        <f aca="false">HYPERLINK("#'📎 Evidence Register'!C192","ER-187  →  Row 192")</f>
        <v>ER-187  →  Row 192</v>
      </c>
      <c r="I19" s="228"/>
      <c r="J19" s="184" t="str">
        <f aca="false">IF(I19="","",IF(LEFT(I19,2)="L1",1,IF(LEFT(I19,2)="L2",2,IF(LEFT(I19,2)="L3",3,IF(LEFT(I19,2)="L4",4,IF(LEFT(I19,2)="L5",5,""))))))</f>
        <v/>
      </c>
      <c r="K19" s="232"/>
      <c r="L19" s="186" t="str">
        <f aca="false">IF(K19="","",IF(LEFT(K19,2)="L1",1,IF(LEFT(K19,2)="L2",2,IF(LEFT(K19,2)="L3",3,IF(LEFT(K19,2)="L4",4,IF(LEFT(K19,2)="L5",5,""))))))</f>
        <v/>
      </c>
      <c r="M19" s="187" t="str">
        <f aca="false">IFERROR(IF(OR(J19="",L19=""),"—",L19-J19),"—")</f>
        <v>—</v>
      </c>
      <c r="N19" s="188" t="str">
        <f aca="false">IFERROR(IF(I19="","⏳ Select a maturity rating to see the level description for this specific control.",INDEX(_DV!$1:$5,MATCH(LEFT(I19,2),{"L1","L2","L3","L4","L5"},0),187)),"⏳ Select a maturity rating.")</f>
        <v>⏳ Select a maturity rating to see the level description for this specific control.</v>
      </c>
      <c r="O19" s="113" t="str">
        <f aca="false">IF(S19="Exclude","⬛ Not Applicable",IF(T19="⬛ Auto-Excluded","⬛ Not Applicable",IF(I19="","✅ Applicable",IF(J19=1,"🔴 Critical",IF(J19=2,"🟠 Developing",IF(J19=3,"🟡 Defined",IF(J19&gt;=4,"🟢 Managed","✅ Applicable")))))))</f>
        <v>⬛ Not Applicable</v>
      </c>
      <c r="P19" s="179" t="str">
        <f aca="false">IF(OR(J19="",L19=""),"⏳ Complete rating and target to generate recommendation.",IF(L19&lt;=J19,"✅ Target met — sustain evidence and raise target when programme allows.",IFERROR(INDEX(_REC!$B:$B,MATCH(A19&amp;"|"&amp;IF(L19="","",LEFT(TEXT(L19,"0"),1)),_REC!$A:$A,0)),"Recommendation pending — check _REC data.")))</f>
        <v>⏳ Complete rating and target to generate recommendation.</v>
      </c>
      <c r="Q19" s="189" t="s">
        <v>1360</v>
      </c>
      <c r="R19" s="233"/>
      <c r="S19" s="177" t="s">
        <v>603</v>
      </c>
      <c r="T19" s="191" t="str">
        <f aca="false">IF(S19="Exclude","⬛ Excluded",IF(S19="Apply","✅ Applicable",IF((('🔍 Scoping'!$E$21="No"))&gt;0,"⬛ Auto-Excluded","✅ Applicable")))</f>
        <v>⬛ Excluded</v>
      </c>
    </row>
    <row r="20" customFormat="false" ht="69.75" hidden="false" customHeight="true" outlineLevel="0" collapsed="false">
      <c r="A20" s="104" t="n">
        <v>188</v>
      </c>
      <c r="B20" s="164" t="s">
        <v>1361</v>
      </c>
      <c r="C20" s="165" t="s">
        <v>452</v>
      </c>
      <c r="D20" s="165" t="s">
        <v>1362</v>
      </c>
      <c r="E20" s="165" t="s">
        <v>1363</v>
      </c>
      <c r="F20" s="227" t="s">
        <v>1364</v>
      </c>
      <c r="G20" s="227" t="s">
        <v>566</v>
      </c>
      <c r="H20" s="168" t="str">
        <f aca="false">HYPERLINK("#'📎 Evidence Register'!C193","ER-188  →  Row 193")</f>
        <v>ER-188  →  Row 193</v>
      </c>
      <c r="I20" s="228" t="s">
        <v>495</v>
      </c>
      <c r="J20" s="170" t="n">
        <f aca="false">IF(I20="","",IF(LEFT(I20,2)="L1",1,IF(LEFT(I20,2)="L2",2,IF(LEFT(I20,2)="L3",3,IF(LEFT(I20,2)="L4",4,IF(LEFT(I20,2)="L5",5,""))))))</f>
        <v>1</v>
      </c>
      <c r="K20" s="229" t="s">
        <v>496</v>
      </c>
      <c r="L20" s="172" t="n">
        <f aca="false">IF(K20="","",IF(LEFT(K20,2)="L1",1,IF(LEFT(K20,2)="L2",2,IF(LEFT(K20,2)="L3",3,IF(LEFT(K20,2)="L4",4,IF(LEFT(K20,2)="L5",5,""))))))</f>
        <v>3</v>
      </c>
      <c r="M20" s="173" t="n">
        <f aca="false">IFERROR(IF(OR(J20="",L20=""),"—",L20-J20),"—")</f>
        <v>2</v>
      </c>
      <c r="N20" s="174" t="str">
        <f aca="false">IFERROR(IF(I20="","⏳ Select a maturity rating to see the level description for this specific control.",INDEX(_DV!$1:$5,MATCH(LEFT(I20,2),{"L1","L2","L3","L4","L5"},0),188)),"⏳ Select a maturity rating.")</f>
        <v>L1 — Initial: Supplier Resilience Assessment is absent or ad hoc. No formal process, no documentation, no named owner. Controls exist only reactively after incidents.</v>
      </c>
      <c r="O20" s="108" t="str">
        <f aca="false">IF(S20="Exclude","⬛ Not Applicable",IF(T20="⬛ Auto-Excluded","⬛ Not Applicable",IF(I20="","✅ Applicable",IF(J20=1,"🔴 Critical",IF(J20=2,"🟠 Developing",IF(J20=3,"🟡 Defined",IF(J20&gt;=4,"🟢 Managed","✅ Applicable")))))))</f>
        <v>🔴 Critical</v>
      </c>
      <c r="P20" s="164" t="str">
        <f aca="false">IF(OR(J20="",L20=""),"⏳ Complete rating and target to generate recommendation.",IF(L20&lt;=J20,"✅ Target met — sustain evidence and raise target when programme allows.",IFERROR(INDEX(_REC!$B:$B,MATCH(A20&amp;"|"&amp;IF(L20="","",LEFT(TEXT(L20,"0"),1)),_REC!$A:$A,0)),"Recommendation pending — check _REC data.")))</f>
        <v>Standardise Supplier Resilience Assessment: formalise all documentation, apply the control consistently across all in-scope assets, close remaining coverage gaps, and ensure evidence is collected routinely. Exceptions must be formally managed with named owners and defined expiry dates.</v>
      </c>
      <c r="Q20" s="175" t="s">
        <v>1365</v>
      </c>
      <c r="R20" s="230" t="s">
        <v>261</v>
      </c>
      <c r="S20" s="177"/>
      <c r="T20" s="178" t="str">
        <f aca="false">IF(S20="Exclude","⬛ Excluded",IF(S20="Apply","✅ Applicable","✅ Applicable"))</f>
        <v>✅ Applicable</v>
      </c>
    </row>
    <row r="21" customFormat="false" ht="69.75" hidden="false" customHeight="true" outlineLevel="0" collapsed="false">
      <c r="A21" s="155"/>
      <c r="B21" s="155"/>
      <c r="C21" s="155"/>
      <c r="D21" s="155"/>
      <c r="E21" s="155"/>
      <c r="F21" s="155"/>
      <c r="G21" s="155"/>
      <c r="H21" s="155"/>
      <c r="I21" s="155"/>
      <c r="J21" s="155"/>
      <c r="K21" s="155"/>
      <c r="L21" s="155"/>
      <c r="M21" s="155"/>
      <c r="N21" s="155"/>
      <c r="O21" s="155"/>
      <c r="P21" s="155"/>
      <c r="Q21" s="155"/>
      <c r="R21" s="155"/>
      <c r="S21" s="155"/>
      <c r="T21" s="155"/>
    </row>
    <row r="22" customFormat="false" ht="69.75" hidden="false" customHeight="true" outlineLevel="0" collapsed="false">
      <c r="A22" s="155"/>
      <c r="B22" s="155"/>
      <c r="C22" s="155"/>
      <c r="D22" s="155"/>
      <c r="E22" s="155"/>
      <c r="F22" s="155"/>
      <c r="G22" s="155"/>
      <c r="H22" s="155"/>
      <c r="I22" s="155"/>
      <c r="J22" s="155"/>
      <c r="K22" s="155"/>
      <c r="L22" s="155"/>
      <c r="M22" s="155"/>
      <c r="N22" s="155"/>
      <c r="O22" s="155"/>
      <c r="P22" s="155"/>
      <c r="Q22" s="155"/>
      <c r="R22" s="155"/>
      <c r="S22" s="155"/>
      <c r="T22" s="155"/>
    </row>
    <row r="23" customFormat="false" ht="69.75" hidden="false" customHeight="true" outlineLevel="0" collapsed="false">
      <c r="A23" s="155"/>
      <c r="B23" s="155"/>
      <c r="C23" s="155"/>
      <c r="D23" s="155"/>
      <c r="E23" s="155"/>
      <c r="F23" s="155"/>
      <c r="G23" s="155"/>
      <c r="H23" s="155"/>
      <c r="I23" s="155"/>
      <c r="J23" s="155"/>
      <c r="K23" s="155"/>
      <c r="L23" s="155"/>
      <c r="M23" s="155"/>
      <c r="N23" s="155"/>
      <c r="O23" s="155"/>
      <c r="P23" s="155"/>
      <c r="Q23" s="155"/>
      <c r="R23" s="155"/>
      <c r="S23" s="155"/>
      <c r="T23" s="155"/>
    </row>
    <row r="24" customFormat="false" ht="69.75" hidden="false" customHeight="true" outlineLevel="0" collapsed="false">
      <c r="A24" s="155"/>
      <c r="B24" s="155"/>
      <c r="C24" s="155"/>
      <c r="D24" s="155"/>
      <c r="E24" s="155"/>
      <c r="F24" s="155"/>
      <c r="G24" s="155"/>
      <c r="H24" s="155"/>
      <c r="I24" s="155"/>
      <c r="J24" s="155"/>
      <c r="K24" s="155"/>
      <c r="L24" s="155"/>
      <c r="M24" s="155"/>
      <c r="N24" s="155"/>
      <c r="O24" s="155"/>
      <c r="P24" s="155"/>
      <c r="Q24" s="155"/>
      <c r="R24" s="155"/>
      <c r="S24" s="155"/>
      <c r="T24" s="155"/>
    </row>
    <row r="25" customFormat="false" ht="69.75" hidden="false" customHeight="true" outlineLevel="0" collapsed="false">
      <c r="A25" s="155"/>
      <c r="B25" s="155"/>
      <c r="C25" s="155"/>
      <c r="D25" s="155"/>
      <c r="E25" s="155"/>
      <c r="F25" s="155"/>
      <c r="G25" s="155"/>
      <c r="H25" s="155"/>
      <c r="I25" s="155"/>
      <c r="J25" s="155"/>
      <c r="K25" s="155"/>
      <c r="L25" s="155"/>
      <c r="M25" s="155"/>
      <c r="N25" s="155"/>
      <c r="O25" s="155"/>
      <c r="P25" s="155"/>
      <c r="Q25" s="155"/>
      <c r="R25" s="155"/>
      <c r="S25" s="155"/>
      <c r="T25" s="155"/>
    </row>
    <row r="26" customFormat="false" ht="69.75" hidden="false" customHeight="true" outlineLevel="0" collapsed="false">
      <c r="A26" s="155"/>
      <c r="B26" s="155"/>
      <c r="C26" s="155"/>
      <c r="D26" s="155"/>
      <c r="E26" s="155"/>
      <c r="F26" s="155"/>
      <c r="G26" s="155"/>
      <c r="H26" s="155"/>
      <c r="I26" s="155"/>
      <c r="J26" s="155"/>
      <c r="K26" s="155"/>
      <c r="L26" s="155"/>
      <c r="M26" s="155"/>
      <c r="N26" s="155"/>
      <c r="O26" s="155"/>
      <c r="P26" s="155"/>
      <c r="Q26" s="155"/>
      <c r="R26" s="155"/>
      <c r="S26" s="155"/>
      <c r="T26" s="155"/>
    </row>
    <row r="27" customFormat="false" ht="69.75" hidden="false" customHeight="true" outlineLevel="0" collapsed="false">
      <c r="A27" s="155"/>
      <c r="B27" s="155"/>
      <c r="C27" s="155"/>
      <c r="D27" s="155"/>
      <c r="E27" s="155"/>
      <c r="F27" s="155"/>
      <c r="G27" s="155"/>
      <c r="H27" s="155"/>
      <c r="I27" s="155"/>
      <c r="J27" s="155"/>
      <c r="K27" s="155"/>
      <c r="L27" s="155"/>
      <c r="M27" s="155"/>
      <c r="N27" s="155"/>
      <c r="O27" s="155"/>
      <c r="P27" s="155"/>
      <c r="Q27" s="155"/>
      <c r="R27" s="155"/>
      <c r="S27" s="155"/>
      <c r="T27" s="155"/>
    </row>
    <row r="28" customFormat="false" ht="69.75" hidden="false" customHeight="true" outlineLevel="0" collapsed="false">
      <c r="A28" s="155"/>
      <c r="B28" s="155"/>
      <c r="C28" s="155"/>
      <c r="D28" s="155"/>
      <c r="E28" s="155"/>
      <c r="F28" s="155"/>
      <c r="G28" s="155"/>
      <c r="H28" s="155"/>
      <c r="I28" s="155"/>
      <c r="J28" s="155"/>
      <c r="K28" s="155"/>
      <c r="L28" s="155"/>
      <c r="M28" s="155"/>
      <c r="N28" s="155"/>
      <c r="O28" s="155"/>
      <c r="P28" s="155"/>
      <c r="Q28" s="155"/>
      <c r="R28" s="155"/>
      <c r="S28" s="155"/>
      <c r="T28" s="155"/>
    </row>
    <row r="29" customFormat="false" ht="69.75" hidden="false" customHeight="true" outlineLevel="0" collapsed="false">
      <c r="A29" s="155"/>
      <c r="B29" s="155"/>
      <c r="C29" s="155"/>
      <c r="D29" s="155"/>
      <c r="E29" s="155"/>
      <c r="F29" s="155"/>
      <c r="G29" s="155"/>
      <c r="H29" s="155"/>
      <c r="I29" s="155"/>
      <c r="J29" s="155"/>
      <c r="K29" s="155"/>
      <c r="L29" s="155"/>
      <c r="M29" s="155"/>
      <c r="N29" s="155"/>
      <c r="O29" s="155"/>
      <c r="P29" s="155"/>
      <c r="Q29" s="155"/>
      <c r="R29" s="155"/>
      <c r="S29" s="155"/>
      <c r="T29" s="155"/>
    </row>
    <row r="30" customFormat="false" ht="69.75" hidden="false" customHeight="true" outlineLevel="0" collapsed="false">
      <c r="A30" s="155"/>
      <c r="B30" s="155"/>
      <c r="C30" s="155"/>
      <c r="D30" s="155"/>
      <c r="E30" s="155"/>
      <c r="F30" s="155"/>
      <c r="G30" s="155"/>
      <c r="H30" s="155"/>
      <c r="I30" s="155"/>
      <c r="J30" s="155"/>
      <c r="K30" s="155"/>
      <c r="L30" s="155"/>
      <c r="M30" s="155"/>
      <c r="N30" s="155"/>
      <c r="O30" s="155"/>
      <c r="P30" s="155"/>
      <c r="Q30" s="155"/>
      <c r="R30" s="155"/>
      <c r="S30" s="155"/>
      <c r="T30" s="155"/>
    </row>
    <row r="31" customFormat="false" ht="69.75" hidden="false" customHeight="true" outlineLevel="0" collapsed="false">
      <c r="A31" s="155"/>
      <c r="B31" s="155"/>
      <c r="C31" s="155"/>
      <c r="D31" s="155"/>
      <c r="E31" s="155"/>
      <c r="F31" s="155"/>
      <c r="G31" s="155"/>
      <c r="H31" s="155"/>
      <c r="I31" s="155"/>
      <c r="J31" s="155"/>
      <c r="K31" s="155"/>
      <c r="L31" s="155"/>
      <c r="M31" s="155"/>
      <c r="N31" s="155"/>
      <c r="O31" s="155"/>
      <c r="P31" s="155"/>
      <c r="Q31" s="155"/>
      <c r="R31" s="155"/>
      <c r="S31" s="155"/>
      <c r="T31" s="155"/>
    </row>
  </sheetData>
  <autoFilter ref="A3:Q20"/>
  <mergeCells count="4">
    <mergeCell ref="A1:S1"/>
    <mergeCell ref="B2:G2"/>
    <mergeCell ref="N2:O2"/>
    <mergeCell ref="Q2:S2"/>
  </mergeCells>
  <conditionalFormatting sqref="A4:S31">
    <cfRule type="expression" priority="2" aboveAverage="0" equalAverage="0" bottom="0" percent="0" rank="0" text="" dxfId="26">
      <formula>OR($S4="Exclude",$T4="⬛ Auto-Excluded")</formula>
    </cfRule>
  </conditionalFormatting>
  <conditionalFormatting sqref="J4:J31">
    <cfRule type="expression" priority="3" aboveAverage="0" equalAverage="0" bottom="0" percent="0" rank="0" text="" dxfId="27">
      <formula>$J4=1</formula>
    </cfRule>
    <cfRule type="expression" priority="4" aboveAverage="0" equalAverage="0" bottom="0" percent="0" rank="0" text="" dxfId="28">
      <formula>$J4=2</formula>
    </cfRule>
    <cfRule type="expression" priority="5" aboveAverage="0" equalAverage="0" bottom="0" percent="0" rank="0" text="" dxfId="29">
      <formula>$J4=3</formula>
    </cfRule>
    <cfRule type="expression" priority="6" aboveAverage="0" equalAverage="0" bottom="0" percent="0" rank="0" text="" dxfId="30">
      <formula>$J4=4</formula>
    </cfRule>
    <cfRule type="expression" priority="7" aboveAverage="0" equalAverage="0" bottom="0" percent="0" rank="0" text="" dxfId="31">
      <formula>$J4=5</formula>
    </cfRule>
  </conditionalFormatting>
  <conditionalFormatting sqref="M4:M31">
    <cfRule type="expression" priority="8" aboveAverage="0" equalAverage="0" bottom="0" percent="0" rank="0" text="" dxfId="32">
      <formula>AND(ISNUMBER($M4),$M4&gt;2)</formula>
    </cfRule>
    <cfRule type="expression" priority="9" aboveAverage="0" equalAverage="0" bottom="0" percent="0" rank="0" text="" dxfId="33">
      <formula>AND(ISNUMBER($M4),$M4&gt;=1,$M4&lt;=2)</formula>
    </cfRule>
    <cfRule type="expression" priority="10" aboveAverage="0" equalAverage="0" bottom="0" percent="0" rank="0" text="" dxfId="34">
      <formula>AND(ISNUMBER($M4),$M4&lt;=0)</formula>
    </cfRule>
  </conditionalFormatting>
  <conditionalFormatting sqref="K4:K31">
    <cfRule type="expression" priority="11" aboveAverage="0" equalAverage="0" bottom="0" percent="0" rank="0" text="" dxfId="35">
      <formula>AND($J4&lt;&gt;"",$K4="")</formula>
    </cfRule>
  </conditionalFormatting>
  <conditionalFormatting sqref="O4:O31">
    <cfRule type="expression" priority="12" aboveAverage="0" equalAverage="0" bottom="0" percent="0" rank="0" text="" dxfId="36">
      <formula>OR($S4="Exclude",$T4="⬛ Auto-Excluded")</formula>
    </cfRule>
  </conditionalFormatting>
  <conditionalFormatting sqref="A4:S20">
    <cfRule type="expression" priority="13" aboveAverage="0" equalAverage="0" bottom="0" percent="0" rank="0" text="" dxfId="37">
      <formula>OR($S4="Exclude",$T4="⬛ Auto-Excluded")</formula>
    </cfRule>
  </conditionalFormatting>
  <conditionalFormatting sqref="J4:J20">
    <cfRule type="expression" priority="14" aboveAverage="0" equalAverage="0" bottom="0" percent="0" rank="0" text="" dxfId="27">
      <formula>$J4=1</formula>
    </cfRule>
    <cfRule type="expression" priority="15" aboveAverage="0" equalAverage="0" bottom="0" percent="0" rank="0" text="" dxfId="28">
      <formula>$J4=2</formula>
    </cfRule>
    <cfRule type="expression" priority="16" aboveAverage="0" equalAverage="0" bottom="0" percent="0" rank="0" text="" dxfId="29">
      <formula>$J4=3</formula>
    </cfRule>
    <cfRule type="expression" priority="17" aboveAverage="0" equalAverage="0" bottom="0" percent="0" rank="0" text="" dxfId="30">
      <formula>$J4=4</formula>
    </cfRule>
    <cfRule type="expression" priority="18" aboveAverage="0" equalAverage="0" bottom="0" percent="0" rank="0" text="" dxfId="31">
      <formula>$J4=5</formula>
    </cfRule>
  </conditionalFormatting>
  <conditionalFormatting sqref="M4:M20">
    <cfRule type="expression" priority="19" aboveAverage="0" equalAverage="0" bottom="0" percent="0" rank="0" text="" dxfId="32">
      <formula>AND(ISNUMBER($M4),$M4&gt;2)</formula>
    </cfRule>
    <cfRule type="expression" priority="20" aboveAverage="0" equalAverage="0" bottom="0" percent="0" rank="0" text="" dxfId="33">
      <formula>AND(ISNUMBER($M4),$M4&gt;=1,$M4&lt;=2)</formula>
    </cfRule>
    <cfRule type="expression" priority="21" aboveAverage="0" equalAverage="0" bottom="0" percent="0" rank="0" text="" dxfId="34">
      <formula>AND(ISNUMBER($M4),$M4&lt;=0)</formula>
    </cfRule>
  </conditionalFormatting>
  <conditionalFormatting sqref="K4:K20">
    <cfRule type="expression" priority="22" aboveAverage="0" equalAverage="0" bottom="0" percent="0" rank="0" text="" dxfId="35">
      <formula>AND($J4&lt;&gt;"",$K4="")</formula>
    </cfRule>
  </conditionalFormatting>
  <dataValidations count="6">
    <dataValidation allowBlank="true" errorStyle="stop" operator="between" prompt="Select the current maturity level.&#10;L3 = Defined is the minimum enterprise baseline.&#10;Column N will auto-show a control-specific description." promptTitle="Maturity Rating" showDropDown="false" showErrorMessage="false" showInputMessage="true" sqref="I21:I31" type="list">
      <formula1>"L1 — Initial,L2 — Developing,L3 — Defined,L4 — Managed,L5 — Optimised"</formula1>
      <formula2>0</formula2>
    </dataValidation>
    <dataValidation allowBlank="true" errorStyle="stop" operator="between" prompt="Select the target maturity level.&#10;Column P will auto-generate a specific improvement recommendation." promptTitle="Target Level" showDropDown="false" showErrorMessage="false" showInputMessage="true" sqref="K21:K31" type="list">
      <formula1>"L1 — Initial,L2 — Developing,L3 — Defined,L4 — Managed,L5 — Optimised"</formula1>
      <formula2>0</formula2>
    </dataValidation>
    <dataValidation allowBlank="true" errorStyle="stop" operator="between" prompt="Leave blank = auto-determined by Scoping tab.&#10;Apply = force include (overrides auto-exclusion).&#10;Exclude = manually remove from scoring and calculations.&#10;&#10;Excluded rows will be greyed out automatically." promptTitle="Scope Override" showDropDown="false" showErrorMessage="false" showInputMessage="true" sqref="S21:S31" type="list">
      <formula1>"Apply,Exclude"</formula1>
      <formula2>0</formula2>
    </dataValidation>
    <dataValidation allowBlank="true" errorStyle="stop" operator="between" prompt="Select the current maturity level.&#10;L3 = Defined is the minimum enterprise baseline." promptTitle="Maturity Rating" showDropDown="false" showErrorMessage="false" showInputMessage="true" sqref="I4:I20" type="list">
      <formula1>"L1 — Initial,L2 — Developing,L3 — Defined,L4 — Managed,L5 — Optimised"</formula1>
      <formula2>0</formula2>
    </dataValidation>
    <dataValidation allowBlank="true" errorStyle="stop" operator="between" prompt="Select the target level. Column P auto-generates a recommendation." promptTitle="Target Level" showDropDown="false" showErrorMessage="false" showInputMessage="true" sqref="K4:K20" type="list">
      <formula1>"L1 — Initial,L2 — Developing,L3 — Defined,L4 — Managed,L5 — Optimised"</formula1>
      <formula2>0</formula2>
    </dataValidation>
    <dataValidation allowBlank="true" errorStyle="stop" operator="between" prompt="Leave blank = auto-determined by Scoping tab.&#10;Apply = force include.&#10;Exclude = remove from scoring." promptTitle="Scope Override" showDropDown="false" showErrorMessage="false" showInputMessage="true" sqref="S4:S20" type="list">
      <formula1>"Apply,Exclude"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55555"/>
    <pageSetUpPr fitToPage="false"/>
  </sheetPr>
  <dimension ref="A1:N27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5" topLeftCell="C243" activePane="bottomRight" state="frozen"/>
      <selection pane="topLeft" activeCell="A1" activeCellId="0" sqref="A1"/>
      <selection pane="topRight" activeCell="C1" activeCellId="0" sqref="C1"/>
      <selection pane="bottomLeft" activeCell="A243" activeCellId="0" sqref="A243"/>
      <selection pane="bottomRight" activeCell="C163" activeCellId="0" sqref="C163"/>
    </sheetView>
  </sheetViews>
  <sheetFormatPr defaultColWidth="8.66796875" defaultRowHeight="14.25" zeroHeight="false" outlineLevelRow="0" outlineLevelCol="0"/>
  <cols>
    <col collapsed="false" customWidth="true" hidden="false" outlineLevel="0" max="1" min="1" style="1" width="3"/>
    <col collapsed="false" customWidth="true" hidden="false" outlineLevel="0" max="2" min="2" style="1" width="17"/>
    <col collapsed="false" customWidth="true" hidden="false" outlineLevel="0" max="3" min="3" style="1" width="29.44"/>
    <col collapsed="false" customWidth="true" hidden="false" outlineLevel="0" max="4" min="4" style="1" width="28.67"/>
    <col collapsed="false" customWidth="true" hidden="false" outlineLevel="0" max="5" min="5" style="1" width="28"/>
    <col collapsed="false" customWidth="true" hidden="false" outlineLevel="0" max="6" min="6" style="1" width="36.22"/>
    <col collapsed="false" customWidth="true" hidden="false" outlineLevel="0" max="7" min="7" style="1" width="38"/>
    <col collapsed="false" customWidth="true" hidden="false" outlineLevel="0" max="8" min="8" style="1" width="34"/>
    <col collapsed="false" customWidth="true" hidden="false" outlineLevel="0" max="9" min="9" style="1" width="13"/>
    <col collapsed="false" customWidth="true" hidden="false" outlineLevel="0" max="11" min="10" style="1" width="20"/>
    <col collapsed="false" customWidth="true" hidden="false" outlineLevel="0" max="13" min="12" style="1" width="13"/>
    <col collapsed="false" customWidth="true" hidden="false" outlineLevel="0" max="14" min="14" style="1" width="20"/>
  </cols>
  <sheetData>
    <row r="1" customFormat="false" ht="49.5" hidden="false" customHeight="true" outlineLevel="0" collapsed="false">
      <c r="A1" s="6" t="s">
        <v>1366</v>
      </c>
    </row>
    <row r="2" customFormat="false" ht="21.75" hidden="false" customHeight="true" outlineLevel="0" collapsed="false">
      <c r="A2" s="3" t="s">
        <v>1367</v>
      </c>
    </row>
    <row r="3" customFormat="false" ht="13.5" hidden="false" customHeight="true" outlineLevel="0" collapsed="false"/>
    <row r="4" customFormat="false" ht="21.75" hidden="false" customHeight="true" outlineLevel="0" collapsed="false">
      <c r="B4" s="234" t="s">
        <v>1368</v>
      </c>
    </row>
    <row r="5" customFormat="false" ht="30" hidden="false" customHeight="true" outlineLevel="0" collapsed="false">
      <c r="B5" s="10" t="s">
        <v>474</v>
      </c>
      <c r="C5" s="10" t="s">
        <v>1369</v>
      </c>
      <c r="D5" s="10" t="s">
        <v>134</v>
      </c>
      <c r="E5" s="10" t="s">
        <v>229</v>
      </c>
      <c r="F5" s="10" t="s">
        <v>1370</v>
      </c>
      <c r="G5" s="10" t="s">
        <v>1371</v>
      </c>
      <c r="H5" s="10" t="s">
        <v>1372</v>
      </c>
      <c r="I5" s="10" t="s">
        <v>1373</v>
      </c>
      <c r="J5" s="10" t="s">
        <v>233</v>
      </c>
      <c r="K5" s="10" t="s">
        <v>1374</v>
      </c>
      <c r="L5" s="10" t="s">
        <v>1375</v>
      </c>
      <c r="M5" s="10" t="s">
        <v>1376</v>
      </c>
      <c r="N5" s="10" t="s">
        <v>234</v>
      </c>
    </row>
    <row r="6" customFormat="false" ht="18" hidden="false" customHeight="true" outlineLevel="0" collapsed="false">
      <c r="B6" s="235" t="n">
        <v>1</v>
      </c>
      <c r="C6" s="236" t="s">
        <v>1377</v>
      </c>
      <c r="D6" s="237" t="s">
        <v>1378</v>
      </c>
      <c r="E6" s="238" t="s">
        <v>237</v>
      </c>
      <c r="F6" s="239" t="s">
        <v>1379</v>
      </c>
      <c r="G6" s="240" t="s">
        <v>494</v>
      </c>
      <c r="H6" s="240" t="s">
        <v>1380</v>
      </c>
      <c r="I6" s="240" t="s">
        <v>1381</v>
      </c>
      <c r="J6" s="240" t="s">
        <v>240</v>
      </c>
      <c r="K6" s="241" t="s">
        <v>1382</v>
      </c>
      <c r="L6" s="242" t="n">
        <v>46265</v>
      </c>
      <c r="M6" s="240"/>
      <c r="N6" s="240" t="s">
        <v>1383</v>
      </c>
    </row>
    <row r="7" customFormat="false" ht="18" hidden="false" customHeight="true" outlineLevel="0" collapsed="false">
      <c r="B7" s="243" t="n">
        <v>2</v>
      </c>
      <c r="C7" s="244" t="s">
        <v>1384</v>
      </c>
      <c r="D7" s="245" t="s">
        <v>1378</v>
      </c>
      <c r="E7" s="246" t="s">
        <v>243</v>
      </c>
      <c r="F7" s="247" t="s">
        <v>1385</v>
      </c>
      <c r="G7" s="248" t="s">
        <v>502</v>
      </c>
      <c r="H7" s="248" t="s">
        <v>1380</v>
      </c>
      <c r="I7" s="248" t="s">
        <v>1381</v>
      </c>
      <c r="J7" s="248" t="s">
        <v>240</v>
      </c>
      <c r="K7" s="249" t="s">
        <v>1382</v>
      </c>
      <c r="L7" s="250" t="n">
        <v>46265</v>
      </c>
      <c r="M7" s="248"/>
      <c r="N7" s="248" t="s">
        <v>1383</v>
      </c>
    </row>
    <row r="8" customFormat="false" ht="18" hidden="false" customHeight="true" outlineLevel="0" collapsed="false">
      <c r="B8" s="235" t="n">
        <v>3</v>
      </c>
      <c r="C8" s="236" t="s">
        <v>1386</v>
      </c>
      <c r="D8" s="237" t="s">
        <v>1378</v>
      </c>
      <c r="E8" s="238" t="s">
        <v>244</v>
      </c>
      <c r="F8" s="239" t="s">
        <v>1387</v>
      </c>
      <c r="G8" s="240" t="s">
        <v>507</v>
      </c>
      <c r="H8" s="240" t="s">
        <v>1388</v>
      </c>
      <c r="I8" s="240" t="s">
        <v>1389</v>
      </c>
      <c r="J8" s="240" t="s">
        <v>247</v>
      </c>
      <c r="K8" s="241" t="s">
        <v>1390</v>
      </c>
      <c r="L8" s="242" t="n">
        <v>46265</v>
      </c>
      <c r="M8" s="242" t="n">
        <v>46446</v>
      </c>
      <c r="N8" s="240" t="s">
        <v>1391</v>
      </c>
    </row>
    <row r="9" customFormat="false" ht="18" hidden="false" customHeight="true" outlineLevel="0" collapsed="false">
      <c r="B9" s="243" t="n">
        <v>4</v>
      </c>
      <c r="C9" s="244" t="s">
        <v>1392</v>
      </c>
      <c r="D9" s="245" t="s">
        <v>1378</v>
      </c>
      <c r="E9" s="246" t="s">
        <v>248</v>
      </c>
      <c r="F9" s="247" t="s">
        <v>1393</v>
      </c>
      <c r="G9" s="248" t="s">
        <v>513</v>
      </c>
      <c r="H9" s="248" t="s">
        <v>1380</v>
      </c>
      <c r="I9" s="248" t="s">
        <v>1381</v>
      </c>
      <c r="J9" s="248" t="s">
        <v>249</v>
      </c>
      <c r="K9" s="249" t="s">
        <v>1382</v>
      </c>
      <c r="L9" s="250" t="n">
        <v>46265</v>
      </c>
      <c r="M9" s="248"/>
      <c r="N9" s="248" t="s">
        <v>1383</v>
      </c>
    </row>
    <row r="10" customFormat="false" ht="18" hidden="false" customHeight="true" outlineLevel="0" collapsed="false">
      <c r="B10" s="235" t="n">
        <v>5</v>
      </c>
      <c r="C10" s="236" t="s">
        <v>1394</v>
      </c>
      <c r="D10" s="237" t="s">
        <v>1378</v>
      </c>
      <c r="E10" s="238" t="s">
        <v>250</v>
      </c>
      <c r="F10" s="239" t="s">
        <v>1395</v>
      </c>
      <c r="G10" s="240" t="s">
        <v>518</v>
      </c>
      <c r="H10" s="240" t="s">
        <v>1396</v>
      </c>
      <c r="I10" s="240" t="s">
        <v>1397</v>
      </c>
      <c r="J10" s="240" t="s">
        <v>240</v>
      </c>
      <c r="K10" s="241" t="s">
        <v>1398</v>
      </c>
      <c r="L10" s="242" t="n">
        <v>46265</v>
      </c>
      <c r="M10" s="242" t="n">
        <v>46326</v>
      </c>
      <c r="N10" s="240" t="s">
        <v>1399</v>
      </c>
    </row>
    <row r="11" customFormat="false" ht="18" hidden="false" customHeight="true" outlineLevel="0" collapsed="false">
      <c r="B11" s="243" t="n">
        <v>6</v>
      </c>
      <c r="C11" s="244" t="s">
        <v>1400</v>
      </c>
      <c r="D11" s="245" t="s">
        <v>1378</v>
      </c>
      <c r="E11" s="246" t="s">
        <v>251</v>
      </c>
      <c r="F11" s="247" t="s">
        <v>1401</v>
      </c>
      <c r="G11" s="248" t="s">
        <v>524</v>
      </c>
      <c r="H11" s="248" t="s">
        <v>1402</v>
      </c>
      <c r="I11" s="248" t="s">
        <v>1389</v>
      </c>
      <c r="J11" s="248" t="s">
        <v>252</v>
      </c>
      <c r="K11" s="249" t="s">
        <v>1390</v>
      </c>
      <c r="L11" s="250" t="n">
        <v>46265</v>
      </c>
      <c r="M11" s="250" t="n">
        <v>46446</v>
      </c>
      <c r="N11" s="248" t="s">
        <v>1391</v>
      </c>
    </row>
    <row r="12" customFormat="false" ht="18" hidden="false" customHeight="true" outlineLevel="0" collapsed="false">
      <c r="B12" s="235" t="n">
        <v>7</v>
      </c>
      <c r="C12" s="236" t="s">
        <v>1403</v>
      </c>
      <c r="D12" s="237" t="s">
        <v>1378</v>
      </c>
      <c r="E12" s="238" t="s">
        <v>253</v>
      </c>
      <c r="F12" s="239" t="s">
        <v>1404</v>
      </c>
      <c r="G12" s="240" t="s">
        <v>529</v>
      </c>
      <c r="H12" s="240" t="s">
        <v>1405</v>
      </c>
      <c r="I12" s="240" t="s">
        <v>1389</v>
      </c>
      <c r="J12" s="240" t="s">
        <v>254</v>
      </c>
      <c r="K12" s="241" t="s">
        <v>1390</v>
      </c>
      <c r="L12" s="242" t="n">
        <v>46265</v>
      </c>
      <c r="M12" s="242" t="n">
        <v>46446</v>
      </c>
      <c r="N12" s="240" t="s">
        <v>1391</v>
      </c>
    </row>
    <row r="13" customFormat="false" ht="18" hidden="false" customHeight="true" outlineLevel="0" collapsed="false">
      <c r="B13" s="243" t="n">
        <v>8</v>
      </c>
      <c r="C13" s="244" t="s">
        <v>1406</v>
      </c>
      <c r="D13" s="245" t="s">
        <v>1378</v>
      </c>
      <c r="E13" s="246" t="s">
        <v>255</v>
      </c>
      <c r="F13" s="247" t="s">
        <v>1407</v>
      </c>
      <c r="G13" s="248" t="s">
        <v>534</v>
      </c>
      <c r="H13" s="248" t="s">
        <v>1380</v>
      </c>
      <c r="I13" s="248" t="s">
        <v>1381</v>
      </c>
      <c r="J13" s="248" t="s">
        <v>249</v>
      </c>
      <c r="K13" s="249" t="s">
        <v>1382</v>
      </c>
      <c r="L13" s="250" t="n">
        <v>46265</v>
      </c>
      <c r="M13" s="248"/>
      <c r="N13" s="248" t="s">
        <v>1383</v>
      </c>
    </row>
    <row r="14" customFormat="false" ht="18" hidden="false" customHeight="true" outlineLevel="0" collapsed="false">
      <c r="B14" s="235" t="n">
        <v>9</v>
      </c>
      <c r="C14" s="236" t="s">
        <v>1408</v>
      </c>
      <c r="D14" s="237" t="s">
        <v>1378</v>
      </c>
      <c r="E14" s="238" t="s">
        <v>256</v>
      </c>
      <c r="F14" s="239" t="s">
        <v>1409</v>
      </c>
      <c r="G14" s="240" t="s">
        <v>539</v>
      </c>
      <c r="H14" s="240" t="s">
        <v>1410</v>
      </c>
      <c r="I14" s="240" t="s">
        <v>1397</v>
      </c>
      <c r="J14" s="240" t="s">
        <v>249</v>
      </c>
      <c r="K14" s="241" t="s">
        <v>1398</v>
      </c>
      <c r="L14" s="242" t="n">
        <v>46265</v>
      </c>
      <c r="M14" s="242" t="n">
        <v>46326</v>
      </c>
      <c r="N14" s="240" t="s">
        <v>1399</v>
      </c>
    </row>
    <row r="15" customFormat="false" ht="18" hidden="false" customHeight="true" outlineLevel="0" collapsed="false">
      <c r="B15" s="243" t="n">
        <v>10</v>
      </c>
      <c r="C15" s="244" t="s">
        <v>1411</v>
      </c>
      <c r="D15" s="245" t="s">
        <v>1378</v>
      </c>
      <c r="E15" s="246" t="s">
        <v>257</v>
      </c>
      <c r="F15" s="247" t="s">
        <v>1412</v>
      </c>
      <c r="G15" s="248" t="s">
        <v>544</v>
      </c>
      <c r="H15" s="248" t="s">
        <v>1413</v>
      </c>
      <c r="I15" s="248" t="s">
        <v>1397</v>
      </c>
      <c r="J15" s="248" t="s">
        <v>252</v>
      </c>
      <c r="K15" s="249" t="s">
        <v>1398</v>
      </c>
      <c r="L15" s="250" t="n">
        <v>46265</v>
      </c>
      <c r="M15" s="250" t="n">
        <v>46326</v>
      </c>
      <c r="N15" s="248" t="s">
        <v>1399</v>
      </c>
    </row>
    <row r="16" customFormat="false" ht="18" hidden="false" customHeight="true" outlineLevel="0" collapsed="false">
      <c r="B16" s="235" t="n">
        <v>11</v>
      </c>
      <c r="C16" s="236" t="s">
        <v>1414</v>
      </c>
      <c r="D16" s="237" t="s">
        <v>1378</v>
      </c>
      <c r="E16" s="238" t="s">
        <v>259</v>
      </c>
      <c r="F16" s="239" t="s">
        <v>1415</v>
      </c>
      <c r="G16" s="240" t="s">
        <v>550</v>
      </c>
      <c r="H16" s="240" t="s">
        <v>1380</v>
      </c>
      <c r="I16" s="240" t="s">
        <v>1381</v>
      </c>
      <c r="J16" s="240" t="s">
        <v>252</v>
      </c>
      <c r="K16" s="241" t="s">
        <v>1382</v>
      </c>
      <c r="L16" s="242" t="n">
        <v>46265</v>
      </c>
      <c r="M16" s="240"/>
      <c r="N16" s="240" t="s">
        <v>1383</v>
      </c>
    </row>
    <row r="17" customFormat="false" ht="18" hidden="false" customHeight="true" outlineLevel="0" collapsed="false">
      <c r="B17" s="243" t="n">
        <v>12</v>
      </c>
      <c r="C17" s="244" t="s">
        <v>1416</v>
      </c>
      <c r="D17" s="245" t="s">
        <v>1378</v>
      </c>
      <c r="E17" s="246" t="s">
        <v>260</v>
      </c>
      <c r="F17" s="247" t="s">
        <v>1417</v>
      </c>
      <c r="G17" s="248" t="s">
        <v>555</v>
      </c>
      <c r="H17" s="248" t="s">
        <v>1418</v>
      </c>
      <c r="I17" s="248" t="s">
        <v>1389</v>
      </c>
      <c r="J17" s="248" t="s">
        <v>261</v>
      </c>
      <c r="K17" s="249" t="s">
        <v>1390</v>
      </c>
      <c r="L17" s="250" t="n">
        <v>46265</v>
      </c>
      <c r="M17" s="250" t="n">
        <v>46446</v>
      </c>
      <c r="N17" s="248" t="s">
        <v>1391</v>
      </c>
    </row>
    <row r="18" customFormat="false" ht="18" hidden="false" customHeight="true" outlineLevel="0" collapsed="false">
      <c r="B18" s="235" t="n">
        <v>13</v>
      </c>
      <c r="C18" s="236" t="s">
        <v>1419</v>
      </c>
      <c r="D18" s="237" t="s">
        <v>1378</v>
      </c>
      <c r="E18" s="238" t="s">
        <v>262</v>
      </c>
      <c r="F18" s="239" t="s">
        <v>1420</v>
      </c>
      <c r="G18" s="240" t="s">
        <v>561</v>
      </c>
      <c r="H18" s="240" t="s">
        <v>1421</v>
      </c>
      <c r="I18" s="240" t="s">
        <v>1389</v>
      </c>
      <c r="J18" s="240" t="s">
        <v>249</v>
      </c>
      <c r="K18" s="241" t="s">
        <v>1390</v>
      </c>
      <c r="L18" s="242" t="n">
        <v>46265</v>
      </c>
      <c r="M18" s="242" t="n">
        <v>46446</v>
      </c>
      <c r="N18" s="240" t="s">
        <v>1391</v>
      </c>
    </row>
    <row r="19" customFormat="false" ht="18" hidden="false" customHeight="true" outlineLevel="0" collapsed="false">
      <c r="B19" s="243" t="n">
        <v>14</v>
      </c>
      <c r="C19" s="244" t="s">
        <v>1422</v>
      </c>
      <c r="D19" s="245" t="s">
        <v>1378</v>
      </c>
      <c r="E19" s="246" t="s">
        <v>263</v>
      </c>
      <c r="F19" s="247" t="s">
        <v>1423</v>
      </c>
      <c r="G19" s="248" t="s">
        <v>566</v>
      </c>
      <c r="H19" s="248" t="s">
        <v>1380</v>
      </c>
      <c r="I19" s="248" t="s">
        <v>1381</v>
      </c>
      <c r="J19" s="248" t="s">
        <v>240</v>
      </c>
      <c r="K19" s="249" t="s">
        <v>1382</v>
      </c>
      <c r="L19" s="250" t="n">
        <v>46265</v>
      </c>
      <c r="M19" s="248"/>
      <c r="N19" s="248" t="s">
        <v>1383</v>
      </c>
    </row>
    <row r="20" customFormat="false" ht="18" hidden="false" customHeight="true" outlineLevel="0" collapsed="false">
      <c r="B20" s="235" t="n">
        <v>15</v>
      </c>
      <c r="C20" s="236" t="s">
        <v>1424</v>
      </c>
      <c r="D20" s="237" t="s">
        <v>1378</v>
      </c>
      <c r="E20" s="238" t="s">
        <v>264</v>
      </c>
      <c r="F20" s="239" t="s">
        <v>1425</v>
      </c>
      <c r="G20" s="240" t="s">
        <v>571</v>
      </c>
      <c r="H20" s="240" t="s">
        <v>1426</v>
      </c>
      <c r="I20" s="240" t="s">
        <v>1389</v>
      </c>
      <c r="J20" s="240" t="s">
        <v>249</v>
      </c>
      <c r="K20" s="241" t="s">
        <v>1390</v>
      </c>
      <c r="L20" s="242" t="n">
        <v>46265</v>
      </c>
      <c r="M20" s="242" t="n">
        <v>46446</v>
      </c>
      <c r="N20" s="240" t="s">
        <v>1391</v>
      </c>
    </row>
    <row r="21" customFormat="false" ht="18" hidden="false" customHeight="true" outlineLevel="0" collapsed="false">
      <c r="B21" s="243" t="n">
        <v>16</v>
      </c>
      <c r="C21" s="244" t="s">
        <v>1427</v>
      </c>
      <c r="D21" s="245" t="s">
        <v>1378</v>
      </c>
      <c r="E21" s="246" t="s">
        <v>265</v>
      </c>
      <c r="F21" s="247" t="s">
        <v>1428</v>
      </c>
      <c r="G21" s="248" t="s">
        <v>566</v>
      </c>
      <c r="H21" s="248" t="s">
        <v>1380</v>
      </c>
      <c r="I21" s="248" t="s">
        <v>1381</v>
      </c>
      <c r="J21" s="248" t="s">
        <v>247</v>
      </c>
      <c r="K21" s="249" t="s">
        <v>1382</v>
      </c>
      <c r="L21" s="250" t="n">
        <v>46265</v>
      </c>
      <c r="M21" s="248"/>
      <c r="N21" s="248" t="s">
        <v>1383</v>
      </c>
    </row>
    <row r="22" customFormat="false" ht="18" hidden="false" customHeight="true" outlineLevel="0" collapsed="false">
      <c r="B22" s="235" t="n">
        <v>17</v>
      </c>
      <c r="C22" s="236" t="s">
        <v>1429</v>
      </c>
      <c r="D22" s="237" t="s">
        <v>1378</v>
      </c>
      <c r="E22" s="238" t="s">
        <v>266</v>
      </c>
      <c r="F22" s="239" t="s">
        <v>1430</v>
      </c>
      <c r="G22" s="240" t="s">
        <v>581</v>
      </c>
      <c r="H22" s="240" t="s">
        <v>1380</v>
      </c>
      <c r="I22" s="240" t="s">
        <v>1381</v>
      </c>
      <c r="J22" s="240" t="s">
        <v>261</v>
      </c>
      <c r="K22" s="241" t="s">
        <v>1382</v>
      </c>
      <c r="L22" s="242" t="n">
        <v>46265</v>
      </c>
      <c r="M22" s="240"/>
      <c r="N22" s="240" t="s">
        <v>1383</v>
      </c>
    </row>
    <row r="23" customFormat="false" ht="18" hidden="false" customHeight="true" outlineLevel="0" collapsed="false">
      <c r="B23" s="243" t="n">
        <v>18</v>
      </c>
      <c r="C23" s="244" t="s">
        <v>1431</v>
      </c>
      <c r="D23" s="245" t="s">
        <v>1378</v>
      </c>
      <c r="E23" s="246" t="s">
        <v>268</v>
      </c>
      <c r="F23" s="247" t="s">
        <v>1432</v>
      </c>
      <c r="G23" s="248" t="s">
        <v>587</v>
      </c>
      <c r="H23" s="248" t="s">
        <v>1433</v>
      </c>
      <c r="I23" s="248" t="s">
        <v>1389</v>
      </c>
      <c r="J23" s="248" t="s">
        <v>261</v>
      </c>
      <c r="K23" s="249" t="s">
        <v>1390</v>
      </c>
      <c r="L23" s="250" t="n">
        <v>46265</v>
      </c>
      <c r="M23" s="250" t="n">
        <v>46446</v>
      </c>
      <c r="N23" s="248" t="s">
        <v>1391</v>
      </c>
    </row>
    <row r="24" customFormat="false" ht="18" hidden="false" customHeight="true" outlineLevel="0" collapsed="false">
      <c r="B24" s="235" t="n">
        <v>19</v>
      </c>
      <c r="C24" s="236" t="s">
        <v>1434</v>
      </c>
      <c r="D24" s="237" t="s">
        <v>1378</v>
      </c>
      <c r="E24" s="238" t="s">
        <v>269</v>
      </c>
      <c r="F24" s="239" t="s">
        <v>1435</v>
      </c>
      <c r="G24" s="240" t="s">
        <v>593</v>
      </c>
      <c r="H24" s="240" t="s">
        <v>1436</v>
      </c>
      <c r="I24" s="240" t="s">
        <v>1389</v>
      </c>
      <c r="J24" s="240" t="s">
        <v>252</v>
      </c>
      <c r="K24" s="241" t="s">
        <v>1390</v>
      </c>
      <c r="L24" s="242" t="n">
        <v>46265</v>
      </c>
      <c r="M24" s="242" t="n">
        <v>46446</v>
      </c>
      <c r="N24" s="240" t="s">
        <v>1391</v>
      </c>
    </row>
    <row r="25" customFormat="false" ht="18" hidden="false" customHeight="true" outlineLevel="0" collapsed="false">
      <c r="B25" s="243" t="n">
        <v>20</v>
      </c>
      <c r="C25" s="244" t="s">
        <v>1437</v>
      </c>
      <c r="D25" s="245" t="s">
        <v>1378</v>
      </c>
      <c r="E25" s="246" t="s">
        <v>270</v>
      </c>
      <c r="F25" s="247" t="s">
        <v>1438</v>
      </c>
      <c r="G25" s="248" t="s">
        <v>566</v>
      </c>
      <c r="H25" s="248" t="s">
        <v>1380</v>
      </c>
      <c r="I25" s="248" t="s">
        <v>1381</v>
      </c>
      <c r="J25" s="248" t="s">
        <v>261</v>
      </c>
      <c r="K25" s="249" t="s">
        <v>1382</v>
      </c>
      <c r="L25" s="250" t="n">
        <v>46265</v>
      </c>
      <c r="M25" s="248"/>
      <c r="N25" s="248" t="s">
        <v>1383</v>
      </c>
    </row>
    <row r="26" customFormat="false" ht="18" hidden="false" customHeight="true" outlineLevel="0" collapsed="false">
      <c r="B26" s="235" t="n">
        <v>21</v>
      </c>
      <c r="C26" s="236" t="s">
        <v>1439</v>
      </c>
      <c r="D26" s="237" t="s">
        <v>1378</v>
      </c>
      <c r="E26" s="238" t="s">
        <v>271</v>
      </c>
      <c r="F26" s="239" t="s">
        <v>1440</v>
      </c>
      <c r="G26" s="240" t="s">
        <v>1441</v>
      </c>
      <c r="H26" s="240" t="s">
        <v>1381</v>
      </c>
      <c r="I26" s="240"/>
      <c r="J26" s="240" t="s">
        <v>261</v>
      </c>
      <c r="K26" s="241" t="s">
        <v>1382</v>
      </c>
      <c r="L26" s="240"/>
      <c r="M26" s="240"/>
      <c r="N26" s="240" t="s">
        <v>1442</v>
      </c>
    </row>
    <row r="27" customFormat="false" ht="18" hidden="false" customHeight="true" outlineLevel="0" collapsed="false">
      <c r="B27" s="243" t="n">
        <v>22</v>
      </c>
      <c r="C27" s="244" t="s">
        <v>1443</v>
      </c>
      <c r="D27" s="245" t="s">
        <v>1378</v>
      </c>
      <c r="E27" s="246" t="s">
        <v>274</v>
      </c>
      <c r="F27" s="247" t="s">
        <v>1444</v>
      </c>
      <c r="G27" s="248" t="s">
        <v>607</v>
      </c>
      <c r="H27" s="248" t="s">
        <v>1445</v>
      </c>
      <c r="I27" s="248" t="s">
        <v>1389</v>
      </c>
      <c r="J27" s="248" t="s">
        <v>275</v>
      </c>
      <c r="K27" s="249" t="s">
        <v>1390</v>
      </c>
      <c r="L27" s="250" t="n">
        <v>46265</v>
      </c>
      <c r="M27" s="250" t="n">
        <v>46446</v>
      </c>
      <c r="N27" s="248" t="s">
        <v>1391</v>
      </c>
    </row>
    <row r="28" customFormat="false" ht="18" hidden="false" customHeight="true" outlineLevel="0" collapsed="false">
      <c r="B28" s="235" t="n">
        <v>23</v>
      </c>
      <c r="C28" s="236" t="s">
        <v>1446</v>
      </c>
      <c r="D28" s="237" t="s">
        <v>1378</v>
      </c>
      <c r="E28" s="238" t="s">
        <v>276</v>
      </c>
      <c r="F28" s="239" t="s">
        <v>1447</v>
      </c>
      <c r="G28" s="240" t="s">
        <v>566</v>
      </c>
      <c r="H28" s="240" t="s">
        <v>1380</v>
      </c>
      <c r="I28" s="240" t="s">
        <v>1381</v>
      </c>
      <c r="J28" s="240" t="s">
        <v>261</v>
      </c>
      <c r="K28" s="241" t="s">
        <v>1382</v>
      </c>
      <c r="L28" s="242" t="n">
        <v>46265</v>
      </c>
      <c r="M28" s="240"/>
      <c r="N28" s="240" t="s">
        <v>1383</v>
      </c>
    </row>
    <row r="29" customFormat="false" ht="18" hidden="false" customHeight="true" outlineLevel="0" collapsed="false">
      <c r="B29" s="243" t="n">
        <v>24</v>
      </c>
      <c r="C29" s="244" t="s">
        <v>1448</v>
      </c>
      <c r="D29" s="245" t="s">
        <v>1378</v>
      </c>
      <c r="E29" s="246" t="s">
        <v>277</v>
      </c>
      <c r="F29" s="247" t="s">
        <v>1449</v>
      </c>
      <c r="G29" s="248" t="s">
        <v>617</v>
      </c>
      <c r="H29" s="248" t="s">
        <v>1450</v>
      </c>
      <c r="I29" s="248" t="s">
        <v>1397</v>
      </c>
      <c r="J29" s="248" t="s">
        <v>252</v>
      </c>
      <c r="K29" s="249" t="s">
        <v>1398</v>
      </c>
      <c r="L29" s="250" t="n">
        <v>46265</v>
      </c>
      <c r="M29" s="250" t="n">
        <v>46326</v>
      </c>
      <c r="N29" s="248" t="s">
        <v>1399</v>
      </c>
    </row>
    <row r="30" customFormat="false" ht="18" hidden="false" customHeight="true" outlineLevel="0" collapsed="false">
      <c r="B30" s="235" t="n">
        <v>25</v>
      </c>
      <c r="C30" s="236" t="s">
        <v>1451</v>
      </c>
      <c r="D30" s="237" t="s">
        <v>1378</v>
      </c>
      <c r="E30" s="238" t="s">
        <v>278</v>
      </c>
      <c r="F30" s="239" t="s">
        <v>1452</v>
      </c>
      <c r="G30" s="240" t="s">
        <v>622</v>
      </c>
      <c r="H30" s="240" t="s">
        <v>1380</v>
      </c>
      <c r="I30" s="240" t="s">
        <v>1381</v>
      </c>
      <c r="J30" s="240" t="s">
        <v>252</v>
      </c>
      <c r="K30" s="241" t="s">
        <v>1382</v>
      </c>
      <c r="L30" s="242" t="n">
        <v>46265</v>
      </c>
      <c r="M30" s="240"/>
      <c r="N30" s="240" t="s">
        <v>1383</v>
      </c>
    </row>
    <row r="31" customFormat="false" ht="18" hidden="false" customHeight="true" outlineLevel="0" collapsed="false">
      <c r="B31" s="243" t="n">
        <v>26</v>
      </c>
      <c r="C31" s="244" t="s">
        <v>1453</v>
      </c>
      <c r="D31" s="245" t="s">
        <v>1378</v>
      </c>
      <c r="E31" s="246" t="s">
        <v>279</v>
      </c>
      <c r="F31" s="247" t="s">
        <v>1454</v>
      </c>
      <c r="G31" s="248" t="s">
        <v>566</v>
      </c>
      <c r="H31" s="248" t="s">
        <v>1380</v>
      </c>
      <c r="I31" s="248" t="s">
        <v>1381</v>
      </c>
      <c r="J31" s="248" t="s">
        <v>252</v>
      </c>
      <c r="K31" s="249" t="s">
        <v>1382</v>
      </c>
      <c r="L31" s="250" t="n">
        <v>46265</v>
      </c>
      <c r="M31" s="248"/>
      <c r="N31" s="248" t="s">
        <v>1383</v>
      </c>
    </row>
    <row r="32" customFormat="false" ht="18" hidden="false" customHeight="true" outlineLevel="0" collapsed="false">
      <c r="B32" s="235" t="n">
        <v>27</v>
      </c>
      <c r="C32" s="236" t="s">
        <v>1455</v>
      </c>
      <c r="D32" s="237" t="s">
        <v>1378</v>
      </c>
      <c r="E32" s="238" t="s">
        <v>280</v>
      </c>
      <c r="F32" s="239" t="s">
        <v>1456</v>
      </c>
      <c r="G32" s="240" t="s">
        <v>631</v>
      </c>
      <c r="H32" s="240" t="s">
        <v>1457</v>
      </c>
      <c r="I32" s="240" t="s">
        <v>1397</v>
      </c>
      <c r="J32" s="240" t="s">
        <v>252</v>
      </c>
      <c r="K32" s="241" t="s">
        <v>1398</v>
      </c>
      <c r="L32" s="242" t="n">
        <v>46265</v>
      </c>
      <c r="M32" s="242" t="n">
        <v>46326</v>
      </c>
      <c r="N32" s="240" t="s">
        <v>1399</v>
      </c>
    </row>
    <row r="33" customFormat="false" ht="18" hidden="false" customHeight="true" outlineLevel="0" collapsed="false">
      <c r="B33" s="243" t="n">
        <v>28</v>
      </c>
      <c r="C33" s="244" t="s">
        <v>1458</v>
      </c>
      <c r="D33" s="245" t="s">
        <v>1378</v>
      </c>
      <c r="E33" s="246" t="s">
        <v>281</v>
      </c>
      <c r="F33" s="247" t="s">
        <v>1459</v>
      </c>
      <c r="G33" s="248" t="s">
        <v>637</v>
      </c>
      <c r="H33" s="248" t="s">
        <v>1460</v>
      </c>
      <c r="I33" s="248" t="s">
        <v>1389</v>
      </c>
      <c r="J33" s="248" t="s">
        <v>240</v>
      </c>
      <c r="K33" s="249" t="s">
        <v>1390</v>
      </c>
      <c r="L33" s="250" t="n">
        <v>46265</v>
      </c>
      <c r="M33" s="250" t="n">
        <v>46446</v>
      </c>
      <c r="N33" s="248" t="s">
        <v>1391</v>
      </c>
    </row>
    <row r="34" customFormat="false" ht="18" hidden="false" customHeight="true" outlineLevel="0" collapsed="false">
      <c r="B34" s="235" t="n">
        <v>29</v>
      </c>
      <c r="C34" s="236" t="s">
        <v>1461</v>
      </c>
      <c r="D34" s="237" t="s">
        <v>1462</v>
      </c>
      <c r="E34" s="238" t="s">
        <v>283</v>
      </c>
      <c r="F34" s="239" t="s">
        <v>1463</v>
      </c>
      <c r="G34" s="240" t="s">
        <v>644</v>
      </c>
      <c r="H34" s="240" t="s">
        <v>1464</v>
      </c>
      <c r="I34" s="240" t="s">
        <v>1389</v>
      </c>
      <c r="J34" s="240" t="s">
        <v>284</v>
      </c>
      <c r="K34" s="241" t="s">
        <v>1390</v>
      </c>
      <c r="L34" s="242" t="n">
        <v>46265</v>
      </c>
      <c r="M34" s="242" t="n">
        <v>46446</v>
      </c>
      <c r="N34" s="240" t="s">
        <v>1391</v>
      </c>
    </row>
    <row r="35" customFormat="false" ht="18" hidden="false" customHeight="true" outlineLevel="0" collapsed="false">
      <c r="B35" s="243" t="n">
        <v>30</v>
      </c>
      <c r="C35" s="244" t="s">
        <v>1465</v>
      </c>
      <c r="D35" s="245" t="s">
        <v>1462</v>
      </c>
      <c r="E35" s="246" t="s">
        <v>285</v>
      </c>
      <c r="F35" s="247" t="s">
        <v>1466</v>
      </c>
      <c r="G35" s="248" t="s">
        <v>649</v>
      </c>
      <c r="H35" s="248" t="s">
        <v>1467</v>
      </c>
      <c r="I35" s="248" t="s">
        <v>1397</v>
      </c>
      <c r="J35" s="248" t="s">
        <v>284</v>
      </c>
      <c r="K35" s="249" t="s">
        <v>1398</v>
      </c>
      <c r="L35" s="250" t="n">
        <v>46265</v>
      </c>
      <c r="M35" s="250" t="n">
        <v>46326</v>
      </c>
      <c r="N35" s="248" t="s">
        <v>1399</v>
      </c>
    </row>
    <row r="36" customFormat="false" ht="18" hidden="false" customHeight="true" outlineLevel="0" collapsed="false">
      <c r="B36" s="235" t="n">
        <v>31</v>
      </c>
      <c r="C36" s="236" t="s">
        <v>1468</v>
      </c>
      <c r="D36" s="237" t="s">
        <v>1462</v>
      </c>
      <c r="E36" s="238" t="s">
        <v>286</v>
      </c>
      <c r="F36" s="239" t="s">
        <v>1469</v>
      </c>
      <c r="G36" s="240" t="s">
        <v>654</v>
      </c>
      <c r="H36" s="240" t="s">
        <v>1470</v>
      </c>
      <c r="I36" s="240" t="s">
        <v>1471</v>
      </c>
      <c r="J36" s="240" t="s">
        <v>287</v>
      </c>
      <c r="K36" s="241" t="s">
        <v>1472</v>
      </c>
      <c r="L36" s="242" t="n">
        <v>46265</v>
      </c>
      <c r="M36" s="242" t="n">
        <v>46356</v>
      </c>
      <c r="N36" s="240" t="s">
        <v>1391</v>
      </c>
    </row>
    <row r="37" customFormat="false" ht="18" hidden="false" customHeight="true" outlineLevel="0" collapsed="false">
      <c r="B37" s="243" t="n">
        <v>32</v>
      </c>
      <c r="C37" s="244" t="s">
        <v>1473</v>
      </c>
      <c r="D37" s="245" t="s">
        <v>1462</v>
      </c>
      <c r="E37" s="246" t="s">
        <v>288</v>
      </c>
      <c r="F37" s="247" t="s">
        <v>1474</v>
      </c>
      <c r="G37" s="248" t="s">
        <v>659</v>
      </c>
      <c r="H37" s="248" t="s">
        <v>1380</v>
      </c>
      <c r="I37" s="248" t="s">
        <v>1381</v>
      </c>
      <c r="J37" s="248" t="s">
        <v>249</v>
      </c>
      <c r="K37" s="249" t="s">
        <v>1382</v>
      </c>
      <c r="L37" s="250" t="n">
        <v>46265</v>
      </c>
      <c r="M37" s="248"/>
      <c r="N37" s="248" t="s">
        <v>1383</v>
      </c>
    </row>
    <row r="38" customFormat="false" ht="18" hidden="false" customHeight="true" outlineLevel="0" collapsed="false">
      <c r="B38" s="235" t="n">
        <v>33</v>
      </c>
      <c r="C38" s="236" t="s">
        <v>1475</v>
      </c>
      <c r="D38" s="237" t="s">
        <v>1462</v>
      </c>
      <c r="E38" s="238" t="s">
        <v>289</v>
      </c>
      <c r="F38" s="239" t="s">
        <v>1476</v>
      </c>
      <c r="G38" s="240" t="s">
        <v>566</v>
      </c>
      <c r="H38" s="240" t="s">
        <v>1380</v>
      </c>
      <c r="I38" s="240" t="s">
        <v>1381</v>
      </c>
      <c r="J38" s="240" t="s">
        <v>275</v>
      </c>
      <c r="K38" s="241" t="s">
        <v>1382</v>
      </c>
      <c r="L38" s="242" t="n">
        <v>46265</v>
      </c>
      <c r="M38" s="240"/>
      <c r="N38" s="240" t="s">
        <v>1383</v>
      </c>
    </row>
    <row r="39" customFormat="false" ht="18" hidden="false" customHeight="true" outlineLevel="0" collapsed="false">
      <c r="B39" s="243" t="n">
        <v>34</v>
      </c>
      <c r="C39" s="244" t="s">
        <v>1477</v>
      </c>
      <c r="D39" s="245" t="s">
        <v>1462</v>
      </c>
      <c r="E39" s="246" t="s">
        <v>290</v>
      </c>
      <c r="F39" s="247" t="s">
        <v>1478</v>
      </c>
      <c r="G39" s="248" t="s">
        <v>668</v>
      </c>
      <c r="H39" s="248" t="s">
        <v>1479</v>
      </c>
      <c r="I39" s="248" t="s">
        <v>1389</v>
      </c>
      <c r="J39" s="248" t="s">
        <v>249</v>
      </c>
      <c r="K39" s="249" t="s">
        <v>1390</v>
      </c>
      <c r="L39" s="250" t="n">
        <v>46265</v>
      </c>
      <c r="M39" s="250" t="n">
        <v>46446</v>
      </c>
      <c r="N39" s="248" t="s">
        <v>1391</v>
      </c>
    </row>
    <row r="40" customFormat="false" ht="18" hidden="false" customHeight="true" outlineLevel="0" collapsed="false">
      <c r="B40" s="235" t="n">
        <v>35</v>
      </c>
      <c r="C40" s="236" t="s">
        <v>1480</v>
      </c>
      <c r="D40" s="237" t="s">
        <v>1462</v>
      </c>
      <c r="E40" s="238" t="s">
        <v>291</v>
      </c>
      <c r="F40" s="239" t="s">
        <v>1481</v>
      </c>
      <c r="G40" s="240" t="s">
        <v>673</v>
      </c>
      <c r="H40" s="240" t="s">
        <v>1380</v>
      </c>
      <c r="I40" s="240" t="s">
        <v>1381</v>
      </c>
      <c r="J40" s="240" t="s">
        <v>284</v>
      </c>
      <c r="K40" s="241" t="s">
        <v>1382</v>
      </c>
      <c r="L40" s="242" t="n">
        <v>46265</v>
      </c>
      <c r="M40" s="240"/>
      <c r="N40" s="240" t="s">
        <v>1383</v>
      </c>
    </row>
    <row r="41" customFormat="false" ht="18" hidden="false" customHeight="true" outlineLevel="0" collapsed="false">
      <c r="B41" s="243" t="n">
        <v>36</v>
      </c>
      <c r="C41" s="244" t="s">
        <v>1482</v>
      </c>
      <c r="D41" s="245" t="s">
        <v>1462</v>
      </c>
      <c r="E41" s="246" t="s">
        <v>292</v>
      </c>
      <c r="F41" s="247" t="s">
        <v>1483</v>
      </c>
      <c r="G41" s="248" t="s">
        <v>566</v>
      </c>
      <c r="H41" s="248" t="s">
        <v>1380</v>
      </c>
      <c r="I41" s="248" t="s">
        <v>1381</v>
      </c>
      <c r="J41" s="248" t="s">
        <v>252</v>
      </c>
      <c r="K41" s="249" t="s">
        <v>1382</v>
      </c>
      <c r="L41" s="250" t="n">
        <v>46265</v>
      </c>
      <c r="M41" s="248"/>
      <c r="N41" s="248" t="s">
        <v>1383</v>
      </c>
    </row>
    <row r="42" customFormat="false" ht="18" hidden="false" customHeight="true" outlineLevel="0" collapsed="false">
      <c r="B42" s="235" t="n">
        <v>37</v>
      </c>
      <c r="C42" s="236" t="s">
        <v>1484</v>
      </c>
      <c r="D42" s="237" t="s">
        <v>1462</v>
      </c>
      <c r="E42" s="238" t="s">
        <v>293</v>
      </c>
      <c r="F42" s="239" t="s">
        <v>1485</v>
      </c>
      <c r="G42" s="240" t="s">
        <v>566</v>
      </c>
      <c r="H42" s="240" t="s">
        <v>1380</v>
      </c>
      <c r="I42" s="240" t="s">
        <v>1381</v>
      </c>
      <c r="J42" s="240" t="s">
        <v>252</v>
      </c>
      <c r="K42" s="241" t="s">
        <v>1382</v>
      </c>
      <c r="L42" s="242" t="n">
        <v>46265</v>
      </c>
      <c r="M42" s="240"/>
      <c r="N42" s="240" t="s">
        <v>1383</v>
      </c>
    </row>
    <row r="43" customFormat="false" ht="18" hidden="false" customHeight="true" outlineLevel="0" collapsed="false">
      <c r="B43" s="243" t="n">
        <v>38</v>
      </c>
      <c r="C43" s="244" t="s">
        <v>1486</v>
      </c>
      <c r="D43" s="245" t="s">
        <v>1462</v>
      </c>
      <c r="E43" s="246" t="s">
        <v>294</v>
      </c>
      <c r="F43" s="247" t="s">
        <v>1487</v>
      </c>
      <c r="G43" s="248" t="s">
        <v>566</v>
      </c>
      <c r="H43" s="248" t="s">
        <v>1380</v>
      </c>
      <c r="I43" s="248" t="s">
        <v>1381</v>
      </c>
      <c r="J43" s="248" t="s">
        <v>287</v>
      </c>
      <c r="K43" s="249" t="s">
        <v>1382</v>
      </c>
      <c r="L43" s="250" t="n">
        <v>46265</v>
      </c>
      <c r="M43" s="248"/>
      <c r="N43" s="248" t="s">
        <v>1383</v>
      </c>
    </row>
    <row r="44" customFormat="false" ht="18" hidden="false" customHeight="true" outlineLevel="0" collapsed="false">
      <c r="B44" s="235" t="n">
        <v>39</v>
      </c>
      <c r="C44" s="236" t="s">
        <v>1488</v>
      </c>
      <c r="D44" s="237" t="s">
        <v>1462</v>
      </c>
      <c r="E44" s="238" t="s">
        <v>295</v>
      </c>
      <c r="F44" s="239" t="s">
        <v>1489</v>
      </c>
      <c r="G44" s="240" t="s">
        <v>691</v>
      </c>
      <c r="H44" s="240" t="s">
        <v>1490</v>
      </c>
      <c r="I44" s="240" t="s">
        <v>1389</v>
      </c>
      <c r="J44" s="240" t="s">
        <v>252</v>
      </c>
      <c r="K44" s="241" t="s">
        <v>1390</v>
      </c>
      <c r="L44" s="242" t="n">
        <v>46265</v>
      </c>
      <c r="M44" s="242" t="n">
        <v>46446</v>
      </c>
      <c r="N44" s="240" t="s">
        <v>1391</v>
      </c>
    </row>
    <row r="45" customFormat="false" ht="18" hidden="false" customHeight="true" outlineLevel="0" collapsed="false">
      <c r="B45" s="243" t="n">
        <v>40</v>
      </c>
      <c r="C45" s="244" t="s">
        <v>1491</v>
      </c>
      <c r="D45" s="245" t="s">
        <v>1462</v>
      </c>
      <c r="E45" s="246" t="s">
        <v>296</v>
      </c>
      <c r="F45" s="247" t="s">
        <v>1492</v>
      </c>
      <c r="G45" s="248" t="s">
        <v>696</v>
      </c>
      <c r="H45" s="248" t="s">
        <v>1493</v>
      </c>
      <c r="I45" s="248" t="s">
        <v>1389</v>
      </c>
      <c r="J45" s="248" t="s">
        <v>287</v>
      </c>
      <c r="K45" s="249" t="s">
        <v>1390</v>
      </c>
      <c r="L45" s="250" t="n">
        <v>46265</v>
      </c>
      <c r="M45" s="250" t="n">
        <v>46446</v>
      </c>
      <c r="N45" s="248" t="s">
        <v>1391</v>
      </c>
    </row>
    <row r="46" customFormat="false" ht="18" hidden="false" customHeight="true" outlineLevel="0" collapsed="false">
      <c r="B46" s="235" t="n">
        <v>41</v>
      </c>
      <c r="C46" s="236" t="s">
        <v>1494</v>
      </c>
      <c r="D46" s="237" t="s">
        <v>1462</v>
      </c>
      <c r="E46" s="238" t="s">
        <v>297</v>
      </c>
      <c r="F46" s="239" t="s">
        <v>1495</v>
      </c>
      <c r="G46" s="240" t="s">
        <v>566</v>
      </c>
      <c r="H46" s="240" t="s">
        <v>1380</v>
      </c>
      <c r="I46" s="240" t="s">
        <v>1381</v>
      </c>
      <c r="J46" s="240" t="s">
        <v>284</v>
      </c>
      <c r="K46" s="241" t="s">
        <v>1382</v>
      </c>
      <c r="L46" s="242" t="n">
        <v>46265</v>
      </c>
      <c r="M46" s="240"/>
      <c r="N46" s="240" t="s">
        <v>1383</v>
      </c>
    </row>
    <row r="47" customFormat="false" ht="18" hidden="false" customHeight="true" outlineLevel="0" collapsed="false">
      <c r="B47" s="243" t="n">
        <v>42</v>
      </c>
      <c r="C47" s="244" t="s">
        <v>1496</v>
      </c>
      <c r="D47" s="245" t="s">
        <v>1462</v>
      </c>
      <c r="E47" s="246" t="s">
        <v>298</v>
      </c>
      <c r="F47" s="247" t="s">
        <v>1497</v>
      </c>
      <c r="G47" s="248" t="s">
        <v>706</v>
      </c>
      <c r="H47" s="248" t="s">
        <v>1498</v>
      </c>
      <c r="I47" s="248" t="s">
        <v>1397</v>
      </c>
      <c r="J47" s="248" t="s">
        <v>299</v>
      </c>
      <c r="K47" s="249" t="s">
        <v>1398</v>
      </c>
      <c r="L47" s="250" t="n">
        <v>46265</v>
      </c>
      <c r="M47" s="250" t="n">
        <v>46326</v>
      </c>
      <c r="N47" s="248" t="s">
        <v>1399</v>
      </c>
    </row>
    <row r="48" customFormat="false" ht="18" hidden="false" customHeight="true" outlineLevel="0" collapsed="false">
      <c r="B48" s="235" t="n">
        <v>43</v>
      </c>
      <c r="C48" s="236" t="s">
        <v>1499</v>
      </c>
      <c r="D48" s="237" t="s">
        <v>1462</v>
      </c>
      <c r="E48" s="238" t="s">
        <v>300</v>
      </c>
      <c r="F48" s="239" t="s">
        <v>1500</v>
      </c>
      <c r="G48" s="240" t="s">
        <v>711</v>
      </c>
      <c r="H48" s="240" t="s">
        <v>1501</v>
      </c>
      <c r="I48" s="240" t="s">
        <v>1471</v>
      </c>
      <c r="J48" s="240" t="s">
        <v>299</v>
      </c>
      <c r="K48" s="241" t="s">
        <v>1472</v>
      </c>
      <c r="L48" s="242" t="n">
        <v>46265</v>
      </c>
      <c r="M48" s="242" t="n">
        <v>46356</v>
      </c>
      <c r="N48" s="240" t="s">
        <v>1391</v>
      </c>
    </row>
    <row r="49" customFormat="false" ht="18" hidden="false" customHeight="true" outlineLevel="0" collapsed="false">
      <c r="B49" s="243" t="n">
        <v>44</v>
      </c>
      <c r="C49" s="244" t="s">
        <v>1502</v>
      </c>
      <c r="D49" s="245" t="s">
        <v>1462</v>
      </c>
      <c r="E49" s="246" t="s">
        <v>301</v>
      </c>
      <c r="F49" s="247" t="s">
        <v>1503</v>
      </c>
      <c r="G49" s="248" t="s">
        <v>716</v>
      </c>
      <c r="H49" s="248" t="s">
        <v>1504</v>
      </c>
      <c r="I49" s="248" t="s">
        <v>1471</v>
      </c>
      <c r="J49" s="248" t="s">
        <v>299</v>
      </c>
      <c r="K49" s="249" t="s">
        <v>1472</v>
      </c>
      <c r="L49" s="250" t="n">
        <v>46265</v>
      </c>
      <c r="M49" s="250" t="n">
        <v>46356</v>
      </c>
      <c r="N49" s="248" t="s">
        <v>1391</v>
      </c>
    </row>
    <row r="50" customFormat="false" ht="18" hidden="false" customHeight="true" outlineLevel="0" collapsed="false">
      <c r="B50" s="235" t="n">
        <v>45</v>
      </c>
      <c r="C50" s="236" t="s">
        <v>1505</v>
      </c>
      <c r="D50" s="237" t="s">
        <v>1462</v>
      </c>
      <c r="E50" s="238" t="s">
        <v>302</v>
      </c>
      <c r="F50" s="239" t="s">
        <v>1506</v>
      </c>
      <c r="G50" s="240" t="s">
        <v>566</v>
      </c>
      <c r="H50" s="240" t="s">
        <v>1380</v>
      </c>
      <c r="I50" s="240" t="s">
        <v>1381</v>
      </c>
      <c r="J50" s="240" t="s">
        <v>261</v>
      </c>
      <c r="K50" s="241" t="s">
        <v>1382</v>
      </c>
      <c r="L50" s="242" t="n">
        <v>46265</v>
      </c>
      <c r="M50" s="240"/>
      <c r="N50" s="240" t="s">
        <v>1383</v>
      </c>
    </row>
    <row r="51" customFormat="false" ht="18" hidden="false" customHeight="true" outlineLevel="0" collapsed="false">
      <c r="B51" s="243" t="n">
        <v>46</v>
      </c>
      <c r="C51" s="244" t="s">
        <v>1507</v>
      </c>
      <c r="D51" s="245" t="s">
        <v>1462</v>
      </c>
      <c r="E51" s="246" t="s">
        <v>303</v>
      </c>
      <c r="F51" s="247" t="s">
        <v>1508</v>
      </c>
      <c r="G51" s="248" t="s">
        <v>706</v>
      </c>
      <c r="H51" s="248" t="s">
        <v>1498</v>
      </c>
      <c r="I51" s="248" t="s">
        <v>1397</v>
      </c>
      <c r="J51" s="248" t="s">
        <v>249</v>
      </c>
      <c r="K51" s="249" t="s">
        <v>1398</v>
      </c>
      <c r="L51" s="250" t="n">
        <v>46265</v>
      </c>
      <c r="M51" s="250" t="n">
        <v>46326</v>
      </c>
      <c r="N51" s="248" t="s">
        <v>1399</v>
      </c>
    </row>
    <row r="52" customFormat="false" ht="18" hidden="false" customHeight="true" outlineLevel="0" collapsed="false">
      <c r="B52" s="235" t="n">
        <v>47</v>
      </c>
      <c r="C52" s="236" t="s">
        <v>1509</v>
      </c>
      <c r="D52" s="237" t="s">
        <v>1462</v>
      </c>
      <c r="E52" s="238" t="s">
        <v>304</v>
      </c>
      <c r="F52" s="239" t="s">
        <v>1510</v>
      </c>
      <c r="G52" s="240" t="s">
        <v>1441</v>
      </c>
      <c r="H52" s="240" t="s">
        <v>1381</v>
      </c>
      <c r="I52" s="240"/>
      <c r="J52" s="240" t="s">
        <v>247</v>
      </c>
      <c r="K52" s="241" t="s">
        <v>1382</v>
      </c>
      <c r="L52" s="240"/>
      <c r="M52" s="240"/>
      <c r="N52" s="240" t="s">
        <v>1442</v>
      </c>
    </row>
    <row r="53" customFormat="false" ht="18" hidden="false" customHeight="true" outlineLevel="0" collapsed="false">
      <c r="B53" s="243" t="n">
        <v>48</v>
      </c>
      <c r="C53" s="244" t="s">
        <v>1511</v>
      </c>
      <c r="D53" s="245" t="s">
        <v>1462</v>
      </c>
      <c r="E53" s="246" t="s">
        <v>305</v>
      </c>
      <c r="F53" s="247" t="s">
        <v>1512</v>
      </c>
      <c r="G53" s="248" t="s">
        <v>1441</v>
      </c>
      <c r="H53" s="248" t="s">
        <v>1381</v>
      </c>
      <c r="I53" s="248"/>
      <c r="J53" s="248" t="s">
        <v>252</v>
      </c>
      <c r="K53" s="249" t="s">
        <v>1382</v>
      </c>
      <c r="L53" s="248"/>
      <c r="M53" s="248"/>
      <c r="N53" s="248" t="s">
        <v>1442</v>
      </c>
    </row>
    <row r="54" customFormat="false" ht="18" hidden="false" customHeight="true" outlineLevel="0" collapsed="false">
      <c r="B54" s="235" t="n">
        <v>49</v>
      </c>
      <c r="C54" s="236" t="s">
        <v>1513</v>
      </c>
      <c r="D54" s="237" t="s">
        <v>1462</v>
      </c>
      <c r="E54" s="238" t="s">
        <v>306</v>
      </c>
      <c r="F54" s="239" t="s">
        <v>1514</v>
      </c>
      <c r="G54" s="240" t="s">
        <v>566</v>
      </c>
      <c r="H54" s="240" t="s">
        <v>1380</v>
      </c>
      <c r="I54" s="240" t="s">
        <v>1381</v>
      </c>
      <c r="J54" s="240" t="s">
        <v>249</v>
      </c>
      <c r="K54" s="241" t="s">
        <v>1382</v>
      </c>
      <c r="L54" s="242" t="n">
        <v>46265</v>
      </c>
      <c r="M54" s="240"/>
      <c r="N54" s="240" t="s">
        <v>1383</v>
      </c>
    </row>
    <row r="55" customFormat="false" ht="18" hidden="false" customHeight="true" outlineLevel="0" collapsed="false">
      <c r="B55" s="243" t="n">
        <v>50</v>
      </c>
      <c r="C55" s="244" t="s">
        <v>1515</v>
      </c>
      <c r="D55" s="245" t="s">
        <v>1462</v>
      </c>
      <c r="E55" s="246" t="s">
        <v>307</v>
      </c>
      <c r="F55" s="247" t="s">
        <v>1516</v>
      </c>
      <c r="G55" s="248" t="s">
        <v>566</v>
      </c>
      <c r="H55" s="248" t="s">
        <v>1380</v>
      </c>
      <c r="I55" s="248" t="s">
        <v>1381</v>
      </c>
      <c r="J55" s="248" t="s">
        <v>299</v>
      </c>
      <c r="K55" s="249" t="s">
        <v>1382</v>
      </c>
      <c r="L55" s="250" t="n">
        <v>46265</v>
      </c>
      <c r="M55" s="248"/>
      <c r="N55" s="248" t="s">
        <v>1383</v>
      </c>
    </row>
    <row r="56" customFormat="false" ht="18" hidden="false" customHeight="true" outlineLevel="0" collapsed="false">
      <c r="B56" s="235" t="n">
        <v>51</v>
      </c>
      <c r="C56" s="236" t="s">
        <v>1517</v>
      </c>
      <c r="D56" s="237" t="s">
        <v>1518</v>
      </c>
      <c r="E56" s="238" t="s">
        <v>309</v>
      </c>
      <c r="F56" s="239" t="s">
        <v>1519</v>
      </c>
      <c r="G56" s="240" t="s">
        <v>746</v>
      </c>
      <c r="H56" s="240" t="s">
        <v>1520</v>
      </c>
      <c r="I56" s="240" t="s">
        <v>1471</v>
      </c>
      <c r="J56" s="240" t="s">
        <v>249</v>
      </c>
      <c r="K56" s="241" t="s">
        <v>1472</v>
      </c>
      <c r="L56" s="242" t="n">
        <v>46265</v>
      </c>
      <c r="M56" s="242" t="n">
        <v>46356</v>
      </c>
      <c r="N56" s="240" t="s">
        <v>1391</v>
      </c>
    </row>
    <row r="57" customFormat="false" ht="18" hidden="false" customHeight="true" outlineLevel="0" collapsed="false">
      <c r="B57" s="243" t="n">
        <v>52</v>
      </c>
      <c r="C57" s="244" t="s">
        <v>1521</v>
      </c>
      <c r="D57" s="245" t="s">
        <v>1518</v>
      </c>
      <c r="E57" s="246" t="s">
        <v>311</v>
      </c>
      <c r="F57" s="247" t="s">
        <v>1522</v>
      </c>
      <c r="G57" s="248" t="s">
        <v>751</v>
      </c>
      <c r="H57" s="248" t="s">
        <v>1523</v>
      </c>
      <c r="I57" s="248" t="s">
        <v>1471</v>
      </c>
      <c r="J57" s="248" t="s">
        <v>249</v>
      </c>
      <c r="K57" s="249" t="s">
        <v>1472</v>
      </c>
      <c r="L57" s="250" t="n">
        <v>46265</v>
      </c>
      <c r="M57" s="250" t="n">
        <v>46356</v>
      </c>
      <c r="N57" s="248" t="s">
        <v>1391</v>
      </c>
    </row>
    <row r="58" customFormat="false" ht="18" hidden="false" customHeight="true" outlineLevel="0" collapsed="false">
      <c r="B58" s="235" t="n">
        <v>53</v>
      </c>
      <c r="C58" s="236" t="s">
        <v>1524</v>
      </c>
      <c r="D58" s="237" t="s">
        <v>1518</v>
      </c>
      <c r="E58" s="238" t="s">
        <v>312</v>
      </c>
      <c r="F58" s="239" t="s">
        <v>1525</v>
      </c>
      <c r="G58" s="240" t="s">
        <v>756</v>
      </c>
      <c r="H58" s="240" t="s">
        <v>1526</v>
      </c>
      <c r="I58" s="240" t="s">
        <v>1389</v>
      </c>
      <c r="J58" s="240" t="s">
        <v>249</v>
      </c>
      <c r="K58" s="241" t="s">
        <v>1390</v>
      </c>
      <c r="L58" s="242" t="n">
        <v>46265</v>
      </c>
      <c r="M58" s="242" t="n">
        <v>46446</v>
      </c>
      <c r="N58" s="240" t="s">
        <v>1391</v>
      </c>
    </row>
    <row r="59" customFormat="false" ht="18" hidden="false" customHeight="true" outlineLevel="0" collapsed="false">
      <c r="B59" s="243" t="n">
        <v>54</v>
      </c>
      <c r="C59" s="244" t="s">
        <v>1527</v>
      </c>
      <c r="D59" s="245" t="s">
        <v>1518</v>
      </c>
      <c r="E59" s="246" t="s">
        <v>313</v>
      </c>
      <c r="F59" s="247" t="s">
        <v>1528</v>
      </c>
      <c r="G59" s="248" t="s">
        <v>761</v>
      </c>
      <c r="H59" s="248" t="s">
        <v>1529</v>
      </c>
      <c r="I59" s="248" t="s">
        <v>1389</v>
      </c>
      <c r="J59" s="248" t="s">
        <v>254</v>
      </c>
      <c r="K59" s="249" t="s">
        <v>1390</v>
      </c>
      <c r="L59" s="250" t="n">
        <v>46265</v>
      </c>
      <c r="M59" s="250" t="n">
        <v>46446</v>
      </c>
      <c r="N59" s="248" t="s">
        <v>1391</v>
      </c>
    </row>
    <row r="60" customFormat="false" ht="18" hidden="false" customHeight="true" outlineLevel="0" collapsed="false">
      <c r="B60" s="235" t="n">
        <v>55</v>
      </c>
      <c r="C60" s="236" t="s">
        <v>1530</v>
      </c>
      <c r="D60" s="237" t="s">
        <v>1518</v>
      </c>
      <c r="E60" s="238" t="s">
        <v>314</v>
      </c>
      <c r="F60" s="239" t="s">
        <v>1531</v>
      </c>
      <c r="G60" s="240" t="s">
        <v>766</v>
      </c>
      <c r="H60" s="240" t="s">
        <v>1532</v>
      </c>
      <c r="I60" s="240" t="s">
        <v>1389</v>
      </c>
      <c r="J60" s="240" t="s">
        <v>254</v>
      </c>
      <c r="K60" s="241" t="s">
        <v>1390</v>
      </c>
      <c r="L60" s="242" t="n">
        <v>46265</v>
      </c>
      <c r="M60" s="242" t="n">
        <v>46446</v>
      </c>
      <c r="N60" s="240" t="s">
        <v>1391</v>
      </c>
    </row>
    <row r="61" customFormat="false" ht="18" hidden="false" customHeight="true" outlineLevel="0" collapsed="false">
      <c r="B61" s="243" t="n">
        <v>56</v>
      </c>
      <c r="C61" s="244" t="s">
        <v>1533</v>
      </c>
      <c r="D61" s="245" t="s">
        <v>1518</v>
      </c>
      <c r="E61" s="246" t="s">
        <v>315</v>
      </c>
      <c r="F61" s="247" t="s">
        <v>1534</v>
      </c>
      <c r="G61" s="248" t="s">
        <v>771</v>
      </c>
      <c r="H61" s="248" t="s">
        <v>1535</v>
      </c>
      <c r="I61" s="248" t="s">
        <v>1389</v>
      </c>
      <c r="J61" s="248" t="s">
        <v>254</v>
      </c>
      <c r="K61" s="249" t="s">
        <v>1390</v>
      </c>
      <c r="L61" s="250" t="n">
        <v>46265</v>
      </c>
      <c r="M61" s="250" t="n">
        <v>46446</v>
      </c>
      <c r="N61" s="248" t="s">
        <v>1391</v>
      </c>
    </row>
    <row r="62" customFormat="false" ht="18" hidden="false" customHeight="true" outlineLevel="0" collapsed="false">
      <c r="B62" s="235" t="n">
        <v>57</v>
      </c>
      <c r="C62" s="236" t="s">
        <v>1536</v>
      </c>
      <c r="D62" s="237" t="s">
        <v>1518</v>
      </c>
      <c r="E62" s="238" t="s">
        <v>316</v>
      </c>
      <c r="F62" s="239" t="s">
        <v>1537</v>
      </c>
      <c r="G62" s="240" t="s">
        <v>566</v>
      </c>
      <c r="H62" s="240" t="s">
        <v>1380</v>
      </c>
      <c r="I62" s="240" t="s">
        <v>1381</v>
      </c>
      <c r="J62" s="240" t="s">
        <v>249</v>
      </c>
      <c r="K62" s="241" t="s">
        <v>1382</v>
      </c>
      <c r="L62" s="242" t="n">
        <v>46265</v>
      </c>
      <c r="M62" s="240"/>
      <c r="N62" s="240" t="s">
        <v>1383</v>
      </c>
    </row>
    <row r="63" customFormat="false" ht="18" hidden="false" customHeight="true" outlineLevel="0" collapsed="false">
      <c r="B63" s="243" t="n">
        <v>58</v>
      </c>
      <c r="C63" s="244" t="s">
        <v>1538</v>
      </c>
      <c r="D63" s="245" t="s">
        <v>1518</v>
      </c>
      <c r="E63" s="246" t="s">
        <v>317</v>
      </c>
      <c r="F63" s="247" t="s">
        <v>1539</v>
      </c>
      <c r="G63" s="248" t="s">
        <v>780</v>
      </c>
      <c r="H63" s="248" t="s">
        <v>1540</v>
      </c>
      <c r="I63" s="248" t="s">
        <v>1471</v>
      </c>
      <c r="J63" s="248" t="s">
        <v>249</v>
      </c>
      <c r="K63" s="249" t="s">
        <v>1472</v>
      </c>
      <c r="L63" s="250" t="n">
        <v>46265</v>
      </c>
      <c r="M63" s="250" t="n">
        <v>46356</v>
      </c>
      <c r="N63" s="248" t="s">
        <v>1391</v>
      </c>
    </row>
    <row r="64" customFormat="false" ht="18" hidden="false" customHeight="true" outlineLevel="0" collapsed="false">
      <c r="B64" s="235" t="n">
        <v>59</v>
      </c>
      <c r="C64" s="236" t="s">
        <v>1541</v>
      </c>
      <c r="D64" s="237" t="s">
        <v>1518</v>
      </c>
      <c r="E64" s="238" t="s">
        <v>318</v>
      </c>
      <c r="F64" s="239" t="s">
        <v>1542</v>
      </c>
      <c r="G64" s="240" t="s">
        <v>785</v>
      </c>
      <c r="H64" s="240" t="s">
        <v>1543</v>
      </c>
      <c r="I64" s="240" t="s">
        <v>1471</v>
      </c>
      <c r="J64" s="240" t="s">
        <v>275</v>
      </c>
      <c r="K64" s="241" t="s">
        <v>1472</v>
      </c>
      <c r="L64" s="242" t="n">
        <v>46265</v>
      </c>
      <c r="M64" s="242" t="n">
        <v>46356</v>
      </c>
      <c r="N64" s="240" t="s">
        <v>1391</v>
      </c>
    </row>
    <row r="65" customFormat="false" ht="18" hidden="false" customHeight="true" outlineLevel="0" collapsed="false">
      <c r="B65" s="243" t="n">
        <v>60</v>
      </c>
      <c r="C65" s="244" t="s">
        <v>1544</v>
      </c>
      <c r="D65" s="245" t="s">
        <v>1518</v>
      </c>
      <c r="E65" s="246" t="s">
        <v>319</v>
      </c>
      <c r="F65" s="247" t="s">
        <v>1545</v>
      </c>
      <c r="G65" s="248" t="s">
        <v>790</v>
      </c>
      <c r="H65" s="248" t="s">
        <v>1546</v>
      </c>
      <c r="I65" s="248" t="s">
        <v>1389</v>
      </c>
      <c r="J65" s="248" t="s">
        <v>249</v>
      </c>
      <c r="K65" s="249" t="s">
        <v>1390</v>
      </c>
      <c r="L65" s="250" t="n">
        <v>46265</v>
      </c>
      <c r="M65" s="250" t="n">
        <v>46446</v>
      </c>
      <c r="N65" s="248" t="s">
        <v>1391</v>
      </c>
    </row>
    <row r="66" customFormat="false" ht="18" hidden="false" customHeight="true" outlineLevel="0" collapsed="false">
      <c r="B66" s="235" t="n">
        <v>61</v>
      </c>
      <c r="C66" s="236" t="s">
        <v>1547</v>
      </c>
      <c r="D66" s="237" t="s">
        <v>1518</v>
      </c>
      <c r="E66" s="238" t="s">
        <v>320</v>
      </c>
      <c r="F66" s="239" t="s">
        <v>1548</v>
      </c>
      <c r="G66" s="240" t="s">
        <v>795</v>
      </c>
      <c r="H66" s="240" t="s">
        <v>1549</v>
      </c>
      <c r="I66" s="240" t="s">
        <v>1471</v>
      </c>
      <c r="J66" s="240" t="s">
        <v>287</v>
      </c>
      <c r="K66" s="241" t="s">
        <v>1472</v>
      </c>
      <c r="L66" s="242" t="n">
        <v>46265</v>
      </c>
      <c r="M66" s="242" t="n">
        <v>46356</v>
      </c>
      <c r="N66" s="240" t="s">
        <v>1391</v>
      </c>
    </row>
    <row r="67" customFormat="false" ht="18" hidden="false" customHeight="true" outlineLevel="0" collapsed="false">
      <c r="B67" s="243" t="n">
        <v>62</v>
      </c>
      <c r="C67" s="244" t="s">
        <v>1550</v>
      </c>
      <c r="D67" s="245" t="s">
        <v>1518</v>
      </c>
      <c r="E67" s="246" t="s">
        <v>321</v>
      </c>
      <c r="F67" s="247" t="s">
        <v>1551</v>
      </c>
      <c r="G67" s="248" t="s">
        <v>800</v>
      </c>
      <c r="H67" s="248" t="s">
        <v>1552</v>
      </c>
      <c r="I67" s="248" t="s">
        <v>1389</v>
      </c>
      <c r="J67" s="248" t="s">
        <v>275</v>
      </c>
      <c r="K67" s="249" t="s">
        <v>1390</v>
      </c>
      <c r="L67" s="250" t="n">
        <v>46265</v>
      </c>
      <c r="M67" s="250" t="n">
        <v>46446</v>
      </c>
      <c r="N67" s="248" t="s">
        <v>1391</v>
      </c>
    </row>
    <row r="68" customFormat="false" ht="18" hidden="false" customHeight="true" outlineLevel="0" collapsed="false">
      <c r="B68" s="235" t="n">
        <v>63</v>
      </c>
      <c r="C68" s="236" t="s">
        <v>1553</v>
      </c>
      <c r="D68" s="237" t="s">
        <v>1518</v>
      </c>
      <c r="E68" s="238" t="s">
        <v>322</v>
      </c>
      <c r="F68" s="239" t="s">
        <v>1554</v>
      </c>
      <c r="G68" s="240" t="s">
        <v>566</v>
      </c>
      <c r="H68" s="240" t="s">
        <v>1380</v>
      </c>
      <c r="I68" s="240" t="s">
        <v>1381</v>
      </c>
      <c r="J68" s="240" t="s">
        <v>249</v>
      </c>
      <c r="K68" s="241" t="s">
        <v>1382</v>
      </c>
      <c r="L68" s="242" t="n">
        <v>46265</v>
      </c>
      <c r="M68" s="240"/>
      <c r="N68" s="240" t="s">
        <v>1383</v>
      </c>
    </row>
    <row r="69" customFormat="false" ht="18" hidden="false" customHeight="true" outlineLevel="0" collapsed="false">
      <c r="B69" s="243" t="n">
        <v>64</v>
      </c>
      <c r="C69" s="244" t="s">
        <v>1555</v>
      </c>
      <c r="D69" s="245" t="s">
        <v>1518</v>
      </c>
      <c r="E69" s="246" t="s">
        <v>323</v>
      </c>
      <c r="F69" s="247" t="s">
        <v>1556</v>
      </c>
      <c r="G69" s="248" t="s">
        <v>810</v>
      </c>
      <c r="H69" s="248" t="s">
        <v>1557</v>
      </c>
      <c r="I69" s="248" t="s">
        <v>1471</v>
      </c>
      <c r="J69" s="248" t="s">
        <v>287</v>
      </c>
      <c r="K69" s="249" t="s">
        <v>1472</v>
      </c>
      <c r="L69" s="250" t="n">
        <v>46265</v>
      </c>
      <c r="M69" s="250" t="n">
        <v>46356</v>
      </c>
      <c r="N69" s="248" t="s">
        <v>1391</v>
      </c>
    </row>
    <row r="70" customFormat="false" ht="18" hidden="false" customHeight="true" outlineLevel="0" collapsed="false">
      <c r="B70" s="235" t="n">
        <v>65</v>
      </c>
      <c r="C70" s="236" t="s">
        <v>1558</v>
      </c>
      <c r="D70" s="237" t="s">
        <v>1518</v>
      </c>
      <c r="E70" s="238" t="s">
        <v>324</v>
      </c>
      <c r="F70" s="239" t="s">
        <v>1559</v>
      </c>
      <c r="G70" s="240" t="s">
        <v>815</v>
      </c>
      <c r="H70" s="240" t="s">
        <v>1560</v>
      </c>
      <c r="I70" s="240" t="s">
        <v>1471</v>
      </c>
      <c r="J70" s="240" t="s">
        <v>287</v>
      </c>
      <c r="K70" s="241" t="s">
        <v>1472</v>
      </c>
      <c r="L70" s="242" t="n">
        <v>46265</v>
      </c>
      <c r="M70" s="242" t="n">
        <v>46356</v>
      </c>
      <c r="N70" s="240" t="s">
        <v>1391</v>
      </c>
    </row>
    <row r="71" customFormat="false" ht="18" hidden="false" customHeight="true" outlineLevel="0" collapsed="false">
      <c r="B71" s="243" t="n">
        <v>66</v>
      </c>
      <c r="C71" s="244" t="s">
        <v>1561</v>
      </c>
      <c r="D71" s="245" t="s">
        <v>1518</v>
      </c>
      <c r="E71" s="246" t="s">
        <v>325</v>
      </c>
      <c r="F71" s="247" t="s">
        <v>1562</v>
      </c>
      <c r="G71" s="248" t="s">
        <v>820</v>
      </c>
      <c r="H71" s="248" t="s">
        <v>1563</v>
      </c>
      <c r="I71" s="248" t="s">
        <v>1471</v>
      </c>
      <c r="J71" s="248" t="s">
        <v>249</v>
      </c>
      <c r="K71" s="249" t="s">
        <v>1472</v>
      </c>
      <c r="L71" s="250" t="n">
        <v>46265</v>
      </c>
      <c r="M71" s="250" t="n">
        <v>46356</v>
      </c>
      <c r="N71" s="248" t="s">
        <v>1391</v>
      </c>
    </row>
    <row r="72" customFormat="false" ht="18" hidden="false" customHeight="true" outlineLevel="0" collapsed="false">
      <c r="B72" s="235" t="n">
        <v>67</v>
      </c>
      <c r="C72" s="236" t="s">
        <v>1564</v>
      </c>
      <c r="D72" s="237" t="s">
        <v>1518</v>
      </c>
      <c r="E72" s="238" t="s">
        <v>326</v>
      </c>
      <c r="F72" s="239" t="s">
        <v>1565</v>
      </c>
      <c r="G72" s="240" t="s">
        <v>566</v>
      </c>
      <c r="H72" s="240" t="s">
        <v>1380</v>
      </c>
      <c r="I72" s="240" t="s">
        <v>1381</v>
      </c>
      <c r="J72" s="240" t="s">
        <v>249</v>
      </c>
      <c r="K72" s="241" t="s">
        <v>1382</v>
      </c>
      <c r="L72" s="242" t="n">
        <v>46265</v>
      </c>
      <c r="M72" s="240"/>
      <c r="N72" s="240" t="s">
        <v>1383</v>
      </c>
    </row>
    <row r="73" customFormat="false" ht="18" hidden="false" customHeight="true" outlineLevel="0" collapsed="false">
      <c r="B73" s="243" t="n">
        <v>68</v>
      </c>
      <c r="C73" s="244" t="s">
        <v>1566</v>
      </c>
      <c r="D73" s="245" t="s">
        <v>1518</v>
      </c>
      <c r="E73" s="246" t="s">
        <v>327</v>
      </c>
      <c r="F73" s="247" t="s">
        <v>1567</v>
      </c>
      <c r="G73" s="248" t="s">
        <v>566</v>
      </c>
      <c r="H73" s="248" t="s">
        <v>1380</v>
      </c>
      <c r="I73" s="248" t="s">
        <v>1381</v>
      </c>
      <c r="J73" s="248" t="s">
        <v>249</v>
      </c>
      <c r="K73" s="249" t="s">
        <v>1382</v>
      </c>
      <c r="L73" s="250" t="n">
        <v>46265</v>
      </c>
      <c r="M73" s="248"/>
      <c r="N73" s="248" t="s">
        <v>1383</v>
      </c>
    </row>
    <row r="74" customFormat="false" ht="18" hidden="false" customHeight="true" outlineLevel="0" collapsed="false">
      <c r="B74" s="235" t="n">
        <v>69</v>
      </c>
      <c r="C74" s="236" t="s">
        <v>1568</v>
      </c>
      <c r="D74" s="237" t="s">
        <v>1518</v>
      </c>
      <c r="E74" s="238" t="s">
        <v>328</v>
      </c>
      <c r="F74" s="239" t="s">
        <v>1569</v>
      </c>
      <c r="G74" s="240" t="s">
        <v>833</v>
      </c>
      <c r="H74" s="240" t="s">
        <v>1570</v>
      </c>
      <c r="I74" s="240" t="s">
        <v>1389</v>
      </c>
      <c r="J74" s="240" t="s">
        <v>275</v>
      </c>
      <c r="K74" s="241" t="s">
        <v>1390</v>
      </c>
      <c r="L74" s="242" t="n">
        <v>46265</v>
      </c>
      <c r="M74" s="242" t="n">
        <v>46446</v>
      </c>
      <c r="N74" s="240" t="s">
        <v>1391</v>
      </c>
    </row>
    <row r="75" customFormat="false" ht="18" hidden="false" customHeight="true" outlineLevel="0" collapsed="false">
      <c r="B75" s="243" t="n">
        <v>70</v>
      </c>
      <c r="C75" s="244" t="s">
        <v>1571</v>
      </c>
      <c r="D75" s="245" t="s">
        <v>1518</v>
      </c>
      <c r="E75" s="246" t="s">
        <v>329</v>
      </c>
      <c r="F75" s="247" t="s">
        <v>1572</v>
      </c>
      <c r="G75" s="248" t="s">
        <v>838</v>
      </c>
      <c r="H75" s="248" t="s">
        <v>1573</v>
      </c>
      <c r="I75" s="248" t="s">
        <v>1389</v>
      </c>
      <c r="J75" s="248" t="s">
        <v>287</v>
      </c>
      <c r="K75" s="249" t="s">
        <v>1390</v>
      </c>
      <c r="L75" s="250" t="n">
        <v>46265</v>
      </c>
      <c r="M75" s="250" t="n">
        <v>46446</v>
      </c>
      <c r="N75" s="248" t="s">
        <v>1391</v>
      </c>
    </row>
    <row r="76" customFormat="false" ht="18" hidden="false" customHeight="true" outlineLevel="0" collapsed="false">
      <c r="B76" s="235" t="n">
        <v>71</v>
      </c>
      <c r="C76" s="236" t="s">
        <v>1574</v>
      </c>
      <c r="D76" s="237" t="s">
        <v>1518</v>
      </c>
      <c r="E76" s="238" t="s">
        <v>330</v>
      </c>
      <c r="F76" s="239" t="s">
        <v>1575</v>
      </c>
      <c r="G76" s="240" t="s">
        <v>843</v>
      </c>
      <c r="H76" s="240" t="s">
        <v>1576</v>
      </c>
      <c r="I76" s="240" t="s">
        <v>1471</v>
      </c>
      <c r="J76" s="240" t="s">
        <v>284</v>
      </c>
      <c r="K76" s="241" t="s">
        <v>1472</v>
      </c>
      <c r="L76" s="242" t="n">
        <v>46265</v>
      </c>
      <c r="M76" s="242" t="n">
        <v>46356</v>
      </c>
      <c r="N76" s="240" t="s">
        <v>1391</v>
      </c>
    </row>
    <row r="77" customFormat="false" ht="18" hidden="false" customHeight="true" outlineLevel="0" collapsed="false">
      <c r="B77" s="243" t="n">
        <v>72</v>
      </c>
      <c r="C77" s="244" t="s">
        <v>1577</v>
      </c>
      <c r="D77" s="245" t="s">
        <v>1518</v>
      </c>
      <c r="E77" s="246" t="s">
        <v>331</v>
      </c>
      <c r="F77" s="247" t="s">
        <v>1578</v>
      </c>
      <c r="G77" s="248" t="s">
        <v>848</v>
      </c>
      <c r="H77" s="248" t="s">
        <v>1579</v>
      </c>
      <c r="I77" s="248" t="s">
        <v>1389</v>
      </c>
      <c r="J77" s="248" t="s">
        <v>284</v>
      </c>
      <c r="K77" s="249" t="s">
        <v>1390</v>
      </c>
      <c r="L77" s="250" t="n">
        <v>46265</v>
      </c>
      <c r="M77" s="250" t="n">
        <v>46446</v>
      </c>
      <c r="N77" s="248" t="s">
        <v>1391</v>
      </c>
    </row>
    <row r="78" customFormat="false" ht="18" hidden="false" customHeight="true" outlineLevel="0" collapsed="false">
      <c r="B78" s="235" t="n">
        <v>73</v>
      </c>
      <c r="C78" s="236" t="s">
        <v>1580</v>
      </c>
      <c r="D78" s="237" t="s">
        <v>1518</v>
      </c>
      <c r="E78" s="238" t="s">
        <v>332</v>
      </c>
      <c r="F78" s="239" t="s">
        <v>1581</v>
      </c>
      <c r="G78" s="240" t="s">
        <v>853</v>
      </c>
      <c r="H78" s="240" t="s">
        <v>1582</v>
      </c>
      <c r="I78" s="240" t="s">
        <v>1471</v>
      </c>
      <c r="J78" s="240" t="s">
        <v>287</v>
      </c>
      <c r="K78" s="241" t="s">
        <v>1472</v>
      </c>
      <c r="L78" s="242" t="n">
        <v>46265</v>
      </c>
      <c r="M78" s="242" t="n">
        <v>46356</v>
      </c>
      <c r="N78" s="240" t="s">
        <v>1391</v>
      </c>
    </row>
    <row r="79" customFormat="false" ht="18" hidden="false" customHeight="true" outlineLevel="0" collapsed="false">
      <c r="B79" s="243" t="n">
        <v>74</v>
      </c>
      <c r="C79" s="244" t="s">
        <v>1583</v>
      </c>
      <c r="D79" s="245" t="s">
        <v>1518</v>
      </c>
      <c r="E79" s="246" t="s">
        <v>333</v>
      </c>
      <c r="F79" s="247" t="s">
        <v>1584</v>
      </c>
      <c r="G79" s="248" t="s">
        <v>858</v>
      </c>
      <c r="H79" s="248" t="s">
        <v>1585</v>
      </c>
      <c r="I79" s="248" t="s">
        <v>1389</v>
      </c>
      <c r="J79" s="248" t="s">
        <v>249</v>
      </c>
      <c r="K79" s="249" t="s">
        <v>1390</v>
      </c>
      <c r="L79" s="250" t="n">
        <v>46265</v>
      </c>
      <c r="M79" s="250" t="n">
        <v>46446</v>
      </c>
      <c r="N79" s="248" t="s">
        <v>1391</v>
      </c>
    </row>
    <row r="80" customFormat="false" ht="18" hidden="false" customHeight="true" outlineLevel="0" collapsed="false">
      <c r="B80" s="235" t="n">
        <v>75</v>
      </c>
      <c r="C80" s="236" t="s">
        <v>1586</v>
      </c>
      <c r="D80" s="237" t="s">
        <v>1518</v>
      </c>
      <c r="E80" s="238" t="s">
        <v>334</v>
      </c>
      <c r="F80" s="239" t="s">
        <v>1587</v>
      </c>
      <c r="G80" s="240" t="s">
        <v>566</v>
      </c>
      <c r="H80" s="240" t="s">
        <v>1380</v>
      </c>
      <c r="I80" s="240" t="s">
        <v>1381</v>
      </c>
      <c r="J80" s="240" t="s">
        <v>287</v>
      </c>
      <c r="K80" s="241" t="s">
        <v>1382</v>
      </c>
      <c r="L80" s="242" t="n">
        <v>46265</v>
      </c>
      <c r="M80" s="240"/>
      <c r="N80" s="240" t="s">
        <v>1383</v>
      </c>
    </row>
    <row r="81" customFormat="false" ht="18" hidden="false" customHeight="true" outlineLevel="0" collapsed="false">
      <c r="B81" s="243" t="n">
        <v>76</v>
      </c>
      <c r="C81" s="244" t="s">
        <v>1588</v>
      </c>
      <c r="D81" s="245" t="s">
        <v>1518</v>
      </c>
      <c r="E81" s="246" t="s">
        <v>335</v>
      </c>
      <c r="F81" s="247" t="s">
        <v>1589</v>
      </c>
      <c r="G81" s="248" t="s">
        <v>868</v>
      </c>
      <c r="H81" s="248" t="s">
        <v>1590</v>
      </c>
      <c r="I81" s="248" t="s">
        <v>1471</v>
      </c>
      <c r="J81" s="248" t="s">
        <v>249</v>
      </c>
      <c r="K81" s="249" t="s">
        <v>1472</v>
      </c>
      <c r="L81" s="250" t="n">
        <v>46265</v>
      </c>
      <c r="M81" s="250" t="n">
        <v>46356</v>
      </c>
      <c r="N81" s="248" t="s">
        <v>1391</v>
      </c>
    </row>
    <row r="82" customFormat="false" ht="18" hidden="false" customHeight="true" outlineLevel="0" collapsed="false">
      <c r="B82" s="235" t="n">
        <v>77</v>
      </c>
      <c r="C82" s="236" t="s">
        <v>1591</v>
      </c>
      <c r="D82" s="237" t="s">
        <v>1518</v>
      </c>
      <c r="E82" s="238" t="s">
        <v>336</v>
      </c>
      <c r="F82" s="239" t="s">
        <v>1592</v>
      </c>
      <c r="G82" s="240" t="s">
        <v>873</v>
      </c>
      <c r="H82" s="240" t="s">
        <v>1593</v>
      </c>
      <c r="I82" s="240" t="s">
        <v>1397</v>
      </c>
      <c r="J82" s="240" t="s">
        <v>284</v>
      </c>
      <c r="K82" s="241" t="s">
        <v>1398</v>
      </c>
      <c r="L82" s="242" t="n">
        <v>46265</v>
      </c>
      <c r="M82" s="242" t="n">
        <v>46326</v>
      </c>
      <c r="N82" s="240" t="s">
        <v>1399</v>
      </c>
    </row>
    <row r="83" customFormat="false" ht="18" hidden="false" customHeight="true" outlineLevel="0" collapsed="false">
      <c r="B83" s="243" t="n">
        <v>78</v>
      </c>
      <c r="C83" s="244" t="s">
        <v>1594</v>
      </c>
      <c r="D83" s="245" t="s">
        <v>1518</v>
      </c>
      <c r="E83" s="246" t="s">
        <v>337</v>
      </c>
      <c r="F83" s="247" t="s">
        <v>1595</v>
      </c>
      <c r="G83" s="248" t="s">
        <v>878</v>
      </c>
      <c r="H83" s="248" t="s">
        <v>1596</v>
      </c>
      <c r="I83" s="248" t="s">
        <v>1389</v>
      </c>
      <c r="J83" s="248" t="s">
        <v>284</v>
      </c>
      <c r="K83" s="249" t="s">
        <v>1390</v>
      </c>
      <c r="L83" s="250" t="n">
        <v>46265</v>
      </c>
      <c r="M83" s="250" t="n">
        <v>46446</v>
      </c>
      <c r="N83" s="248" t="s">
        <v>1391</v>
      </c>
    </row>
    <row r="84" customFormat="false" ht="18" hidden="false" customHeight="true" outlineLevel="0" collapsed="false">
      <c r="B84" s="235" t="n">
        <v>79</v>
      </c>
      <c r="C84" s="236" t="s">
        <v>1597</v>
      </c>
      <c r="D84" s="237" t="s">
        <v>1518</v>
      </c>
      <c r="E84" s="238" t="s">
        <v>338</v>
      </c>
      <c r="F84" s="239" t="s">
        <v>1598</v>
      </c>
      <c r="G84" s="240" t="s">
        <v>566</v>
      </c>
      <c r="H84" s="240" t="s">
        <v>1380</v>
      </c>
      <c r="I84" s="240" t="s">
        <v>1381</v>
      </c>
      <c r="J84" s="240" t="s">
        <v>284</v>
      </c>
      <c r="K84" s="241" t="s">
        <v>1382</v>
      </c>
      <c r="L84" s="242" t="n">
        <v>46265</v>
      </c>
      <c r="M84" s="240"/>
      <c r="N84" s="240" t="s">
        <v>1383</v>
      </c>
    </row>
    <row r="85" customFormat="false" ht="18" hidden="false" customHeight="true" outlineLevel="0" collapsed="false">
      <c r="B85" s="243" t="n">
        <v>80</v>
      </c>
      <c r="C85" s="244" t="s">
        <v>1599</v>
      </c>
      <c r="D85" s="245" t="s">
        <v>1518</v>
      </c>
      <c r="E85" s="246" t="s">
        <v>339</v>
      </c>
      <c r="F85" s="247" t="s">
        <v>1600</v>
      </c>
      <c r="G85" s="248" t="s">
        <v>886</v>
      </c>
      <c r="H85" s="248" t="s">
        <v>1601</v>
      </c>
      <c r="I85" s="248" t="s">
        <v>1389</v>
      </c>
      <c r="J85" s="248" t="s">
        <v>284</v>
      </c>
      <c r="K85" s="249" t="s">
        <v>1390</v>
      </c>
      <c r="L85" s="250" t="n">
        <v>46265</v>
      </c>
      <c r="M85" s="250" t="n">
        <v>46446</v>
      </c>
      <c r="N85" s="248" t="s">
        <v>1391</v>
      </c>
    </row>
    <row r="86" customFormat="false" ht="18" hidden="false" customHeight="true" outlineLevel="0" collapsed="false">
      <c r="B86" s="235" t="n">
        <v>81</v>
      </c>
      <c r="C86" s="236" t="s">
        <v>1602</v>
      </c>
      <c r="D86" s="237" t="s">
        <v>1518</v>
      </c>
      <c r="E86" s="238" t="s">
        <v>340</v>
      </c>
      <c r="F86" s="239" t="s">
        <v>1603</v>
      </c>
      <c r="G86" s="240" t="s">
        <v>891</v>
      </c>
      <c r="H86" s="240" t="s">
        <v>1604</v>
      </c>
      <c r="I86" s="240" t="s">
        <v>1471</v>
      </c>
      <c r="J86" s="240" t="s">
        <v>249</v>
      </c>
      <c r="K86" s="241" t="s">
        <v>1472</v>
      </c>
      <c r="L86" s="242" t="n">
        <v>46265</v>
      </c>
      <c r="M86" s="242" t="n">
        <v>46356</v>
      </c>
      <c r="N86" s="240" t="s">
        <v>1391</v>
      </c>
    </row>
    <row r="87" customFormat="false" ht="18" hidden="false" customHeight="true" outlineLevel="0" collapsed="false">
      <c r="B87" s="243" t="n">
        <v>82</v>
      </c>
      <c r="C87" s="244" t="s">
        <v>1605</v>
      </c>
      <c r="D87" s="245" t="s">
        <v>1518</v>
      </c>
      <c r="E87" s="246" t="s">
        <v>341</v>
      </c>
      <c r="F87" s="247" t="s">
        <v>1606</v>
      </c>
      <c r="G87" s="248" t="s">
        <v>896</v>
      </c>
      <c r="H87" s="248" t="s">
        <v>1607</v>
      </c>
      <c r="I87" s="248" t="s">
        <v>1471</v>
      </c>
      <c r="J87" s="248" t="s">
        <v>249</v>
      </c>
      <c r="K87" s="249" t="s">
        <v>1472</v>
      </c>
      <c r="L87" s="250" t="n">
        <v>46265</v>
      </c>
      <c r="M87" s="250" t="n">
        <v>46356</v>
      </c>
      <c r="N87" s="248" t="s">
        <v>1391</v>
      </c>
    </row>
    <row r="88" customFormat="false" ht="18" hidden="false" customHeight="true" outlineLevel="0" collapsed="false">
      <c r="B88" s="235" t="n">
        <v>83</v>
      </c>
      <c r="C88" s="236" t="s">
        <v>1608</v>
      </c>
      <c r="D88" s="237" t="s">
        <v>1518</v>
      </c>
      <c r="E88" s="238" t="s">
        <v>342</v>
      </c>
      <c r="F88" s="239" t="s">
        <v>1609</v>
      </c>
      <c r="G88" s="240" t="s">
        <v>901</v>
      </c>
      <c r="H88" s="240" t="s">
        <v>1610</v>
      </c>
      <c r="I88" s="240" t="s">
        <v>1471</v>
      </c>
      <c r="J88" s="240" t="s">
        <v>249</v>
      </c>
      <c r="K88" s="241" t="s">
        <v>1472</v>
      </c>
      <c r="L88" s="242" t="n">
        <v>46265</v>
      </c>
      <c r="M88" s="242" t="n">
        <v>46356</v>
      </c>
      <c r="N88" s="240" t="s">
        <v>1391</v>
      </c>
    </row>
    <row r="89" customFormat="false" ht="18" hidden="false" customHeight="true" outlineLevel="0" collapsed="false">
      <c r="B89" s="243" t="n">
        <v>84</v>
      </c>
      <c r="C89" s="244" t="s">
        <v>1611</v>
      </c>
      <c r="D89" s="245" t="s">
        <v>1518</v>
      </c>
      <c r="E89" s="246" t="s">
        <v>343</v>
      </c>
      <c r="F89" s="247" t="s">
        <v>1612</v>
      </c>
      <c r="G89" s="248" t="s">
        <v>907</v>
      </c>
      <c r="H89" s="248" t="s">
        <v>1613</v>
      </c>
      <c r="I89" s="248" t="s">
        <v>1471</v>
      </c>
      <c r="J89" s="248" t="s">
        <v>249</v>
      </c>
      <c r="K89" s="249" t="s">
        <v>1472</v>
      </c>
      <c r="L89" s="250" t="n">
        <v>46265</v>
      </c>
      <c r="M89" s="250" t="n">
        <v>46356</v>
      </c>
      <c r="N89" s="248" t="s">
        <v>1391</v>
      </c>
    </row>
    <row r="90" customFormat="false" ht="18" hidden="false" customHeight="true" outlineLevel="0" collapsed="false">
      <c r="B90" s="235" t="n">
        <v>85</v>
      </c>
      <c r="C90" s="236" t="s">
        <v>1614</v>
      </c>
      <c r="D90" s="237" t="s">
        <v>1518</v>
      </c>
      <c r="E90" s="238" t="s">
        <v>344</v>
      </c>
      <c r="F90" s="239" t="s">
        <v>1615</v>
      </c>
      <c r="G90" s="240" t="s">
        <v>912</v>
      </c>
      <c r="H90" s="240" t="s">
        <v>1616</v>
      </c>
      <c r="I90" s="240" t="s">
        <v>1471</v>
      </c>
      <c r="J90" s="240" t="s">
        <v>287</v>
      </c>
      <c r="K90" s="241" t="s">
        <v>1472</v>
      </c>
      <c r="L90" s="242" t="n">
        <v>46265</v>
      </c>
      <c r="M90" s="242" t="n">
        <v>46356</v>
      </c>
      <c r="N90" s="240" t="s">
        <v>1391</v>
      </c>
    </row>
    <row r="91" customFormat="false" ht="18" hidden="false" customHeight="true" outlineLevel="0" collapsed="false">
      <c r="B91" s="243" t="n">
        <v>86</v>
      </c>
      <c r="C91" s="244" t="s">
        <v>1617</v>
      </c>
      <c r="D91" s="245" t="s">
        <v>1518</v>
      </c>
      <c r="E91" s="246" t="s">
        <v>345</v>
      </c>
      <c r="F91" s="247" t="s">
        <v>1618</v>
      </c>
      <c r="G91" s="248" t="s">
        <v>917</v>
      </c>
      <c r="H91" s="248" t="s">
        <v>1380</v>
      </c>
      <c r="I91" s="248" t="s">
        <v>1381</v>
      </c>
      <c r="J91" s="248" t="s">
        <v>287</v>
      </c>
      <c r="K91" s="249" t="s">
        <v>1382</v>
      </c>
      <c r="L91" s="250" t="n">
        <v>46265</v>
      </c>
      <c r="M91" s="248"/>
      <c r="N91" s="248" t="s">
        <v>1383</v>
      </c>
    </row>
    <row r="92" customFormat="false" ht="18" hidden="false" customHeight="true" outlineLevel="0" collapsed="false">
      <c r="B92" s="235" t="n">
        <v>87</v>
      </c>
      <c r="C92" s="236" t="s">
        <v>1619</v>
      </c>
      <c r="D92" s="237" t="s">
        <v>1518</v>
      </c>
      <c r="E92" s="238" t="s">
        <v>346</v>
      </c>
      <c r="F92" s="239" t="s">
        <v>1620</v>
      </c>
      <c r="G92" s="240" t="s">
        <v>922</v>
      </c>
      <c r="H92" s="240" t="s">
        <v>1621</v>
      </c>
      <c r="I92" s="240" t="s">
        <v>1471</v>
      </c>
      <c r="J92" s="240" t="s">
        <v>249</v>
      </c>
      <c r="K92" s="241" t="s">
        <v>1472</v>
      </c>
      <c r="L92" s="242" t="n">
        <v>46265</v>
      </c>
      <c r="M92" s="242" t="n">
        <v>46356</v>
      </c>
      <c r="N92" s="240" t="s">
        <v>1391</v>
      </c>
    </row>
    <row r="93" customFormat="false" ht="18" hidden="false" customHeight="true" outlineLevel="0" collapsed="false">
      <c r="B93" s="243" t="n">
        <v>88</v>
      </c>
      <c r="C93" s="244" t="s">
        <v>1622</v>
      </c>
      <c r="D93" s="245" t="s">
        <v>1518</v>
      </c>
      <c r="E93" s="246" t="s">
        <v>347</v>
      </c>
      <c r="F93" s="247" t="s">
        <v>1623</v>
      </c>
      <c r="G93" s="248" t="s">
        <v>927</v>
      </c>
      <c r="H93" s="248" t="s">
        <v>1624</v>
      </c>
      <c r="I93" s="248" t="s">
        <v>1471</v>
      </c>
      <c r="J93" s="248" t="s">
        <v>287</v>
      </c>
      <c r="K93" s="249" t="s">
        <v>1472</v>
      </c>
      <c r="L93" s="250" t="n">
        <v>46265</v>
      </c>
      <c r="M93" s="250" t="n">
        <v>46356</v>
      </c>
      <c r="N93" s="248" t="s">
        <v>1391</v>
      </c>
    </row>
    <row r="94" customFormat="false" ht="18" hidden="false" customHeight="true" outlineLevel="0" collapsed="false">
      <c r="B94" s="235" t="n">
        <v>89</v>
      </c>
      <c r="C94" s="236" t="s">
        <v>1625</v>
      </c>
      <c r="D94" s="237" t="s">
        <v>1518</v>
      </c>
      <c r="E94" s="238" t="s">
        <v>348</v>
      </c>
      <c r="F94" s="239" t="s">
        <v>1626</v>
      </c>
      <c r="G94" s="240" t="s">
        <v>932</v>
      </c>
      <c r="H94" s="240" t="s">
        <v>1627</v>
      </c>
      <c r="I94" s="240" t="s">
        <v>1471</v>
      </c>
      <c r="J94" s="240" t="s">
        <v>249</v>
      </c>
      <c r="K94" s="241" t="s">
        <v>1472</v>
      </c>
      <c r="L94" s="242" t="n">
        <v>46265</v>
      </c>
      <c r="M94" s="242" t="n">
        <v>46356</v>
      </c>
      <c r="N94" s="240" t="s">
        <v>1391</v>
      </c>
    </row>
    <row r="95" customFormat="false" ht="18" hidden="false" customHeight="true" outlineLevel="0" collapsed="false">
      <c r="B95" s="243" t="n">
        <v>90</v>
      </c>
      <c r="C95" s="244" t="s">
        <v>1628</v>
      </c>
      <c r="D95" s="245" t="s">
        <v>1518</v>
      </c>
      <c r="E95" s="246" t="s">
        <v>349</v>
      </c>
      <c r="F95" s="247" t="s">
        <v>1629</v>
      </c>
      <c r="G95" s="248" t="s">
        <v>566</v>
      </c>
      <c r="H95" s="248" t="s">
        <v>1380</v>
      </c>
      <c r="I95" s="248" t="s">
        <v>1381</v>
      </c>
      <c r="J95" s="248" t="s">
        <v>249</v>
      </c>
      <c r="K95" s="249" t="s">
        <v>1382</v>
      </c>
      <c r="L95" s="250" t="n">
        <v>46265</v>
      </c>
      <c r="M95" s="248"/>
      <c r="N95" s="248" t="s">
        <v>1383</v>
      </c>
    </row>
    <row r="96" customFormat="false" ht="18" hidden="false" customHeight="true" outlineLevel="0" collapsed="false">
      <c r="B96" s="235" t="n">
        <v>91</v>
      </c>
      <c r="C96" s="236" t="s">
        <v>1630</v>
      </c>
      <c r="D96" s="237" t="s">
        <v>1518</v>
      </c>
      <c r="E96" s="238" t="s">
        <v>350</v>
      </c>
      <c r="F96" s="239" t="s">
        <v>1631</v>
      </c>
      <c r="G96" s="240" t="s">
        <v>940</v>
      </c>
      <c r="H96" s="240" t="s">
        <v>1632</v>
      </c>
      <c r="I96" s="240" t="s">
        <v>1471</v>
      </c>
      <c r="J96" s="240" t="s">
        <v>249</v>
      </c>
      <c r="K96" s="241" t="s">
        <v>1472</v>
      </c>
      <c r="L96" s="242" t="n">
        <v>46265</v>
      </c>
      <c r="M96" s="242" t="n">
        <v>46356</v>
      </c>
      <c r="N96" s="240" t="s">
        <v>1391</v>
      </c>
    </row>
    <row r="97" customFormat="false" ht="18" hidden="false" customHeight="true" outlineLevel="0" collapsed="false">
      <c r="B97" s="243" t="n">
        <v>92</v>
      </c>
      <c r="C97" s="244" t="s">
        <v>1633</v>
      </c>
      <c r="D97" s="245" t="s">
        <v>1518</v>
      </c>
      <c r="E97" s="246" t="s">
        <v>351</v>
      </c>
      <c r="F97" s="247" t="s">
        <v>1634</v>
      </c>
      <c r="G97" s="248" t="s">
        <v>945</v>
      </c>
      <c r="H97" s="248" t="s">
        <v>1635</v>
      </c>
      <c r="I97" s="248" t="s">
        <v>1471</v>
      </c>
      <c r="J97" s="248" t="s">
        <v>287</v>
      </c>
      <c r="K97" s="249" t="s">
        <v>1472</v>
      </c>
      <c r="L97" s="250" t="n">
        <v>46265</v>
      </c>
      <c r="M97" s="250" t="n">
        <v>46356</v>
      </c>
      <c r="N97" s="248" t="s">
        <v>1391</v>
      </c>
    </row>
    <row r="98" customFormat="false" ht="18" hidden="false" customHeight="true" outlineLevel="0" collapsed="false">
      <c r="B98" s="235" t="n">
        <v>93</v>
      </c>
      <c r="C98" s="236" t="s">
        <v>1636</v>
      </c>
      <c r="D98" s="237" t="s">
        <v>1518</v>
      </c>
      <c r="E98" s="238" t="s">
        <v>352</v>
      </c>
      <c r="F98" s="239" t="s">
        <v>1637</v>
      </c>
      <c r="G98" s="240" t="s">
        <v>950</v>
      </c>
      <c r="H98" s="240" t="s">
        <v>1638</v>
      </c>
      <c r="I98" s="240" t="s">
        <v>1471</v>
      </c>
      <c r="J98" s="240" t="s">
        <v>249</v>
      </c>
      <c r="K98" s="241" t="s">
        <v>1472</v>
      </c>
      <c r="L98" s="242" t="n">
        <v>46265</v>
      </c>
      <c r="M98" s="242" t="n">
        <v>46356</v>
      </c>
      <c r="N98" s="240" t="s">
        <v>1391</v>
      </c>
    </row>
    <row r="99" customFormat="false" ht="18" hidden="false" customHeight="true" outlineLevel="0" collapsed="false">
      <c r="B99" s="243" t="n">
        <v>94</v>
      </c>
      <c r="C99" s="244" t="s">
        <v>1639</v>
      </c>
      <c r="D99" s="245" t="s">
        <v>1518</v>
      </c>
      <c r="E99" s="246" t="s">
        <v>353</v>
      </c>
      <c r="F99" s="247" t="s">
        <v>1640</v>
      </c>
      <c r="G99" s="248" t="s">
        <v>955</v>
      </c>
      <c r="H99" s="248" t="s">
        <v>1641</v>
      </c>
      <c r="I99" s="248" t="s">
        <v>1471</v>
      </c>
      <c r="J99" s="248" t="s">
        <v>284</v>
      </c>
      <c r="K99" s="249" t="s">
        <v>1472</v>
      </c>
      <c r="L99" s="250" t="n">
        <v>46265</v>
      </c>
      <c r="M99" s="250" t="n">
        <v>46356</v>
      </c>
      <c r="N99" s="248" t="s">
        <v>1391</v>
      </c>
    </row>
    <row r="100" customFormat="false" ht="18" hidden="false" customHeight="true" outlineLevel="0" collapsed="false">
      <c r="B100" s="235" t="n">
        <v>95</v>
      </c>
      <c r="C100" s="236" t="s">
        <v>1642</v>
      </c>
      <c r="D100" s="237" t="s">
        <v>1518</v>
      </c>
      <c r="E100" s="238" t="s">
        <v>354</v>
      </c>
      <c r="F100" s="239" t="s">
        <v>1643</v>
      </c>
      <c r="G100" s="240" t="s">
        <v>960</v>
      </c>
      <c r="H100" s="240" t="s">
        <v>1644</v>
      </c>
      <c r="I100" s="240" t="s">
        <v>1471</v>
      </c>
      <c r="J100" s="240" t="s">
        <v>249</v>
      </c>
      <c r="K100" s="241" t="s">
        <v>1472</v>
      </c>
      <c r="L100" s="242" t="n">
        <v>46265</v>
      </c>
      <c r="M100" s="242" t="n">
        <v>46356</v>
      </c>
      <c r="N100" s="240" t="s">
        <v>1391</v>
      </c>
    </row>
    <row r="101" customFormat="false" ht="18" hidden="false" customHeight="true" outlineLevel="0" collapsed="false">
      <c r="B101" s="243" t="n">
        <v>96</v>
      </c>
      <c r="C101" s="244" t="s">
        <v>1645</v>
      </c>
      <c r="D101" s="245" t="s">
        <v>1518</v>
      </c>
      <c r="E101" s="246" t="s">
        <v>355</v>
      </c>
      <c r="F101" s="247" t="s">
        <v>1646</v>
      </c>
      <c r="G101" s="248" t="s">
        <v>1441</v>
      </c>
      <c r="H101" s="248" t="s">
        <v>1381</v>
      </c>
      <c r="I101" s="248"/>
      <c r="J101" s="248" t="s">
        <v>284</v>
      </c>
      <c r="K101" s="249" t="s">
        <v>1382</v>
      </c>
      <c r="L101" s="248"/>
      <c r="M101" s="248"/>
      <c r="N101" s="248" t="s">
        <v>1442</v>
      </c>
    </row>
    <row r="102" customFormat="false" ht="18" hidden="false" customHeight="true" outlineLevel="0" collapsed="false">
      <c r="B102" s="235" t="n">
        <v>97</v>
      </c>
      <c r="C102" s="236" t="s">
        <v>1647</v>
      </c>
      <c r="D102" s="237" t="s">
        <v>1518</v>
      </c>
      <c r="E102" s="238" t="s">
        <v>356</v>
      </c>
      <c r="F102" s="239" t="s">
        <v>1648</v>
      </c>
      <c r="G102" s="240" t="s">
        <v>969</v>
      </c>
      <c r="H102" s="240" t="s">
        <v>1649</v>
      </c>
      <c r="I102" s="240" t="s">
        <v>1389</v>
      </c>
      <c r="J102" s="240" t="s">
        <v>275</v>
      </c>
      <c r="K102" s="241" t="s">
        <v>1390</v>
      </c>
      <c r="L102" s="242" t="n">
        <v>46265</v>
      </c>
      <c r="M102" s="242" t="n">
        <v>46446</v>
      </c>
      <c r="N102" s="240" t="s">
        <v>1391</v>
      </c>
    </row>
    <row r="103" customFormat="false" ht="18" hidden="false" customHeight="true" outlineLevel="0" collapsed="false">
      <c r="B103" s="243" t="n">
        <v>98</v>
      </c>
      <c r="C103" s="244" t="s">
        <v>1650</v>
      </c>
      <c r="D103" s="245" t="s">
        <v>1518</v>
      </c>
      <c r="E103" s="246" t="s">
        <v>357</v>
      </c>
      <c r="F103" s="247" t="s">
        <v>1651</v>
      </c>
      <c r="G103" s="248" t="s">
        <v>974</v>
      </c>
      <c r="H103" s="248" t="s">
        <v>1652</v>
      </c>
      <c r="I103" s="248" t="s">
        <v>1471</v>
      </c>
      <c r="J103" s="248" t="s">
        <v>275</v>
      </c>
      <c r="K103" s="249" t="s">
        <v>1472</v>
      </c>
      <c r="L103" s="250" t="n">
        <v>46265</v>
      </c>
      <c r="M103" s="250" t="n">
        <v>46356</v>
      </c>
      <c r="N103" s="248" t="s">
        <v>1391</v>
      </c>
    </row>
    <row r="104" customFormat="false" ht="18" hidden="false" customHeight="true" outlineLevel="0" collapsed="false">
      <c r="B104" s="235" t="n">
        <v>99</v>
      </c>
      <c r="C104" s="236" t="s">
        <v>1653</v>
      </c>
      <c r="D104" s="237" t="s">
        <v>1518</v>
      </c>
      <c r="E104" s="238" t="s">
        <v>358</v>
      </c>
      <c r="F104" s="239" t="s">
        <v>1654</v>
      </c>
      <c r="G104" s="240" t="s">
        <v>979</v>
      </c>
      <c r="H104" s="240" t="s">
        <v>1655</v>
      </c>
      <c r="I104" s="240" t="s">
        <v>1471</v>
      </c>
      <c r="J104" s="240" t="s">
        <v>275</v>
      </c>
      <c r="K104" s="241" t="s">
        <v>1472</v>
      </c>
      <c r="L104" s="242" t="n">
        <v>46265</v>
      </c>
      <c r="M104" s="242" t="n">
        <v>46356</v>
      </c>
      <c r="N104" s="240" t="s">
        <v>1391</v>
      </c>
    </row>
    <row r="105" customFormat="false" ht="18" hidden="false" customHeight="true" outlineLevel="0" collapsed="false">
      <c r="B105" s="243" t="n">
        <v>100</v>
      </c>
      <c r="C105" s="244" t="s">
        <v>1656</v>
      </c>
      <c r="D105" s="245" t="s">
        <v>1518</v>
      </c>
      <c r="E105" s="246" t="s">
        <v>359</v>
      </c>
      <c r="F105" s="247" t="s">
        <v>1657</v>
      </c>
      <c r="G105" s="248" t="s">
        <v>566</v>
      </c>
      <c r="H105" s="248" t="s">
        <v>1380</v>
      </c>
      <c r="I105" s="248" t="s">
        <v>1381</v>
      </c>
      <c r="J105" s="248" t="s">
        <v>275</v>
      </c>
      <c r="K105" s="249" t="s">
        <v>1382</v>
      </c>
      <c r="L105" s="250" t="n">
        <v>46265</v>
      </c>
      <c r="M105" s="248"/>
      <c r="N105" s="248" t="s">
        <v>1383</v>
      </c>
    </row>
    <row r="106" customFormat="false" ht="18" hidden="false" customHeight="true" outlineLevel="0" collapsed="false">
      <c r="B106" s="235" t="n">
        <v>101</v>
      </c>
      <c r="C106" s="236" t="s">
        <v>1658</v>
      </c>
      <c r="D106" s="237" t="s">
        <v>1518</v>
      </c>
      <c r="E106" s="238" t="s">
        <v>360</v>
      </c>
      <c r="F106" s="239" t="s">
        <v>1659</v>
      </c>
      <c r="G106" s="240" t="s">
        <v>988</v>
      </c>
      <c r="H106" s="240" t="s">
        <v>1660</v>
      </c>
      <c r="I106" s="240" t="s">
        <v>1471</v>
      </c>
      <c r="J106" s="240" t="s">
        <v>275</v>
      </c>
      <c r="K106" s="241" t="s">
        <v>1472</v>
      </c>
      <c r="L106" s="242" t="n">
        <v>46265</v>
      </c>
      <c r="M106" s="242" t="n">
        <v>46356</v>
      </c>
      <c r="N106" s="240" t="s">
        <v>1391</v>
      </c>
    </row>
    <row r="107" customFormat="false" ht="18" hidden="false" customHeight="true" outlineLevel="0" collapsed="false">
      <c r="B107" s="243" t="n">
        <v>102</v>
      </c>
      <c r="C107" s="244" t="s">
        <v>1661</v>
      </c>
      <c r="D107" s="245" t="s">
        <v>1518</v>
      </c>
      <c r="E107" s="246" t="s">
        <v>361</v>
      </c>
      <c r="F107" s="247" t="s">
        <v>1662</v>
      </c>
      <c r="G107" s="248" t="s">
        <v>993</v>
      </c>
      <c r="H107" s="248" t="s">
        <v>1663</v>
      </c>
      <c r="I107" s="248" t="s">
        <v>1471</v>
      </c>
      <c r="J107" s="248" t="s">
        <v>275</v>
      </c>
      <c r="K107" s="249" t="s">
        <v>1472</v>
      </c>
      <c r="L107" s="250" t="n">
        <v>46265</v>
      </c>
      <c r="M107" s="250" t="n">
        <v>46356</v>
      </c>
      <c r="N107" s="248" t="s">
        <v>1391</v>
      </c>
    </row>
    <row r="108" customFormat="false" ht="18" hidden="false" customHeight="true" outlineLevel="0" collapsed="false">
      <c r="B108" s="235" t="n">
        <v>103</v>
      </c>
      <c r="C108" s="236" t="s">
        <v>1664</v>
      </c>
      <c r="D108" s="237" t="s">
        <v>1518</v>
      </c>
      <c r="E108" s="238" t="s">
        <v>362</v>
      </c>
      <c r="F108" s="239" t="s">
        <v>1665</v>
      </c>
      <c r="G108" s="240" t="s">
        <v>998</v>
      </c>
      <c r="H108" s="240" t="s">
        <v>1666</v>
      </c>
      <c r="I108" s="240" t="s">
        <v>1471</v>
      </c>
      <c r="J108" s="240" t="s">
        <v>287</v>
      </c>
      <c r="K108" s="241" t="s">
        <v>1472</v>
      </c>
      <c r="L108" s="242" t="n">
        <v>46265</v>
      </c>
      <c r="M108" s="242" t="n">
        <v>46356</v>
      </c>
      <c r="N108" s="240" t="s">
        <v>1391</v>
      </c>
    </row>
    <row r="109" customFormat="false" ht="18" hidden="false" customHeight="true" outlineLevel="0" collapsed="false">
      <c r="B109" s="243" t="n">
        <v>104</v>
      </c>
      <c r="C109" s="244" t="s">
        <v>1667</v>
      </c>
      <c r="D109" s="245" t="s">
        <v>1518</v>
      </c>
      <c r="E109" s="246" t="s">
        <v>363</v>
      </c>
      <c r="F109" s="247" t="s">
        <v>1668</v>
      </c>
      <c r="G109" s="248" t="s">
        <v>566</v>
      </c>
      <c r="H109" s="248" t="s">
        <v>1380</v>
      </c>
      <c r="I109" s="248" t="s">
        <v>1381</v>
      </c>
      <c r="J109" s="248" t="s">
        <v>287</v>
      </c>
      <c r="K109" s="249" t="s">
        <v>1382</v>
      </c>
      <c r="L109" s="250" t="n">
        <v>46265</v>
      </c>
      <c r="M109" s="248"/>
      <c r="N109" s="248" t="s">
        <v>1383</v>
      </c>
    </row>
    <row r="110" customFormat="false" ht="18" hidden="false" customHeight="true" outlineLevel="0" collapsed="false">
      <c r="B110" s="235" t="n">
        <v>105</v>
      </c>
      <c r="C110" s="236" t="s">
        <v>1669</v>
      </c>
      <c r="D110" s="237" t="s">
        <v>1518</v>
      </c>
      <c r="E110" s="238" t="s">
        <v>364</v>
      </c>
      <c r="F110" s="239" t="s">
        <v>1670</v>
      </c>
      <c r="G110" s="240" t="s">
        <v>1007</v>
      </c>
      <c r="H110" s="240" t="s">
        <v>1671</v>
      </c>
      <c r="I110" s="240" t="s">
        <v>1471</v>
      </c>
      <c r="J110" s="240" t="s">
        <v>275</v>
      </c>
      <c r="K110" s="241" t="s">
        <v>1472</v>
      </c>
      <c r="L110" s="242" t="n">
        <v>46265</v>
      </c>
      <c r="M110" s="242" t="n">
        <v>46356</v>
      </c>
      <c r="N110" s="240" t="s">
        <v>1391</v>
      </c>
    </row>
    <row r="111" customFormat="false" ht="18" hidden="false" customHeight="true" outlineLevel="0" collapsed="false">
      <c r="B111" s="243" t="n">
        <v>106</v>
      </c>
      <c r="C111" s="244" t="s">
        <v>1672</v>
      </c>
      <c r="D111" s="245" t="s">
        <v>1518</v>
      </c>
      <c r="E111" s="246" t="s">
        <v>365</v>
      </c>
      <c r="F111" s="247" t="s">
        <v>1673</v>
      </c>
      <c r="G111" s="248" t="s">
        <v>1012</v>
      </c>
      <c r="H111" s="248" t="s">
        <v>1674</v>
      </c>
      <c r="I111" s="248" t="s">
        <v>1389</v>
      </c>
      <c r="J111" s="248" t="s">
        <v>275</v>
      </c>
      <c r="K111" s="249" t="s">
        <v>1390</v>
      </c>
      <c r="L111" s="250" t="n">
        <v>46265</v>
      </c>
      <c r="M111" s="250" t="n">
        <v>46446</v>
      </c>
      <c r="N111" s="248" t="s">
        <v>1391</v>
      </c>
    </row>
    <row r="112" customFormat="false" ht="18" hidden="false" customHeight="true" outlineLevel="0" collapsed="false">
      <c r="B112" s="235" t="n">
        <v>107</v>
      </c>
      <c r="C112" s="236" t="s">
        <v>1675</v>
      </c>
      <c r="D112" s="237" t="s">
        <v>1518</v>
      </c>
      <c r="E112" s="238" t="s">
        <v>366</v>
      </c>
      <c r="F112" s="239" t="s">
        <v>1676</v>
      </c>
      <c r="G112" s="240" t="s">
        <v>566</v>
      </c>
      <c r="H112" s="240" t="s">
        <v>1380</v>
      </c>
      <c r="I112" s="240" t="s">
        <v>1381</v>
      </c>
      <c r="J112" s="240" t="s">
        <v>275</v>
      </c>
      <c r="K112" s="241" t="s">
        <v>1382</v>
      </c>
      <c r="L112" s="242" t="n">
        <v>46265</v>
      </c>
      <c r="M112" s="240"/>
      <c r="N112" s="240" t="s">
        <v>1383</v>
      </c>
    </row>
    <row r="113" customFormat="false" ht="18" hidden="false" customHeight="true" outlineLevel="0" collapsed="false">
      <c r="B113" s="243" t="n">
        <v>108</v>
      </c>
      <c r="C113" s="244" t="s">
        <v>1677</v>
      </c>
      <c r="D113" s="245" t="s">
        <v>1518</v>
      </c>
      <c r="E113" s="246" t="s">
        <v>367</v>
      </c>
      <c r="F113" s="247" t="s">
        <v>1678</v>
      </c>
      <c r="G113" s="248" t="s">
        <v>566</v>
      </c>
      <c r="H113" s="248" t="s">
        <v>1380</v>
      </c>
      <c r="I113" s="248" t="s">
        <v>1381</v>
      </c>
      <c r="J113" s="248" t="s">
        <v>275</v>
      </c>
      <c r="K113" s="249" t="s">
        <v>1382</v>
      </c>
      <c r="L113" s="250" t="n">
        <v>46265</v>
      </c>
      <c r="M113" s="248"/>
      <c r="N113" s="248" t="s">
        <v>1383</v>
      </c>
    </row>
    <row r="114" customFormat="false" ht="18" hidden="false" customHeight="true" outlineLevel="0" collapsed="false">
      <c r="B114" s="235" t="n">
        <v>109</v>
      </c>
      <c r="C114" s="236" t="s">
        <v>1679</v>
      </c>
      <c r="D114" s="237" t="s">
        <v>1518</v>
      </c>
      <c r="E114" s="238" t="s">
        <v>368</v>
      </c>
      <c r="F114" s="239" t="s">
        <v>1680</v>
      </c>
      <c r="G114" s="240" t="s">
        <v>566</v>
      </c>
      <c r="H114" s="240" t="s">
        <v>1380</v>
      </c>
      <c r="I114" s="240" t="s">
        <v>1381</v>
      </c>
      <c r="J114" s="240" t="s">
        <v>287</v>
      </c>
      <c r="K114" s="241" t="s">
        <v>1382</v>
      </c>
      <c r="L114" s="242" t="n">
        <v>46265</v>
      </c>
      <c r="M114" s="240"/>
      <c r="N114" s="240" t="s">
        <v>1383</v>
      </c>
    </row>
    <row r="115" customFormat="false" ht="18" hidden="false" customHeight="true" outlineLevel="0" collapsed="false">
      <c r="B115" s="243" t="n">
        <v>110</v>
      </c>
      <c r="C115" s="244" t="s">
        <v>1681</v>
      </c>
      <c r="D115" s="245" t="s">
        <v>1518</v>
      </c>
      <c r="E115" s="246" t="s">
        <v>369</v>
      </c>
      <c r="F115" s="247" t="s">
        <v>1682</v>
      </c>
      <c r="G115" s="248" t="s">
        <v>1030</v>
      </c>
      <c r="H115" s="248" t="s">
        <v>1683</v>
      </c>
      <c r="I115" s="248" t="s">
        <v>1471</v>
      </c>
      <c r="J115" s="248" t="s">
        <v>287</v>
      </c>
      <c r="K115" s="249" t="s">
        <v>1472</v>
      </c>
      <c r="L115" s="250" t="n">
        <v>46265</v>
      </c>
      <c r="M115" s="250" t="n">
        <v>46356</v>
      </c>
      <c r="N115" s="248" t="s">
        <v>1391</v>
      </c>
    </row>
    <row r="116" customFormat="false" ht="18" hidden="false" customHeight="true" outlineLevel="0" collapsed="false">
      <c r="B116" s="235" t="n">
        <v>111</v>
      </c>
      <c r="C116" s="236" t="s">
        <v>1684</v>
      </c>
      <c r="D116" s="237" t="s">
        <v>1518</v>
      </c>
      <c r="E116" s="238" t="s">
        <v>370</v>
      </c>
      <c r="F116" s="239" t="s">
        <v>1685</v>
      </c>
      <c r="G116" s="240" t="s">
        <v>1035</v>
      </c>
      <c r="H116" s="240" t="s">
        <v>1686</v>
      </c>
      <c r="I116" s="240" t="s">
        <v>1389</v>
      </c>
      <c r="J116" s="240" t="s">
        <v>287</v>
      </c>
      <c r="K116" s="241" t="s">
        <v>1390</v>
      </c>
      <c r="L116" s="242" t="n">
        <v>46265</v>
      </c>
      <c r="M116" s="242" t="n">
        <v>46446</v>
      </c>
      <c r="N116" s="240" t="s">
        <v>1391</v>
      </c>
    </row>
    <row r="117" customFormat="false" ht="18" hidden="false" customHeight="true" outlineLevel="0" collapsed="false">
      <c r="B117" s="243" t="n">
        <v>112</v>
      </c>
      <c r="C117" s="244" t="s">
        <v>1687</v>
      </c>
      <c r="D117" s="245" t="s">
        <v>1518</v>
      </c>
      <c r="E117" s="246" t="s">
        <v>371</v>
      </c>
      <c r="F117" s="247" t="s">
        <v>1688</v>
      </c>
      <c r="G117" s="248" t="s">
        <v>1040</v>
      </c>
      <c r="H117" s="248" t="s">
        <v>1689</v>
      </c>
      <c r="I117" s="248" t="s">
        <v>1471</v>
      </c>
      <c r="J117" s="248" t="s">
        <v>287</v>
      </c>
      <c r="K117" s="249" t="s">
        <v>1472</v>
      </c>
      <c r="L117" s="250" t="n">
        <v>46265</v>
      </c>
      <c r="M117" s="250" t="n">
        <v>46356</v>
      </c>
      <c r="N117" s="248" t="s">
        <v>1391</v>
      </c>
    </row>
    <row r="118" customFormat="false" ht="18" hidden="false" customHeight="true" outlineLevel="0" collapsed="false">
      <c r="B118" s="235" t="n">
        <v>113</v>
      </c>
      <c r="C118" s="236" t="s">
        <v>1690</v>
      </c>
      <c r="D118" s="237" t="s">
        <v>1518</v>
      </c>
      <c r="E118" s="238" t="s">
        <v>372</v>
      </c>
      <c r="F118" s="239" t="s">
        <v>1691</v>
      </c>
      <c r="G118" s="240" t="s">
        <v>1045</v>
      </c>
      <c r="H118" s="240" t="s">
        <v>1692</v>
      </c>
      <c r="I118" s="240" t="s">
        <v>1471</v>
      </c>
      <c r="J118" s="240" t="s">
        <v>287</v>
      </c>
      <c r="K118" s="241" t="s">
        <v>1472</v>
      </c>
      <c r="L118" s="242" t="n">
        <v>46265</v>
      </c>
      <c r="M118" s="242" t="n">
        <v>46356</v>
      </c>
      <c r="N118" s="240" t="s">
        <v>1391</v>
      </c>
    </row>
    <row r="119" customFormat="false" ht="18" hidden="false" customHeight="true" outlineLevel="0" collapsed="false">
      <c r="B119" s="243" t="n">
        <v>114</v>
      </c>
      <c r="C119" s="244" t="s">
        <v>1693</v>
      </c>
      <c r="D119" s="245" t="s">
        <v>1518</v>
      </c>
      <c r="E119" s="246" t="s">
        <v>373</v>
      </c>
      <c r="F119" s="247" t="s">
        <v>1694</v>
      </c>
      <c r="G119" s="248" t="s">
        <v>1441</v>
      </c>
      <c r="H119" s="248" t="s">
        <v>1381</v>
      </c>
      <c r="I119" s="248"/>
      <c r="J119" s="248" t="s">
        <v>287</v>
      </c>
      <c r="K119" s="249" t="s">
        <v>1382</v>
      </c>
      <c r="L119" s="248"/>
      <c r="M119" s="248"/>
      <c r="N119" s="248" t="s">
        <v>1442</v>
      </c>
    </row>
    <row r="120" customFormat="false" ht="18" hidden="false" customHeight="true" outlineLevel="0" collapsed="false">
      <c r="B120" s="235" t="n">
        <v>115</v>
      </c>
      <c r="C120" s="236" t="s">
        <v>1695</v>
      </c>
      <c r="D120" s="237" t="s">
        <v>1518</v>
      </c>
      <c r="E120" s="238" t="s">
        <v>374</v>
      </c>
      <c r="F120" s="239" t="s">
        <v>1696</v>
      </c>
      <c r="G120" s="240" t="s">
        <v>1053</v>
      </c>
      <c r="H120" s="240" t="s">
        <v>1697</v>
      </c>
      <c r="I120" s="240" t="s">
        <v>1397</v>
      </c>
      <c r="J120" s="240" t="s">
        <v>252</v>
      </c>
      <c r="K120" s="241" t="s">
        <v>1398</v>
      </c>
      <c r="L120" s="242" t="n">
        <v>46265</v>
      </c>
      <c r="M120" s="242" t="n">
        <v>46326</v>
      </c>
      <c r="N120" s="240" t="s">
        <v>1399</v>
      </c>
    </row>
    <row r="121" customFormat="false" ht="18" hidden="false" customHeight="true" outlineLevel="0" collapsed="false">
      <c r="B121" s="243" t="n">
        <v>116</v>
      </c>
      <c r="C121" s="244" t="s">
        <v>1698</v>
      </c>
      <c r="D121" s="245" t="s">
        <v>1518</v>
      </c>
      <c r="E121" s="246" t="s">
        <v>375</v>
      </c>
      <c r="F121" s="247" t="s">
        <v>1699</v>
      </c>
      <c r="G121" s="248" t="s">
        <v>566</v>
      </c>
      <c r="H121" s="248" t="s">
        <v>1380</v>
      </c>
      <c r="I121" s="248" t="s">
        <v>1381</v>
      </c>
      <c r="J121" s="248" t="s">
        <v>249</v>
      </c>
      <c r="K121" s="249" t="s">
        <v>1382</v>
      </c>
      <c r="L121" s="250" t="n">
        <v>46265</v>
      </c>
      <c r="M121" s="248"/>
      <c r="N121" s="248" t="s">
        <v>1383</v>
      </c>
    </row>
    <row r="122" customFormat="false" ht="18" hidden="false" customHeight="true" outlineLevel="0" collapsed="false">
      <c r="B122" s="235" t="n">
        <v>117</v>
      </c>
      <c r="C122" s="236" t="s">
        <v>1700</v>
      </c>
      <c r="D122" s="237" t="s">
        <v>1518</v>
      </c>
      <c r="E122" s="238" t="s">
        <v>376</v>
      </c>
      <c r="F122" s="239" t="s">
        <v>1701</v>
      </c>
      <c r="G122" s="240" t="s">
        <v>1062</v>
      </c>
      <c r="H122" s="240" t="s">
        <v>1702</v>
      </c>
      <c r="I122" s="240" t="s">
        <v>1471</v>
      </c>
      <c r="J122" s="240" t="s">
        <v>287</v>
      </c>
      <c r="K122" s="241" t="s">
        <v>1472</v>
      </c>
      <c r="L122" s="242" t="n">
        <v>46265</v>
      </c>
      <c r="M122" s="242" t="n">
        <v>46356</v>
      </c>
      <c r="N122" s="240" t="s">
        <v>1391</v>
      </c>
    </row>
    <row r="123" customFormat="false" ht="18" hidden="false" customHeight="true" outlineLevel="0" collapsed="false">
      <c r="B123" s="243" t="n">
        <v>118</v>
      </c>
      <c r="C123" s="244" t="s">
        <v>1703</v>
      </c>
      <c r="D123" s="245" t="s">
        <v>1518</v>
      </c>
      <c r="E123" s="246" t="s">
        <v>377</v>
      </c>
      <c r="F123" s="247" t="s">
        <v>1704</v>
      </c>
      <c r="G123" s="248" t="s">
        <v>1067</v>
      </c>
      <c r="H123" s="248" t="s">
        <v>1705</v>
      </c>
      <c r="I123" s="248" t="s">
        <v>1471</v>
      </c>
      <c r="J123" s="248" t="s">
        <v>287</v>
      </c>
      <c r="K123" s="249" t="s">
        <v>1472</v>
      </c>
      <c r="L123" s="250" t="n">
        <v>46265</v>
      </c>
      <c r="M123" s="250" t="n">
        <v>46356</v>
      </c>
      <c r="N123" s="248" t="s">
        <v>1391</v>
      </c>
    </row>
    <row r="124" customFormat="false" ht="18" hidden="false" customHeight="true" outlineLevel="0" collapsed="false">
      <c r="B124" s="235" t="n">
        <v>119</v>
      </c>
      <c r="C124" s="236" t="s">
        <v>1706</v>
      </c>
      <c r="D124" s="237" t="s">
        <v>1518</v>
      </c>
      <c r="E124" s="238" t="s">
        <v>378</v>
      </c>
      <c r="F124" s="239" t="s">
        <v>1707</v>
      </c>
      <c r="G124" s="240" t="s">
        <v>566</v>
      </c>
      <c r="H124" s="240" t="s">
        <v>1380</v>
      </c>
      <c r="I124" s="240" t="s">
        <v>1381</v>
      </c>
      <c r="J124" s="240" t="s">
        <v>287</v>
      </c>
      <c r="K124" s="241" t="s">
        <v>1382</v>
      </c>
      <c r="L124" s="242" t="n">
        <v>46265</v>
      </c>
      <c r="M124" s="240"/>
      <c r="N124" s="240" t="s">
        <v>1383</v>
      </c>
    </row>
    <row r="125" customFormat="false" ht="18" hidden="false" customHeight="true" outlineLevel="0" collapsed="false">
      <c r="B125" s="243" t="n">
        <v>120</v>
      </c>
      <c r="C125" s="244" t="s">
        <v>1708</v>
      </c>
      <c r="D125" s="245" t="s">
        <v>1518</v>
      </c>
      <c r="E125" s="246" t="s">
        <v>379</v>
      </c>
      <c r="F125" s="247" t="s">
        <v>1709</v>
      </c>
      <c r="G125" s="248" t="s">
        <v>1441</v>
      </c>
      <c r="H125" s="248" t="s">
        <v>1381</v>
      </c>
      <c r="I125" s="248"/>
      <c r="J125" s="248" t="s">
        <v>275</v>
      </c>
      <c r="K125" s="249" t="s">
        <v>1382</v>
      </c>
      <c r="L125" s="248"/>
      <c r="M125" s="248"/>
      <c r="N125" s="248" t="s">
        <v>1442</v>
      </c>
    </row>
    <row r="126" customFormat="false" ht="18" hidden="false" customHeight="true" outlineLevel="0" collapsed="false">
      <c r="B126" s="235" t="n">
        <v>121</v>
      </c>
      <c r="C126" s="236" t="s">
        <v>1710</v>
      </c>
      <c r="D126" s="237" t="s">
        <v>1518</v>
      </c>
      <c r="E126" s="238" t="s">
        <v>380</v>
      </c>
      <c r="F126" s="239" t="s">
        <v>1711</v>
      </c>
      <c r="G126" s="240" t="s">
        <v>1441</v>
      </c>
      <c r="H126" s="240" t="s">
        <v>1381</v>
      </c>
      <c r="I126" s="240"/>
      <c r="J126" s="240" t="s">
        <v>275</v>
      </c>
      <c r="K126" s="241" t="s">
        <v>1382</v>
      </c>
      <c r="L126" s="240"/>
      <c r="M126" s="240"/>
      <c r="N126" s="240" t="s">
        <v>1442</v>
      </c>
    </row>
    <row r="127" customFormat="false" ht="18" hidden="false" customHeight="true" outlineLevel="0" collapsed="false">
      <c r="B127" s="243" t="n">
        <v>122</v>
      </c>
      <c r="C127" s="244" t="s">
        <v>1712</v>
      </c>
      <c r="D127" s="245" t="s">
        <v>1518</v>
      </c>
      <c r="E127" s="246" t="s">
        <v>381</v>
      </c>
      <c r="F127" s="247" t="s">
        <v>1713</v>
      </c>
      <c r="G127" s="248" t="s">
        <v>1441</v>
      </c>
      <c r="H127" s="248" t="s">
        <v>1381</v>
      </c>
      <c r="I127" s="248"/>
      <c r="J127" s="248" t="s">
        <v>275</v>
      </c>
      <c r="K127" s="249" t="s">
        <v>1382</v>
      </c>
      <c r="L127" s="248"/>
      <c r="M127" s="248"/>
      <c r="N127" s="248" t="s">
        <v>1442</v>
      </c>
    </row>
    <row r="128" customFormat="false" ht="18" hidden="false" customHeight="true" outlineLevel="0" collapsed="false">
      <c r="B128" s="235" t="n">
        <v>123</v>
      </c>
      <c r="C128" s="236" t="s">
        <v>1714</v>
      </c>
      <c r="D128" s="237" t="s">
        <v>1518</v>
      </c>
      <c r="E128" s="238" t="s">
        <v>382</v>
      </c>
      <c r="F128" s="239" t="s">
        <v>1715</v>
      </c>
      <c r="G128" s="240" t="s">
        <v>1441</v>
      </c>
      <c r="H128" s="240" t="s">
        <v>1381</v>
      </c>
      <c r="I128" s="240"/>
      <c r="J128" s="240" t="s">
        <v>275</v>
      </c>
      <c r="K128" s="241" t="s">
        <v>1382</v>
      </c>
      <c r="L128" s="240"/>
      <c r="M128" s="240"/>
      <c r="N128" s="240" t="s">
        <v>1442</v>
      </c>
    </row>
    <row r="129" customFormat="false" ht="18" hidden="false" customHeight="true" outlineLevel="0" collapsed="false">
      <c r="B129" s="243" t="n">
        <v>124</v>
      </c>
      <c r="C129" s="244" t="s">
        <v>1716</v>
      </c>
      <c r="D129" s="245" t="s">
        <v>1518</v>
      </c>
      <c r="E129" s="246" t="s">
        <v>383</v>
      </c>
      <c r="F129" s="247" t="s">
        <v>1717</v>
      </c>
      <c r="G129" s="248" t="s">
        <v>1090</v>
      </c>
      <c r="H129" s="248" t="s">
        <v>1718</v>
      </c>
      <c r="I129" s="248" t="s">
        <v>1389</v>
      </c>
      <c r="J129" s="248" t="s">
        <v>384</v>
      </c>
      <c r="K129" s="249" t="s">
        <v>1390</v>
      </c>
      <c r="L129" s="250" t="n">
        <v>46265</v>
      </c>
      <c r="M129" s="250" t="n">
        <v>46446</v>
      </c>
      <c r="N129" s="248" t="s">
        <v>1391</v>
      </c>
    </row>
    <row r="130" customFormat="false" ht="18" hidden="false" customHeight="true" outlineLevel="0" collapsed="false">
      <c r="B130" s="235" t="n">
        <v>125</v>
      </c>
      <c r="C130" s="236" t="s">
        <v>1719</v>
      </c>
      <c r="D130" s="237" t="s">
        <v>1518</v>
      </c>
      <c r="E130" s="238" t="s">
        <v>385</v>
      </c>
      <c r="F130" s="239" t="s">
        <v>1720</v>
      </c>
      <c r="G130" s="240" t="s">
        <v>1095</v>
      </c>
      <c r="H130" s="240" t="s">
        <v>1721</v>
      </c>
      <c r="I130" s="240" t="s">
        <v>1389</v>
      </c>
      <c r="J130" s="240" t="s">
        <v>254</v>
      </c>
      <c r="K130" s="241" t="s">
        <v>1390</v>
      </c>
      <c r="L130" s="242" t="n">
        <v>46265</v>
      </c>
      <c r="M130" s="242" t="n">
        <v>46446</v>
      </c>
      <c r="N130" s="240" t="s">
        <v>1391</v>
      </c>
    </row>
    <row r="131" customFormat="false" ht="18" hidden="false" customHeight="true" outlineLevel="0" collapsed="false">
      <c r="B131" s="243" t="n">
        <v>126</v>
      </c>
      <c r="C131" s="244" t="s">
        <v>1722</v>
      </c>
      <c r="D131" s="245" t="s">
        <v>1518</v>
      </c>
      <c r="E131" s="246" t="s">
        <v>386</v>
      </c>
      <c r="F131" s="247" t="s">
        <v>1723</v>
      </c>
      <c r="G131" s="248" t="s">
        <v>1100</v>
      </c>
      <c r="H131" s="248" t="s">
        <v>1724</v>
      </c>
      <c r="I131" s="248" t="s">
        <v>1389</v>
      </c>
      <c r="J131" s="248" t="s">
        <v>254</v>
      </c>
      <c r="K131" s="249" t="s">
        <v>1390</v>
      </c>
      <c r="L131" s="250" t="n">
        <v>46265</v>
      </c>
      <c r="M131" s="250" t="n">
        <v>46446</v>
      </c>
      <c r="N131" s="248" t="s">
        <v>1391</v>
      </c>
    </row>
    <row r="132" customFormat="false" ht="18" hidden="false" customHeight="true" outlineLevel="0" collapsed="false">
      <c r="B132" s="235" t="n">
        <v>127</v>
      </c>
      <c r="C132" s="236" t="s">
        <v>1725</v>
      </c>
      <c r="D132" s="237" t="s">
        <v>1518</v>
      </c>
      <c r="E132" s="238" t="s">
        <v>387</v>
      </c>
      <c r="F132" s="239" t="s">
        <v>1726</v>
      </c>
      <c r="G132" s="240" t="s">
        <v>566</v>
      </c>
      <c r="H132" s="240" t="s">
        <v>1380</v>
      </c>
      <c r="I132" s="240" t="s">
        <v>1381</v>
      </c>
      <c r="J132" s="240" t="s">
        <v>254</v>
      </c>
      <c r="K132" s="241" t="s">
        <v>1382</v>
      </c>
      <c r="L132" s="242" t="n">
        <v>46265</v>
      </c>
      <c r="M132" s="240"/>
      <c r="N132" s="240" t="s">
        <v>1383</v>
      </c>
    </row>
    <row r="133" customFormat="false" ht="18" hidden="false" customHeight="true" outlineLevel="0" collapsed="false">
      <c r="B133" s="243" t="n">
        <v>128</v>
      </c>
      <c r="C133" s="244" t="s">
        <v>1727</v>
      </c>
      <c r="D133" s="245" t="s">
        <v>1518</v>
      </c>
      <c r="E133" s="246" t="s">
        <v>388</v>
      </c>
      <c r="F133" s="247" t="s">
        <v>1728</v>
      </c>
      <c r="G133" s="248" t="s">
        <v>566</v>
      </c>
      <c r="H133" s="248" t="s">
        <v>1380</v>
      </c>
      <c r="I133" s="248" t="s">
        <v>1381</v>
      </c>
      <c r="J133" s="248" t="s">
        <v>254</v>
      </c>
      <c r="K133" s="249" t="s">
        <v>1382</v>
      </c>
      <c r="L133" s="250" t="n">
        <v>46265</v>
      </c>
      <c r="M133" s="248"/>
      <c r="N133" s="248" t="s">
        <v>1383</v>
      </c>
    </row>
    <row r="134" customFormat="false" ht="18" hidden="false" customHeight="true" outlineLevel="0" collapsed="false">
      <c r="B134" s="235" t="n">
        <v>129</v>
      </c>
      <c r="C134" s="236" t="s">
        <v>1729</v>
      </c>
      <c r="D134" s="237" t="s">
        <v>1518</v>
      </c>
      <c r="E134" s="238" t="s">
        <v>390</v>
      </c>
      <c r="F134" s="239" t="s">
        <v>1730</v>
      </c>
      <c r="G134" s="240" t="s">
        <v>1113</v>
      </c>
      <c r="H134" s="240" t="s">
        <v>1731</v>
      </c>
      <c r="I134" s="240" t="s">
        <v>1397</v>
      </c>
      <c r="J134" s="240" t="s">
        <v>254</v>
      </c>
      <c r="K134" s="241" t="s">
        <v>1398</v>
      </c>
      <c r="L134" s="242" t="n">
        <v>46265</v>
      </c>
      <c r="M134" s="242" t="n">
        <v>46326</v>
      </c>
      <c r="N134" s="240" t="s">
        <v>1399</v>
      </c>
    </row>
    <row r="135" customFormat="false" ht="18" hidden="false" customHeight="true" outlineLevel="0" collapsed="false">
      <c r="B135" s="243" t="n">
        <v>130</v>
      </c>
      <c r="C135" s="244" t="s">
        <v>1732</v>
      </c>
      <c r="D135" s="245" t="s">
        <v>1518</v>
      </c>
      <c r="E135" s="246" t="s">
        <v>391</v>
      </c>
      <c r="F135" s="247" t="s">
        <v>1733</v>
      </c>
      <c r="G135" s="248" t="s">
        <v>1118</v>
      </c>
      <c r="H135" s="248" t="s">
        <v>1734</v>
      </c>
      <c r="I135" s="248" t="s">
        <v>1389</v>
      </c>
      <c r="J135" s="248" t="s">
        <v>252</v>
      </c>
      <c r="K135" s="249" t="s">
        <v>1390</v>
      </c>
      <c r="L135" s="250" t="n">
        <v>46265</v>
      </c>
      <c r="M135" s="250" t="n">
        <v>46446</v>
      </c>
      <c r="N135" s="248" t="s">
        <v>1391</v>
      </c>
    </row>
    <row r="136" customFormat="false" ht="18" hidden="false" customHeight="true" outlineLevel="0" collapsed="false">
      <c r="B136" s="235" t="n">
        <v>131</v>
      </c>
      <c r="C136" s="236" t="s">
        <v>1735</v>
      </c>
      <c r="D136" s="237" t="s">
        <v>1518</v>
      </c>
      <c r="E136" s="238" t="s">
        <v>392</v>
      </c>
      <c r="F136" s="239" t="s">
        <v>1736</v>
      </c>
      <c r="G136" s="240" t="s">
        <v>1123</v>
      </c>
      <c r="H136" s="240" t="s">
        <v>1737</v>
      </c>
      <c r="I136" s="240" t="s">
        <v>1389</v>
      </c>
      <c r="J136" s="240" t="s">
        <v>254</v>
      </c>
      <c r="K136" s="241" t="s">
        <v>1390</v>
      </c>
      <c r="L136" s="242" t="n">
        <v>46265</v>
      </c>
      <c r="M136" s="242" t="n">
        <v>46446</v>
      </c>
      <c r="N136" s="240" t="s">
        <v>1391</v>
      </c>
    </row>
    <row r="137" customFormat="false" ht="18" hidden="false" customHeight="true" outlineLevel="0" collapsed="false">
      <c r="B137" s="243" t="n">
        <v>132</v>
      </c>
      <c r="C137" s="244" t="s">
        <v>1738</v>
      </c>
      <c r="D137" s="245" t="s">
        <v>1518</v>
      </c>
      <c r="E137" s="246" t="s">
        <v>393</v>
      </c>
      <c r="F137" s="247" t="s">
        <v>1739</v>
      </c>
      <c r="G137" s="248" t="s">
        <v>1128</v>
      </c>
      <c r="H137" s="248" t="s">
        <v>1740</v>
      </c>
      <c r="I137" s="248" t="s">
        <v>1389</v>
      </c>
      <c r="J137" s="248" t="s">
        <v>275</v>
      </c>
      <c r="K137" s="249" t="s">
        <v>1390</v>
      </c>
      <c r="L137" s="250" t="n">
        <v>46265</v>
      </c>
      <c r="M137" s="250" t="n">
        <v>46446</v>
      </c>
      <c r="N137" s="248" t="s">
        <v>1391</v>
      </c>
    </row>
    <row r="138" customFormat="false" ht="18" hidden="false" customHeight="true" outlineLevel="0" collapsed="false">
      <c r="B138" s="235" t="n">
        <v>133</v>
      </c>
      <c r="C138" s="236" t="s">
        <v>1741</v>
      </c>
      <c r="D138" s="237" t="s">
        <v>1518</v>
      </c>
      <c r="E138" s="238" t="s">
        <v>394</v>
      </c>
      <c r="F138" s="239" t="s">
        <v>1742</v>
      </c>
      <c r="G138" s="240" t="s">
        <v>1441</v>
      </c>
      <c r="H138" s="240" t="s">
        <v>1381</v>
      </c>
      <c r="I138" s="240"/>
      <c r="J138" s="240" t="s">
        <v>261</v>
      </c>
      <c r="K138" s="241" t="s">
        <v>1382</v>
      </c>
      <c r="L138" s="240"/>
      <c r="M138" s="240"/>
      <c r="N138" s="240" t="s">
        <v>1442</v>
      </c>
    </row>
    <row r="139" customFormat="false" ht="18" hidden="false" customHeight="true" outlineLevel="0" collapsed="false">
      <c r="B139" s="243" t="n">
        <v>134</v>
      </c>
      <c r="C139" s="244" t="s">
        <v>1743</v>
      </c>
      <c r="D139" s="245" t="s">
        <v>1744</v>
      </c>
      <c r="E139" s="246" t="s">
        <v>396</v>
      </c>
      <c r="F139" s="247" t="s">
        <v>1745</v>
      </c>
      <c r="G139" s="248" t="s">
        <v>566</v>
      </c>
      <c r="H139" s="248" t="s">
        <v>1380</v>
      </c>
      <c r="I139" s="248" t="s">
        <v>1381</v>
      </c>
      <c r="J139" s="248" t="s">
        <v>299</v>
      </c>
      <c r="K139" s="249" t="s">
        <v>1382</v>
      </c>
      <c r="L139" s="250" t="n">
        <v>46265</v>
      </c>
      <c r="M139" s="248"/>
      <c r="N139" s="248" t="s">
        <v>1383</v>
      </c>
    </row>
    <row r="140" customFormat="false" ht="18" hidden="false" customHeight="true" outlineLevel="0" collapsed="false">
      <c r="B140" s="235" t="n">
        <v>135</v>
      </c>
      <c r="C140" s="236" t="s">
        <v>1746</v>
      </c>
      <c r="D140" s="237" t="s">
        <v>1744</v>
      </c>
      <c r="E140" s="238" t="s">
        <v>397</v>
      </c>
      <c r="F140" s="239" t="s">
        <v>1747</v>
      </c>
      <c r="G140" s="240" t="s">
        <v>566</v>
      </c>
      <c r="H140" s="240" t="s">
        <v>1380</v>
      </c>
      <c r="I140" s="240" t="s">
        <v>1381</v>
      </c>
      <c r="J140" s="240" t="s">
        <v>299</v>
      </c>
      <c r="K140" s="241" t="s">
        <v>1382</v>
      </c>
      <c r="L140" s="242" t="n">
        <v>46265</v>
      </c>
      <c r="M140" s="240"/>
      <c r="N140" s="240" t="s">
        <v>1383</v>
      </c>
    </row>
    <row r="141" customFormat="false" ht="18" hidden="false" customHeight="true" outlineLevel="0" collapsed="false">
      <c r="B141" s="243" t="n">
        <v>136</v>
      </c>
      <c r="C141" s="244" t="s">
        <v>1748</v>
      </c>
      <c r="D141" s="245" t="s">
        <v>1744</v>
      </c>
      <c r="E141" s="246" t="s">
        <v>398</v>
      </c>
      <c r="F141" s="247" t="s">
        <v>1749</v>
      </c>
      <c r="G141" s="248" t="s">
        <v>1146</v>
      </c>
      <c r="H141" s="248" t="s">
        <v>1750</v>
      </c>
      <c r="I141" s="248" t="s">
        <v>1471</v>
      </c>
      <c r="J141" s="248" t="s">
        <v>299</v>
      </c>
      <c r="K141" s="249" t="s">
        <v>1472</v>
      </c>
      <c r="L141" s="250" t="n">
        <v>46265</v>
      </c>
      <c r="M141" s="250" t="n">
        <v>46356</v>
      </c>
      <c r="N141" s="248" t="s">
        <v>1391</v>
      </c>
    </row>
    <row r="142" customFormat="false" ht="18" hidden="false" customHeight="true" outlineLevel="0" collapsed="false">
      <c r="B142" s="235" t="n">
        <v>137</v>
      </c>
      <c r="C142" s="236" t="s">
        <v>1751</v>
      </c>
      <c r="D142" s="237" t="s">
        <v>1744</v>
      </c>
      <c r="E142" s="238" t="s">
        <v>399</v>
      </c>
      <c r="F142" s="239" t="s">
        <v>1752</v>
      </c>
      <c r="G142" s="240" t="s">
        <v>566</v>
      </c>
      <c r="H142" s="240" t="s">
        <v>1380</v>
      </c>
      <c r="I142" s="240" t="s">
        <v>1381</v>
      </c>
      <c r="J142" s="240" t="s">
        <v>299</v>
      </c>
      <c r="K142" s="241" t="s">
        <v>1382</v>
      </c>
      <c r="L142" s="242" t="n">
        <v>46265</v>
      </c>
      <c r="M142" s="240"/>
      <c r="N142" s="240" t="s">
        <v>1383</v>
      </c>
    </row>
    <row r="143" customFormat="false" ht="18" hidden="false" customHeight="true" outlineLevel="0" collapsed="false">
      <c r="B143" s="243" t="n">
        <v>138</v>
      </c>
      <c r="C143" s="244" t="s">
        <v>1753</v>
      </c>
      <c r="D143" s="245" t="s">
        <v>1744</v>
      </c>
      <c r="E143" s="246" t="s">
        <v>400</v>
      </c>
      <c r="F143" s="247" t="s">
        <v>1754</v>
      </c>
      <c r="G143" s="248" t="s">
        <v>1155</v>
      </c>
      <c r="H143" s="248" t="s">
        <v>1755</v>
      </c>
      <c r="I143" s="248" t="s">
        <v>1471</v>
      </c>
      <c r="J143" s="248" t="s">
        <v>287</v>
      </c>
      <c r="K143" s="249" t="s">
        <v>1472</v>
      </c>
      <c r="L143" s="250" t="n">
        <v>46265</v>
      </c>
      <c r="M143" s="250" t="n">
        <v>46356</v>
      </c>
      <c r="N143" s="248" t="s">
        <v>1391</v>
      </c>
    </row>
    <row r="144" customFormat="false" ht="18" hidden="false" customHeight="true" outlineLevel="0" collapsed="false">
      <c r="B144" s="235" t="n">
        <v>139</v>
      </c>
      <c r="C144" s="236" t="s">
        <v>1756</v>
      </c>
      <c r="D144" s="237" t="s">
        <v>1744</v>
      </c>
      <c r="E144" s="238" t="s">
        <v>401</v>
      </c>
      <c r="F144" s="239" t="s">
        <v>1757</v>
      </c>
      <c r="G144" s="240" t="s">
        <v>566</v>
      </c>
      <c r="H144" s="240" t="s">
        <v>1380</v>
      </c>
      <c r="I144" s="240" t="s">
        <v>1381</v>
      </c>
      <c r="J144" s="240" t="s">
        <v>299</v>
      </c>
      <c r="K144" s="241" t="s">
        <v>1382</v>
      </c>
      <c r="L144" s="242" t="n">
        <v>46265</v>
      </c>
      <c r="M144" s="240"/>
      <c r="N144" s="240" t="s">
        <v>1383</v>
      </c>
    </row>
    <row r="145" customFormat="false" ht="18" hidden="false" customHeight="true" outlineLevel="0" collapsed="false">
      <c r="B145" s="243" t="n">
        <v>140</v>
      </c>
      <c r="C145" s="244" t="s">
        <v>1758</v>
      </c>
      <c r="D145" s="245" t="s">
        <v>1744</v>
      </c>
      <c r="E145" s="246" t="s">
        <v>402</v>
      </c>
      <c r="F145" s="247" t="s">
        <v>1759</v>
      </c>
      <c r="G145" s="248" t="s">
        <v>566</v>
      </c>
      <c r="H145" s="248" t="s">
        <v>1380</v>
      </c>
      <c r="I145" s="248" t="s">
        <v>1381</v>
      </c>
      <c r="J145" s="248" t="s">
        <v>299</v>
      </c>
      <c r="K145" s="249" t="s">
        <v>1382</v>
      </c>
      <c r="L145" s="250" t="n">
        <v>46265</v>
      </c>
      <c r="M145" s="248"/>
      <c r="N145" s="248" t="s">
        <v>1383</v>
      </c>
    </row>
    <row r="146" customFormat="false" ht="18" hidden="false" customHeight="true" outlineLevel="0" collapsed="false">
      <c r="B146" s="235" t="n">
        <v>141</v>
      </c>
      <c r="C146" s="236" t="s">
        <v>1760</v>
      </c>
      <c r="D146" s="237" t="s">
        <v>1744</v>
      </c>
      <c r="E146" s="238" t="s">
        <v>403</v>
      </c>
      <c r="F146" s="239" t="s">
        <v>1761</v>
      </c>
      <c r="G146" s="240" t="s">
        <v>1169</v>
      </c>
      <c r="H146" s="240" t="s">
        <v>1762</v>
      </c>
      <c r="I146" s="240" t="s">
        <v>1397</v>
      </c>
      <c r="J146" s="240" t="s">
        <v>299</v>
      </c>
      <c r="K146" s="241" t="s">
        <v>1398</v>
      </c>
      <c r="L146" s="242" t="n">
        <v>46265</v>
      </c>
      <c r="M146" s="242" t="n">
        <v>46326</v>
      </c>
      <c r="N146" s="240" t="s">
        <v>1399</v>
      </c>
    </row>
    <row r="147" customFormat="false" ht="18" hidden="false" customHeight="true" outlineLevel="0" collapsed="false">
      <c r="B147" s="243" t="n">
        <v>142</v>
      </c>
      <c r="C147" s="244" t="s">
        <v>1763</v>
      </c>
      <c r="D147" s="245" t="s">
        <v>1744</v>
      </c>
      <c r="E147" s="246" t="s">
        <v>404</v>
      </c>
      <c r="F147" s="247" t="s">
        <v>1764</v>
      </c>
      <c r="G147" s="248" t="s">
        <v>1441</v>
      </c>
      <c r="H147" s="248" t="s">
        <v>1381</v>
      </c>
      <c r="I147" s="248"/>
      <c r="J147" s="248" t="s">
        <v>299</v>
      </c>
      <c r="K147" s="249" t="s">
        <v>1382</v>
      </c>
      <c r="L147" s="248"/>
      <c r="M147" s="248"/>
      <c r="N147" s="248" t="s">
        <v>1442</v>
      </c>
    </row>
    <row r="148" customFormat="false" ht="18" hidden="false" customHeight="true" outlineLevel="0" collapsed="false">
      <c r="B148" s="235" t="n">
        <v>143</v>
      </c>
      <c r="C148" s="236" t="s">
        <v>1765</v>
      </c>
      <c r="D148" s="237" t="s">
        <v>1744</v>
      </c>
      <c r="E148" s="238" t="s">
        <v>405</v>
      </c>
      <c r="F148" s="239" t="s">
        <v>1766</v>
      </c>
      <c r="G148" s="240" t="s">
        <v>1441</v>
      </c>
      <c r="H148" s="240" t="s">
        <v>1381</v>
      </c>
      <c r="I148" s="240"/>
      <c r="J148" s="240" t="s">
        <v>299</v>
      </c>
      <c r="K148" s="241" t="s">
        <v>1382</v>
      </c>
      <c r="L148" s="240"/>
      <c r="M148" s="240"/>
      <c r="N148" s="240" t="s">
        <v>1442</v>
      </c>
    </row>
    <row r="149" customFormat="false" ht="18" hidden="false" customHeight="true" outlineLevel="0" collapsed="false">
      <c r="B149" s="243" t="n">
        <v>144</v>
      </c>
      <c r="C149" s="244" t="s">
        <v>1767</v>
      </c>
      <c r="D149" s="245" t="s">
        <v>1744</v>
      </c>
      <c r="E149" s="246" t="s">
        <v>406</v>
      </c>
      <c r="F149" s="247" t="s">
        <v>1768</v>
      </c>
      <c r="G149" s="248" t="s">
        <v>566</v>
      </c>
      <c r="H149" s="248" t="s">
        <v>1380</v>
      </c>
      <c r="I149" s="248" t="s">
        <v>1381</v>
      </c>
      <c r="J149" s="248" t="s">
        <v>299</v>
      </c>
      <c r="K149" s="249" t="s">
        <v>1382</v>
      </c>
      <c r="L149" s="250" t="n">
        <v>46265</v>
      </c>
      <c r="M149" s="248"/>
      <c r="N149" s="248" t="s">
        <v>1383</v>
      </c>
    </row>
    <row r="150" customFormat="false" ht="18" hidden="false" customHeight="true" outlineLevel="0" collapsed="false">
      <c r="B150" s="235" t="n">
        <v>145</v>
      </c>
      <c r="C150" s="236" t="s">
        <v>1769</v>
      </c>
      <c r="D150" s="237" t="s">
        <v>1744</v>
      </c>
      <c r="E150" s="238" t="s">
        <v>407</v>
      </c>
      <c r="F150" s="239" t="s">
        <v>1770</v>
      </c>
      <c r="G150" s="240" t="s">
        <v>566</v>
      </c>
      <c r="H150" s="240" t="s">
        <v>1380</v>
      </c>
      <c r="I150" s="240" t="s">
        <v>1381</v>
      </c>
      <c r="J150" s="240" t="s">
        <v>299</v>
      </c>
      <c r="K150" s="241" t="s">
        <v>1382</v>
      </c>
      <c r="L150" s="242" t="n">
        <v>46265</v>
      </c>
      <c r="M150" s="240"/>
      <c r="N150" s="240" t="s">
        <v>1383</v>
      </c>
    </row>
    <row r="151" customFormat="false" ht="18" hidden="false" customHeight="true" outlineLevel="0" collapsed="false">
      <c r="B151" s="243" t="n">
        <v>146</v>
      </c>
      <c r="C151" s="244" t="s">
        <v>1771</v>
      </c>
      <c r="D151" s="245" t="s">
        <v>1744</v>
      </c>
      <c r="E151" s="246" t="s">
        <v>408</v>
      </c>
      <c r="F151" s="247" t="s">
        <v>1772</v>
      </c>
      <c r="G151" s="248" t="s">
        <v>566</v>
      </c>
      <c r="H151" s="248" t="s">
        <v>1380</v>
      </c>
      <c r="I151" s="248" t="s">
        <v>1381</v>
      </c>
      <c r="J151" s="248" t="s">
        <v>299</v>
      </c>
      <c r="K151" s="249" t="s">
        <v>1382</v>
      </c>
      <c r="L151" s="250" t="n">
        <v>46265</v>
      </c>
      <c r="M151" s="248"/>
      <c r="N151" s="248" t="s">
        <v>1383</v>
      </c>
    </row>
    <row r="152" customFormat="false" ht="18" hidden="false" customHeight="true" outlineLevel="0" collapsed="false">
      <c r="B152" s="235" t="n">
        <v>147</v>
      </c>
      <c r="C152" s="236" t="s">
        <v>1773</v>
      </c>
      <c r="D152" s="237" t="s">
        <v>1744</v>
      </c>
      <c r="E152" s="238" t="s">
        <v>409</v>
      </c>
      <c r="F152" s="239" t="s">
        <v>1774</v>
      </c>
      <c r="G152" s="240" t="s">
        <v>1192</v>
      </c>
      <c r="H152" s="240" t="s">
        <v>1775</v>
      </c>
      <c r="I152" s="240" t="s">
        <v>1471</v>
      </c>
      <c r="J152" s="240" t="s">
        <v>287</v>
      </c>
      <c r="K152" s="241" t="s">
        <v>1472</v>
      </c>
      <c r="L152" s="242" t="n">
        <v>46265</v>
      </c>
      <c r="M152" s="242" t="n">
        <v>46356</v>
      </c>
      <c r="N152" s="240" t="s">
        <v>1391</v>
      </c>
    </row>
    <row r="153" customFormat="false" ht="18" hidden="false" customHeight="true" outlineLevel="0" collapsed="false">
      <c r="B153" s="243" t="n">
        <v>148</v>
      </c>
      <c r="C153" s="244" t="s">
        <v>1776</v>
      </c>
      <c r="D153" s="245" t="s">
        <v>1744</v>
      </c>
      <c r="E153" s="246" t="s">
        <v>410</v>
      </c>
      <c r="F153" s="247" t="s">
        <v>1777</v>
      </c>
      <c r="G153" s="248" t="s">
        <v>566</v>
      </c>
      <c r="H153" s="248" t="s">
        <v>1380</v>
      </c>
      <c r="I153" s="248" t="s">
        <v>1381</v>
      </c>
      <c r="J153" s="248" t="s">
        <v>252</v>
      </c>
      <c r="K153" s="249" t="s">
        <v>1382</v>
      </c>
      <c r="L153" s="250" t="n">
        <v>46265</v>
      </c>
      <c r="M153" s="248"/>
      <c r="N153" s="248" t="s">
        <v>1383</v>
      </c>
    </row>
    <row r="154" customFormat="false" ht="18" hidden="false" customHeight="true" outlineLevel="0" collapsed="false">
      <c r="B154" s="235" t="n">
        <v>149</v>
      </c>
      <c r="C154" s="236" t="s">
        <v>1778</v>
      </c>
      <c r="D154" s="237" t="s">
        <v>1744</v>
      </c>
      <c r="E154" s="238" t="s">
        <v>411</v>
      </c>
      <c r="F154" s="239" t="s">
        <v>1779</v>
      </c>
      <c r="G154" s="240" t="s">
        <v>1441</v>
      </c>
      <c r="H154" s="240" t="s">
        <v>1381</v>
      </c>
      <c r="I154" s="240"/>
      <c r="J154" s="240" t="s">
        <v>247</v>
      </c>
      <c r="K154" s="241" t="s">
        <v>1382</v>
      </c>
      <c r="L154" s="240"/>
      <c r="M154" s="240"/>
      <c r="N154" s="240" t="s">
        <v>1442</v>
      </c>
    </row>
    <row r="155" customFormat="false" ht="18" hidden="false" customHeight="true" outlineLevel="0" collapsed="false">
      <c r="B155" s="243" t="n">
        <v>150</v>
      </c>
      <c r="C155" s="244" t="s">
        <v>1780</v>
      </c>
      <c r="D155" s="245" t="s">
        <v>1744</v>
      </c>
      <c r="E155" s="246" t="s">
        <v>412</v>
      </c>
      <c r="F155" s="247" t="s">
        <v>1781</v>
      </c>
      <c r="G155" s="248" t="s">
        <v>566</v>
      </c>
      <c r="H155" s="248" t="s">
        <v>1380</v>
      </c>
      <c r="I155" s="248" t="s">
        <v>1381</v>
      </c>
      <c r="J155" s="248" t="s">
        <v>299</v>
      </c>
      <c r="K155" s="249" t="s">
        <v>1382</v>
      </c>
      <c r="L155" s="250" t="n">
        <v>46265</v>
      </c>
      <c r="M155" s="248"/>
      <c r="N155" s="248" t="s">
        <v>1383</v>
      </c>
    </row>
    <row r="156" customFormat="false" ht="18" hidden="false" customHeight="true" outlineLevel="0" collapsed="false">
      <c r="B156" s="235" t="n">
        <v>151</v>
      </c>
      <c r="C156" s="236" t="s">
        <v>1782</v>
      </c>
      <c r="D156" s="237" t="s">
        <v>1744</v>
      </c>
      <c r="E156" s="238" t="s">
        <v>413</v>
      </c>
      <c r="F156" s="239" t="s">
        <v>1783</v>
      </c>
      <c r="G156" s="240" t="s">
        <v>566</v>
      </c>
      <c r="H156" s="240" t="s">
        <v>1380</v>
      </c>
      <c r="I156" s="240" t="s">
        <v>1381</v>
      </c>
      <c r="J156" s="240" t="s">
        <v>299</v>
      </c>
      <c r="K156" s="241" t="s">
        <v>1382</v>
      </c>
      <c r="L156" s="242" t="n">
        <v>46265</v>
      </c>
      <c r="M156" s="240"/>
      <c r="N156" s="240" t="s">
        <v>1383</v>
      </c>
    </row>
    <row r="157" customFormat="false" ht="18" hidden="false" customHeight="true" outlineLevel="0" collapsed="false">
      <c r="B157" s="243" t="n">
        <v>152</v>
      </c>
      <c r="C157" s="244" t="s">
        <v>1784</v>
      </c>
      <c r="D157" s="245" t="s">
        <v>1744</v>
      </c>
      <c r="E157" s="246" t="s">
        <v>414</v>
      </c>
      <c r="F157" s="247" t="s">
        <v>1785</v>
      </c>
      <c r="G157" s="248" t="s">
        <v>566</v>
      </c>
      <c r="H157" s="248" t="s">
        <v>1380</v>
      </c>
      <c r="I157" s="248" t="s">
        <v>1381</v>
      </c>
      <c r="J157" s="248" t="s">
        <v>299</v>
      </c>
      <c r="K157" s="249" t="s">
        <v>1382</v>
      </c>
      <c r="L157" s="250" t="n">
        <v>46265</v>
      </c>
      <c r="M157" s="248"/>
      <c r="N157" s="248" t="s">
        <v>1383</v>
      </c>
    </row>
    <row r="158" customFormat="false" ht="18" hidden="false" customHeight="true" outlineLevel="0" collapsed="false">
      <c r="B158" s="235" t="n">
        <v>153</v>
      </c>
      <c r="C158" s="236" t="s">
        <v>1786</v>
      </c>
      <c r="D158" s="237" t="s">
        <v>1744</v>
      </c>
      <c r="E158" s="238" t="s">
        <v>415</v>
      </c>
      <c r="F158" s="239" t="s">
        <v>1787</v>
      </c>
      <c r="G158" s="240" t="s">
        <v>566</v>
      </c>
      <c r="H158" s="240" t="s">
        <v>1380</v>
      </c>
      <c r="I158" s="240" t="s">
        <v>1381</v>
      </c>
      <c r="J158" s="240" t="s">
        <v>299</v>
      </c>
      <c r="K158" s="241" t="s">
        <v>1382</v>
      </c>
      <c r="L158" s="242" t="n">
        <v>46265</v>
      </c>
      <c r="M158" s="240"/>
      <c r="N158" s="240" t="s">
        <v>1383</v>
      </c>
    </row>
    <row r="159" customFormat="false" ht="18" hidden="false" customHeight="true" outlineLevel="0" collapsed="false">
      <c r="B159" s="243" t="n">
        <v>154</v>
      </c>
      <c r="C159" s="244" t="s">
        <v>1788</v>
      </c>
      <c r="D159" s="245" t="s">
        <v>1744</v>
      </c>
      <c r="E159" s="246" t="s">
        <v>416</v>
      </c>
      <c r="F159" s="247" t="s">
        <v>1789</v>
      </c>
      <c r="G159" s="248" t="s">
        <v>566</v>
      </c>
      <c r="H159" s="248" t="s">
        <v>1380</v>
      </c>
      <c r="I159" s="248" t="s">
        <v>1381</v>
      </c>
      <c r="J159" s="248" t="s">
        <v>249</v>
      </c>
      <c r="K159" s="249" t="s">
        <v>1382</v>
      </c>
      <c r="L159" s="250" t="n">
        <v>46265</v>
      </c>
      <c r="M159" s="248"/>
      <c r="N159" s="248" t="s">
        <v>1383</v>
      </c>
    </row>
    <row r="160" customFormat="false" ht="18" hidden="false" customHeight="true" outlineLevel="0" collapsed="false">
      <c r="B160" s="235" t="n">
        <v>155</v>
      </c>
      <c r="C160" s="236" t="s">
        <v>1790</v>
      </c>
      <c r="D160" s="237" t="s">
        <v>1744</v>
      </c>
      <c r="E160" s="238" t="s">
        <v>417</v>
      </c>
      <c r="F160" s="239" t="s">
        <v>1791</v>
      </c>
      <c r="G160" s="240" t="s">
        <v>1225</v>
      </c>
      <c r="H160" s="240" t="s">
        <v>1792</v>
      </c>
      <c r="I160" s="240" t="s">
        <v>1389</v>
      </c>
      <c r="J160" s="240" t="s">
        <v>299</v>
      </c>
      <c r="K160" s="241" t="s">
        <v>1390</v>
      </c>
      <c r="L160" s="242" t="n">
        <v>46265</v>
      </c>
      <c r="M160" s="242" t="n">
        <v>46446</v>
      </c>
      <c r="N160" s="240" t="s">
        <v>1391</v>
      </c>
    </row>
    <row r="161" customFormat="false" ht="18" hidden="false" customHeight="true" outlineLevel="0" collapsed="false">
      <c r="B161" s="243" t="n">
        <v>156</v>
      </c>
      <c r="C161" s="244" t="s">
        <v>1793</v>
      </c>
      <c r="D161" s="245" t="s">
        <v>1794</v>
      </c>
      <c r="E161" s="246" t="s">
        <v>419</v>
      </c>
      <c r="F161" s="247" t="s">
        <v>1795</v>
      </c>
      <c r="G161" s="248" t="s">
        <v>1232</v>
      </c>
      <c r="H161" s="248" t="s">
        <v>1796</v>
      </c>
      <c r="I161" s="248" t="s">
        <v>1389</v>
      </c>
      <c r="J161" s="248" t="s">
        <v>249</v>
      </c>
      <c r="K161" s="249" t="s">
        <v>1390</v>
      </c>
      <c r="L161" s="250" t="n">
        <v>46265</v>
      </c>
      <c r="M161" s="250" t="n">
        <v>46446</v>
      </c>
      <c r="N161" s="248" t="s">
        <v>1391</v>
      </c>
    </row>
    <row r="162" customFormat="false" ht="18" hidden="false" customHeight="true" outlineLevel="0" collapsed="false">
      <c r="B162" s="235" t="n">
        <v>157</v>
      </c>
      <c r="C162" s="236" t="s">
        <v>1797</v>
      </c>
      <c r="D162" s="237" t="s">
        <v>1794</v>
      </c>
      <c r="E162" s="238" t="s">
        <v>420</v>
      </c>
      <c r="F162" s="239" t="s">
        <v>1798</v>
      </c>
      <c r="G162" s="240" t="s">
        <v>1237</v>
      </c>
      <c r="H162" s="240" t="s">
        <v>1799</v>
      </c>
      <c r="I162" s="240" t="s">
        <v>1389</v>
      </c>
      <c r="J162" s="240" t="s">
        <v>299</v>
      </c>
      <c r="K162" s="241" t="s">
        <v>1390</v>
      </c>
      <c r="L162" s="242" t="n">
        <v>46265</v>
      </c>
      <c r="M162" s="242" t="n">
        <v>46446</v>
      </c>
      <c r="N162" s="240" t="s">
        <v>1391</v>
      </c>
    </row>
    <row r="163" customFormat="false" ht="18" hidden="false" customHeight="true" outlineLevel="0" collapsed="false">
      <c r="B163" s="243" t="n">
        <v>158</v>
      </c>
      <c r="C163" s="244" t="s">
        <v>1800</v>
      </c>
      <c r="D163" s="245" t="s">
        <v>1794</v>
      </c>
      <c r="E163" s="246" t="s">
        <v>421</v>
      </c>
      <c r="F163" s="247" t="s">
        <v>1801</v>
      </c>
      <c r="G163" s="248" t="s">
        <v>566</v>
      </c>
      <c r="H163" s="248" t="s">
        <v>1380</v>
      </c>
      <c r="I163" s="248" t="s">
        <v>1381</v>
      </c>
      <c r="J163" s="248" t="s">
        <v>261</v>
      </c>
      <c r="K163" s="249" t="s">
        <v>1382</v>
      </c>
      <c r="L163" s="250" t="n">
        <v>46265</v>
      </c>
      <c r="M163" s="248"/>
      <c r="N163" s="248" t="s">
        <v>1383</v>
      </c>
    </row>
    <row r="164" customFormat="false" ht="18" hidden="false" customHeight="true" outlineLevel="0" collapsed="false">
      <c r="B164" s="235" t="n">
        <v>159</v>
      </c>
      <c r="C164" s="236" t="s">
        <v>1802</v>
      </c>
      <c r="D164" s="237" t="s">
        <v>1794</v>
      </c>
      <c r="E164" s="238" t="s">
        <v>422</v>
      </c>
      <c r="F164" s="239" t="s">
        <v>1803</v>
      </c>
      <c r="G164" s="240" t="s">
        <v>1246</v>
      </c>
      <c r="H164" s="240" t="s">
        <v>1804</v>
      </c>
      <c r="I164" s="240" t="s">
        <v>1389</v>
      </c>
      <c r="J164" s="240" t="s">
        <v>247</v>
      </c>
      <c r="K164" s="241" t="s">
        <v>1390</v>
      </c>
      <c r="L164" s="242" t="n">
        <v>46265</v>
      </c>
      <c r="M164" s="242" t="n">
        <v>46446</v>
      </c>
      <c r="N164" s="240" t="s">
        <v>1391</v>
      </c>
    </row>
    <row r="165" customFormat="false" ht="18" hidden="false" customHeight="true" outlineLevel="0" collapsed="false">
      <c r="B165" s="243" t="n">
        <v>160</v>
      </c>
      <c r="C165" s="244" t="s">
        <v>1805</v>
      </c>
      <c r="D165" s="245" t="s">
        <v>1794</v>
      </c>
      <c r="E165" s="246" t="s">
        <v>423</v>
      </c>
      <c r="F165" s="247" t="s">
        <v>1806</v>
      </c>
      <c r="G165" s="248" t="s">
        <v>566</v>
      </c>
      <c r="H165" s="248" t="s">
        <v>1380</v>
      </c>
      <c r="I165" s="248" t="s">
        <v>1381</v>
      </c>
      <c r="J165" s="248" t="s">
        <v>249</v>
      </c>
      <c r="K165" s="249" t="s">
        <v>1382</v>
      </c>
      <c r="L165" s="250" t="n">
        <v>46265</v>
      </c>
      <c r="M165" s="248"/>
      <c r="N165" s="248" t="s">
        <v>1383</v>
      </c>
    </row>
    <row r="166" customFormat="false" ht="18" hidden="false" customHeight="true" outlineLevel="0" collapsed="false">
      <c r="B166" s="235" t="n">
        <v>161</v>
      </c>
      <c r="C166" s="236" t="s">
        <v>1807</v>
      </c>
      <c r="D166" s="237" t="s">
        <v>1794</v>
      </c>
      <c r="E166" s="238" t="s">
        <v>424</v>
      </c>
      <c r="F166" s="239" t="s">
        <v>1808</v>
      </c>
      <c r="G166" s="240" t="s">
        <v>566</v>
      </c>
      <c r="H166" s="240" t="s">
        <v>1380</v>
      </c>
      <c r="I166" s="240" t="s">
        <v>1381</v>
      </c>
      <c r="J166" s="240" t="s">
        <v>252</v>
      </c>
      <c r="K166" s="241" t="s">
        <v>1382</v>
      </c>
      <c r="L166" s="242" t="n">
        <v>46265</v>
      </c>
      <c r="M166" s="240"/>
      <c r="N166" s="240" t="s">
        <v>1383</v>
      </c>
    </row>
    <row r="167" customFormat="false" ht="18" hidden="false" customHeight="true" outlineLevel="0" collapsed="false">
      <c r="B167" s="243" t="n">
        <v>162</v>
      </c>
      <c r="C167" s="244" t="s">
        <v>1809</v>
      </c>
      <c r="D167" s="245" t="s">
        <v>1794</v>
      </c>
      <c r="E167" s="246" t="s">
        <v>425</v>
      </c>
      <c r="F167" s="247" t="s">
        <v>1810</v>
      </c>
      <c r="G167" s="248" t="s">
        <v>1260</v>
      </c>
      <c r="H167" s="248" t="s">
        <v>1811</v>
      </c>
      <c r="I167" s="248" t="s">
        <v>1397</v>
      </c>
      <c r="J167" s="248" t="s">
        <v>247</v>
      </c>
      <c r="K167" s="249" t="s">
        <v>1398</v>
      </c>
      <c r="L167" s="250" t="n">
        <v>46265</v>
      </c>
      <c r="M167" s="250" t="n">
        <v>46326</v>
      </c>
      <c r="N167" s="248" t="s">
        <v>1399</v>
      </c>
    </row>
    <row r="168" customFormat="false" ht="18" hidden="false" customHeight="true" outlineLevel="0" collapsed="false">
      <c r="B168" s="235" t="n">
        <v>163</v>
      </c>
      <c r="C168" s="236" t="s">
        <v>1812</v>
      </c>
      <c r="D168" s="237" t="s">
        <v>1794</v>
      </c>
      <c r="E168" s="238" t="s">
        <v>426</v>
      </c>
      <c r="F168" s="239" t="s">
        <v>1813</v>
      </c>
      <c r="G168" s="240" t="s">
        <v>566</v>
      </c>
      <c r="H168" s="240" t="s">
        <v>1380</v>
      </c>
      <c r="I168" s="240" t="s">
        <v>1381</v>
      </c>
      <c r="J168" s="240" t="s">
        <v>287</v>
      </c>
      <c r="K168" s="241" t="s">
        <v>1382</v>
      </c>
      <c r="L168" s="242" t="n">
        <v>46265</v>
      </c>
      <c r="M168" s="240"/>
      <c r="N168" s="240" t="s">
        <v>1383</v>
      </c>
    </row>
    <row r="169" customFormat="false" ht="18" hidden="false" customHeight="true" outlineLevel="0" collapsed="false">
      <c r="B169" s="243" t="n">
        <v>164</v>
      </c>
      <c r="C169" s="244" t="s">
        <v>1814</v>
      </c>
      <c r="D169" s="245" t="s">
        <v>1794</v>
      </c>
      <c r="E169" s="246" t="s">
        <v>427</v>
      </c>
      <c r="F169" s="247" t="s">
        <v>1815</v>
      </c>
      <c r="G169" s="248" t="s">
        <v>1441</v>
      </c>
      <c r="H169" s="248" t="s">
        <v>1381</v>
      </c>
      <c r="I169" s="248"/>
      <c r="J169" s="248" t="s">
        <v>252</v>
      </c>
      <c r="K169" s="249" t="s">
        <v>1382</v>
      </c>
      <c r="L169" s="248"/>
      <c r="M169" s="248"/>
      <c r="N169" s="248" t="s">
        <v>1442</v>
      </c>
    </row>
    <row r="170" customFormat="false" ht="18" hidden="false" customHeight="true" outlineLevel="0" collapsed="false">
      <c r="B170" s="235" t="n">
        <v>165</v>
      </c>
      <c r="C170" s="236" t="s">
        <v>1816</v>
      </c>
      <c r="D170" s="237" t="s">
        <v>1794</v>
      </c>
      <c r="E170" s="238" t="s">
        <v>428</v>
      </c>
      <c r="F170" s="239" t="s">
        <v>1817</v>
      </c>
      <c r="G170" s="240" t="s">
        <v>1441</v>
      </c>
      <c r="H170" s="240" t="s">
        <v>1381</v>
      </c>
      <c r="I170" s="240"/>
      <c r="J170" s="240" t="s">
        <v>252</v>
      </c>
      <c r="K170" s="241" t="s">
        <v>1382</v>
      </c>
      <c r="L170" s="240"/>
      <c r="M170" s="240"/>
      <c r="N170" s="240" t="s">
        <v>1442</v>
      </c>
    </row>
    <row r="171" customFormat="false" ht="18" hidden="false" customHeight="true" outlineLevel="0" collapsed="false">
      <c r="B171" s="243" t="n">
        <v>166</v>
      </c>
      <c r="C171" s="244" t="s">
        <v>1818</v>
      </c>
      <c r="D171" s="245" t="s">
        <v>1794</v>
      </c>
      <c r="E171" s="246" t="s">
        <v>429</v>
      </c>
      <c r="F171" s="247" t="s">
        <v>1819</v>
      </c>
      <c r="G171" s="248" t="s">
        <v>566</v>
      </c>
      <c r="H171" s="248" t="s">
        <v>1380</v>
      </c>
      <c r="I171" s="248" t="s">
        <v>1381</v>
      </c>
      <c r="J171" s="248" t="s">
        <v>252</v>
      </c>
      <c r="K171" s="249" t="s">
        <v>1382</v>
      </c>
      <c r="L171" s="250" t="n">
        <v>46265</v>
      </c>
      <c r="M171" s="248"/>
      <c r="N171" s="248" t="s">
        <v>1383</v>
      </c>
    </row>
    <row r="172" customFormat="false" ht="18" hidden="false" customHeight="true" outlineLevel="0" collapsed="false">
      <c r="B172" s="235" t="n">
        <v>167</v>
      </c>
      <c r="C172" s="236" t="s">
        <v>1820</v>
      </c>
      <c r="D172" s="237" t="s">
        <v>1794</v>
      </c>
      <c r="E172" s="238" t="s">
        <v>430</v>
      </c>
      <c r="F172" s="239" t="s">
        <v>1821</v>
      </c>
      <c r="G172" s="240" t="s">
        <v>566</v>
      </c>
      <c r="H172" s="240" t="s">
        <v>1380</v>
      </c>
      <c r="I172" s="240" t="s">
        <v>1381</v>
      </c>
      <c r="J172" s="240" t="s">
        <v>252</v>
      </c>
      <c r="K172" s="241" t="s">
        <v>1382</v>
      </c>
      <c r="L172" s="242" t="n">
        <v>46265</v>
      </c>
      <c r="M172" s="240"/>
      <c r="N172" s="240" t="s">
        <v>1383</v>
      </c>
    </row>
    <row r="173" customFormat="false" ht="18" hidden="false" customHeight="true" outlineLevel="0" collapsed="false">
      <c r="B173" s="243" t="n">
        <v>168</v>
      </c>
      <c r="C173" s="244" t="s">
        <v>1822</v>
      </c>
      <c r="D173" s="245" t="s">
        <v>1794</v>
      </c>
      <c r="E173" s="246" t="s">
        <v>431</v>
      </c>
      <c r="F173" s="247" t="s">
        <v>1823</v>
      </c>
      <c r="G173" s="248" t="s">
        <v>566</v>
      </c>
      <c r="H173" s="248" t="s">
        <v>1380</v>
      </c>
      <c r="I173" s="248" t="s">
        <v>1381</v>
      </c>
      <c r="J173" s="248" t="s">
        <v>249</v>
      </c>
      <c r="K173" s="249" t="s">
        <v>1382</v>
      </c>
      <c r="L173" s="250" t="n">
        <v>46265</v>
      </c>
      <c r="M173" s="248"/>
      <c r="N173" s="248" t="s">
        <v>1383</v>
      </c>
    </row>
    <row r="174" customFormat="false" ht="18" hidden="false" customHeight="true" outlineLevel="0" collapsed="false">
      <c r="B174" s="235" t="n">
        <v>169</v>
      </c>
      <c r="C174" s="236" t="s">
        <v>1824</v>
      </c>
      <c r="D174" s="237" t="s">
        <v>1794</v>
      </c>
      <c r="E174" s="238" t="s">
        <v>432</v>
      </c>
      <c r="F174" s="239" t="s">
        <v>1825</v>
      </c>
      <c r="G174" s="240" t="s">
        <v>566</v>
      </c>
      <c r="H174" s="240" t="s">
        <v>1380</v>
      </c>
      <c r="I174" s="240" t="s">
        <v>1381</v>
      </c>
      <c r="J174" s="240" t="s">
        <v>240</v>
      </c>
      <c r="K174" s="241" t="s">
        <v>1382</v>
      </c>
      <c r="L174" s="242" t="n">
        <v>46265</v>
      </c>
      <c r="M174" s="240"/>
      <c r="N174" s="240" t="s">
        <v>1383</v>
      </c>
    </row>
    <row r="175" customFormat="false" ht="18" hidden="false" customHeight="true" outlineLevel="0" collapsed="false">
      <c r="B175" s="243" t="n">
        <v>170</v>
      </c>
      <c r="C175" s="244" t="s">
        <v>1826</v>
      </c>
      <c r="D175" s="245" t="s">
        <v>1794</v>
      </c>
      <c r="E175" s="246" t="s">
        <v>433</v>
      </c>
      <c r="F175" s="247" t="s">
        <v>1827</v>
      </c>
      <c r="G175" s="248" t="s">
        <v>1291</v>
      </c>
      <c r="H175" s="248" t="s">
        <v>1828</v>
      </c>
      <c r="I175" s="248" t="s">
        <v>1389</v>
      </c>
      <c r="J175" s="248" t="s">
        <v>249</v>
      </c>
      <c r="K175" s="249" t="s">
        <v>1390</v>
      </c>
      <c r="L175" s="250" t="n">
        <v>46265</v>
      </c>
      <c r="M175" s="250" t="n">
        <v>46446</v>
      </c>
      <c r="N175" s="248" t="s">
        <v>1391</v>
      </c>
    </row>
    <row r="176" customFormat="false" ht="18" hidden="false" customHeight="true" outlineLevel="0" collapsed="false">
      <c r="B176" s="235" t="n">
        <v>171</v>
      </c>
      <c r="C176" s="236" t="s">
        <v>1829</v>
      </c>
      <c r="D176" s="237" t="s">
        <v>1794</v>
      </c>
      <c r="E176" s="238" t="s">
        <v>434</v>
      </c>
      <c r="F176" s="239" t="s">
        <v>1830</v>
      </c>
      <c r="G176" s="240" t="s">
        <v>566</v>
      </c>
      <c r="H176" s="240" t="s">
        <v>1380</v>
      </c>
      <c r="I176" s="240" t="s">
        <v>1381</v>
      </c>
      <c r="J176" s="240" t="s">
        <v>252</v>
      </c>
      <c r="K176" s="241" t="s">
        <v>1382</v>
      </c>
      <c r="L176" s="242" t="n">
        <v>46265</v>
      </c>
      <c r="M176" s="240"/>
      <c r="N176" s="240" t="s">
        <v>1383</v>
      </c>
    </row>
    <row r="177" customFormat="false" ht="18" hidden="false" customHeight="true" outlineLevel="0" collapsed="false">
      <c r="B177" s="243" t="n">
        <v>172</v>
      </c>
      <c r="C177" s="244" t="s">
        <v>1831</v>
      </c>
      <c r="D177" s="245" t="s">
        <v>1832</v>
      </c>
      <c r="E177" s="246" t="s">
        <v>436</v>
      </c>
      <c r="F177" s="247" t="s">
        <v>1833</v>
      </c>
      <c r="G177" s="248" t="s">
        <v>1302</v>
      </c>
      <c r="H177" s="248" t="s">
        <v>1834</v>
      </c>
      <c r="I177" s="248" t="s">
        <v>1389</v>
      </c>
      <c r="J177" s="248" t="s">
        <v>284</v>
      </c>
      <c r="K177" s="249" t="s">
        <v>1390</v>
      </c>
      <c r="L177" s="250" t="n">
        <v>46265</v>
      </c>
      <c r="M177" s="250" t="n">
        <v>46446</v>
      </c>
      <c r="N177" s="248" t="s">
        <v>1391</v>
      </c>
    </row>
    <row r="178" customFormat="false" ht="18" hidden="false" customHeight="true" outlineLevel="0" collapsed="false">
      <c r="B178" s="235" t="n">
        <v>173</v>
      </c>
      <c r="C178" s="236" t="s">
        <v>1835</v>
      </c>
      <c r="D178" s="237" t="s">
        <v>1832</v>
      </c>
      <c r="E178" s="238" t="s">
        <v>437</v>
      </c>
      <c r="F178" s="239" t="s">
        <v>1836</v>
      </c>
      <c r="G178" s="240" t="s">
        <v>1306</v>
      </c>
      <c r="H178" s="240" t="s">
        <v>1837</v>
      </c>
      <c r="I178" s="240" t="s">
        <v>1471</v>
      </c>
      <c r="J178" s="240" t="s">
        <v>284</v>
      </c>
      <c r="K178" s="241" t="s">
        <v>1472</v>
      </c>
      <c r="L178" s="242" t="n">
        <v>46265</v>
      </c>
      <c r="M178" s="242" t="n">
        <v>46356</v>
      </c>
      <c r="N178" s="240" t="s">
        <v>1391</v>
      </c>
    </row>
    <row r="179" customFormat="false" ht="18" hidden="false" customHeight="true" outlineLevel="0" collapsed="false">
      <c r="B179" s="243" t="n">
        <v>174</v>
      </c>
      <c r="C179" s="244" t="s">
        <v>1838</v>
      </c>
      <c r="D179" s="245" t="s">
        <v>1832</v>
      </c>
      <c r="E179" s="246" t="s">
        <v>438</v>
      </c>
      <c r="F179" s="247" t="s">
        <v>1839</v>
      </c>
      <c r="G179" s="248" t="s">
        <v>566</v>
      </c>
      <c r="H179" s="248" t="s">
        <v>1380</v>
      </c>
      <c r="I179" s="248" t="s">
        <v>1381</v>
      </c>
      <c r="J179" s="248" t="s">
        <v>284</v>
      </c>
      <c r="K179" s="249" t="s">
        <v>1382</v>
      </c>
      <c r="L179" s="250" t="n">
        <v>46265</v>
      </c>
      <c r="M179" s="248"/>
      <c r="N179" s="248" t="s">
        <v>1383</v>
      </c>
    </row>
    <row r="180" customFormat="false" ht="18" hidden="false" customHeight="true" outlineLevel="0" collapsed="false">
      <c r="B180" s="235" t="n">
        <v>175</v>
      </c>
      <c r="C180" s="236" t="s">
        <v>1840</v>
      </c>
      <c r="D180" s="237" t="s">
        <v>1832</v>
      </c>
      <c r="E180" s="238" t="s">
        <v>439</v>
      </c>
      <c r="F180" s="239" t="s">
        <v>1841</v>
      </c>
      <c r="G180" s="240" t="s">
        <v>1314</v>
      </c>
      <c r="H180" s="240" t="s">
        <v>1842</v>
      </c>
      <c r="I180" s="240" t="s">
        <v>1471</v>
      </c>
      <c r="J180" s="240" t="s">
        <v>284</v>
      </c>
      <c r="K180" s="241" t="s">
        <v>1472</v>
      </c>
      <c r="L180" s="242" t="n">
        <v>46265</v>
      </c>
      <c r="M180" s="242" t="n">
        <v>46356</v>
      </c>
      <c r="N180" s="240" t="s">
        <v>1391</v>
      </c>
    </row>
    <row r="181" customFormat="false" ht="18" hidden="false" customHeight="true" outlineLevel="0" collapsed="false">
      <c r="B181" s="243" t="n">
        <v>176</v>
      </c>
      <c r="C181" s="244" t="s">
        <v>1843</v>
      </c>
      <c r="D181" s="245" t="s">
        <v>1832</v>
      </c>
      <c r="E181" s="246" t="s">
        <v>440</v>
      </c>
      <c r="F181" s="247" t="s">
        <v>1844</v>
      </c>
      <c r="G181" s="248" t="s">
        <v>566</v>
      </c>
      <c r="H181" s="248" t="s">
        <v>1380</v>
      </c>
      <c r="I181" s="248" t="s">
        <v>1381</v>
      </c>
      <c r="J181" s="248" t="s">
        <v>240</v>
      </c>
      <c r="K181" s="249" t="s">
        <v>1382</v>
      </c>
      <c r="L181" s="250" t="n">
        <v>46265</v>
      </c>
      <c r="M181" s="248"/>
      <c r="N181" s="248" t="s">
        <v>1383</v>
      </c>
    </row>
    <row r="182" customFormat="false" ht="18" hidden="false" customHeight="true" outlineLevel="0" collapsed="false">
      <c r="B182" s="235" t="n">
        <v>177</v>
      </c>
      <c r="C182" s="236" t="s">
        <v>1845</v>
      </c>
      <c r="D182" s="237" t="s">
        <v>1832</v>
      </c>
      <c r="E182" s="238" t="s">
        <v>441</v>
      </c>
      <c r="F182" s="239" t="s">
        <v>1846</v>
      </c>
      <c r="G182" s="240" t="s">
        <v>566</v>
      </c>
      <c r="H182" s="240" t="s">
        <v>1380</v>
      </c>
      <c r="I182" s="240" t="s">
        <v>1381</v>
      </c>
      <c r="J182" s="240" t="s">
        <v>284</v>
      </c>
      <c r="K182" s="241" t="s">
        <v>1382</v>
      </c>
      <c r="L182" s="242" t="n">
        <v>46265</v>
      </c>
      <c r="M182" s="240"/>
      <c r="N182" s="240" t="s">
        <v>1383</v>
      </c>
    </row>
    <row r="183" customFormat="false" ht="18" hidden="false" customHeight="true" outlineLevel="0" collapsed="false">
      <c r="B183" s="243" t="n">
        <v>178</v>
      </c>
      <c r="C183" s="244" t="s">
        <v>1847</v>
      </c>
      <c r="D183" s="245" t="s">
        <v>1832</v>
      </c>
      <c r="E183" s="246" t="s">
        <v>442</v>
      </c>
      <c r="F183" s="247" t="s">
        <v>1848</v>
      </c>
      <c r="G183" s="248" t="s">
        <v>1441</v>
      </c>
      <c r="H183" s="248" t="s">
        <v>1381</v>
      </c>
      <c r="I183" s="248"/>
      <c r="J183" s="248" t="s">
        <v>299</v>
      </c>
      <c r="K183" s="249" t="s">
        <v>1382</v>
      </c>
      <c r="L183" s="248"/>
      <c r="M183" s="248"/>
      <c r="N183" s="248" t="s">
        <v>1442</v>
      </c>
    </row>
    <row r="184" customFormat="false" ht="18" hidden="false" customHeight="true" outlineLevel="0" collapsed="false">
      <c r="B184" s="235" t="n">
        <v>179</v>
      </c>
      <c r="C184" s="236" t="s">
        <v>1849</v>
      </c>
      <c r="D184" s="237" t="s">
        <v>1832</v>
      </c>
      <c r="E184" s="238" t="s">
        <v>443</v>
      </c>
      <c r="F184" s="239" t="s">
        <v>1850</v>
      </c>
      <c r="G184" s="240" t="s">
        <v>566</v>
      </c>
      <c r="H184" s="240" t="s">
        <v>1380</v>
      </c>
      <c r="I184" s="240" t="s">
        <v>1381</v>
      </c>
      <c r="J184" s="240" t="s">
        <v>284</v>
      </c>
      <c r="K184" s="241" t="s">
        <v>1382</v>
      </c>
      <c r="L184" s="242" t="n">
        <v>46265</v>
      </c>
      <c r="M184" s="240"/>
      <c r="N184" s="240" t="s">
        <v>1383</v>
      </c>
    </row>
    <row r="185" customFormat="false" ht="18" hidden="false" customHeight="true" outlineLevel="0" collapsed="false">
      <c r="B185" s="243" t="n">
        <v>180</v>
      </c>
      <c r="C185" s="244" t="s">
        <v>1851</v>
      </c>
      <c r="D185" s="245" t="s">
        <v>1832</v>
      </c>
      <c r="E185" s="246" t="s">
        <v>444</v>
      </c>
      <c r="F185" s="247" t="s">
        <v>1852</v>
      </c>
      <c r="G185" s="248" t="s">
        <v>566</v>
      </c>
      <c r="H185" s="248" t="s">
        <v>1380</v>
      </c>
      <c r="I185" s="248" t="s">
        <v>1381</v>
      </c>
      <c r="J185" s="248" t="s">
        <v>252</v>
      </c>
      <c r="K185" s="249" t="s">
        <v>1382</v>
      </c>
      <c r="L185" s="250" t="n">
        <v>46265</v>
      </c>
      <c r="M185" s="248"/>
      <c r="N185" s="248" t="s">
        <v>1383</v>
      </c>
    </row>
    <row r="186" customFormat="false" ht="18" hidden="false" customHeight="true" outlineLevel="0" collapsed="false">
      <c r="B186" s="235" t="n">
        <v>181</v>
      </c>
      <c r="C186" s="236" t="s">
        <v>1853</v>
      </c>
      <c r="D186" s="237" t="s">
        <v>1832</v>
      </c>
      <c r="E186" s="238" t="s">
        <v>445</v>
      </c>
      <c r="F186" s="239" t="s">
        <v>1854</v>
      </c>
      <c r="G186" s="240" t="s">
        <v>1441</v>
      </c>
      <c r="H186" s="240" t="s">
        <v>1381</v>
      </c>
      <c r="I186" s="240"/>
      <c r="J186" s="240" t="s">
        <v>275</v>
      </c>
      <c r="K186" s="241" t="s">
        <v>1382</v>
      </c>
      <c r="L186" s="240"/>
      <c r="M186" s="240"/>
      <c r="N186" s="240" t="s">
        <v>1442</v>
      </c>
    </row>
    <row r="187" customFormat="false" ht="18" hidden="false" customHeight="true" outlineLevel="0" collapsed="false">
      <c r="B187" s="243" t="n">
        <v>182</v>
      </c>
      <c r="C187" s="244" t="s">
        <v>1855</v>
      </c>
      <c r="D187" s="245" t="s">
        <v>1832</v>
      </c>
      <c r="E187" s="246" t="s">
        <v>446</v>
      </c>
      <c r="F187" s="247" t="s">
        <v>1856</v>
      </c>
      <c r="G187" s="248" t="s">
        <v>566</v>
      </c>
      <c r="H187" s="248" t="s">
        <v>1380</v>
      </c>
      <c r="I187" s="248" t="s">
        <v>1381</v>
      </c>
      <c r="J187" s="248" t="s">
        <v>287</v>
      </c>
      <c r="K187" s="249" t="s">
        <v>1382</v>
      </c>
      <c r="L187" s="250" t="n">
        <v>46265</v>
      </c>
      <c r="M187" s="248"/>
      <c r="N187" s="248" t="s">
        <v>1383</v>
      </c>
    </row>
    <row r="188" customFormat="false" ht="18" hidden="false" customHeight="true" outlineLevel="0" collapsed="false">
      <c r="B188" s="235" t="n">
        <v>183</v>
      </c>
      <c r="C188" s="236" t="s">
        <v>1857</v>
      </c>
      <c r="D188" s="237" t="s">
        <v>1832</v>
      </c>
      <c r="E188" s="238" t="s">
        <v>447</v>
      </c>
      <c r="F188" s="239" t="s">
        <v>1858</v>
      </c>
      <c r="G188" s="240" t="s">
        <v>566</v>
      </c>
      <c r="H188" s="240" t="s">
        <v>1380</v>
      </c>
      <c r="I188" s="240" t="s">
        <v>1381</v>
      </c>
      <c r="J188" s="240" t="s">
        <v>284</v>
      </c>
      <c r="K188" s="241" t="s">
        <v>1382</v>
      </c>
      <c r="L188" s="242" t="n">
        <v>46265</v>
      </c>
      <c r="M188" s="240"/>
      <c r="N188" s="240" t="s">
        <v>1383</v>
      </c>
    </row>
    <row r="189" customFormat="false" ht="18" hidden="false" customHeight="true" outlineLevel="0" collapsed="false">
      <c r="B189" s="243" t="n">
        <v>184</v>
      </c>
      <c r="C189" s="244" t="s">
        <v>1859</v>
      </c>
      <c r="D189" s="245" t="s">
        <v>1832</v>
      </c>
      <c r="E189" s="246" t="s">
        <v>448</v>
      </c>
      <c r="F189" s="247" t="s">
        <v>1860</v>
      </c>
      <c r="G189" s="248" t="s">
        <v>566</v>
      </c>
      <c r="H189" s="248" t="s">
        <v>1380</v>
      </c>
      <c r="I189" s="248" t="s">
        <v>1381</v>
      </c>
      <c r="J189" s="248" t="s">
        <v>284</v>
      </c>
      <c r="K189" s="249" t="s">
        <v>1382</v>
      </c>
      <c r="L189" s="250" t="n">
        <v>46265</v>
      </c>
      <c r="M189" s="248"/>
      <c r="N189" s="248" t="s">
        <v>1383</v>
      </c>
    </row>
    <row r="190" customFormat="false" ht="18" hidden="false" customHeight="true" outlineLevel="0" collapsed="false">
      <c r="B190" s="235" t="n">
        <v>185</v>
      </c>
      <c r="C190" s="236" t="s">
        <v>1861</v>
      </c>
      <c r="D190" s="237" t="s">
        <v>1832</v>
      </c>
      <c r="E190" s="238" t="s">
        <v>449</v>
      </c>
      <c r="F190" s="239" t="s">
        <v>1862</v>
      </c>
      <c r="G190" s="240" t="s">
        <v>566</v>
      </c>
      <c r="H190" s="240" t="s">
        <v>1380</v>
      </c>
      <c r="I190" s="240" t="s">
        <v>1381</v>
      </c>
      <c r="J190" s="240" t="s">
        <v>284</v>
      </c>
      <c r="K190" s="241" t="s">
        <v>1382</v>
      </c>
      <c r="L190" s="242" t="n">
        <v>46265</v>
      </c>
      <c r="M190" s="240"/>
      <c r="N190" s="240" t="s">
        <v>1383</v>
      </c>
    </row>
    <row r="191" customFormat="false" ht="18" hidden="false" customHeight="true" outlineLevel="0" collapsed="false">
      <c r="B191" s="243" t="n">
        <v>186</v>
      </c>
      <c r="C191" s="244" t="s">
        <v>1863</v>
      </c>
      <c r="D191" s="245" t="s">
        <v>1832</v>
      </c>
      <c r="E191" s="246" t="s">
        <v>450</v>
      </c>
      <c r="F191" s="247" t="s">
        <v>1864</v>
      </c>
      <c r="G191" s="248" t="s">
        <v>566</v>
      </c>
      <c r="H191" s="248" t="s">
        <v>1380</v>
      </c>
      <c r="I191" s="248" t="s">
        <v>1381</v>
      </c>
      <c r="J191" s="248" t="s">
        <v>284</v>
      </c>
      <c r="K191" s="249" t="s">
        <v>1382</v>
      </c>
      <c r="L191" s="250" t="n">
        <v>46265</v>
      </c>
      <c r="M191" s="248"/>
      <c r="N191" s="248" t="s">
        <v>1383</v>
      </c>
    </row>
    <row r="192" customFormat="false" ht="18" hidden="false" customHeight="true" outlineLevel="0" collapsed="false">
      <c r="B192" s="235" t="n">
        <v>187</v>
      </c>
      <c r="C192" s="236" t="s">
        <v>1865</v>
      </c>
      <c r="D192" s="237" t="s">
        <v>1832</v>
      </c>
      <c r="E192" s="238" t="s">
        <v>451</v>
      </c>
      <c r="F192" s="239" t="s">
        <v>1866</v>
      </c>
      <c r="G192" s="240" t="s">
        <v>1441</v>
      </c>
      <c r="H192" s="240" t="s">
        <v>1381</v>
      </c>
      <c r="I192" s="240"/>
      <c r="J192" s="240" t="s">
        <v>284</v>
      </c>
      <c r="K192" s="241" t="s">
        <v>1382</v>
      </c>
      <c r="L192" s="240"/>
      <c r="M192" s="240"/>
      <c r="N192" s="240" t="s">
        <v>1442</v>
      </c>
    </row>
    <row r="193" customFormat="false" ht="18" hidden="false" customHeight="true" outlineLevel="0" collapsed="false">
      <c r="B193" s="243" t="n">
        <v>188</v>
      </c>
      <c r="C193" s="244" t="s">
        <v>1867</v>
      </c>
      <c r="D193" s="245" t="s">
        <v>1832</v>
      </c>
      <c r="E193" s="246" t="s">
        <v>452</v>
      </c>
      <c r="F193" s="247" t="s">
        <v>1868</v>
      </c>
      <c r="G193" s="248" t="s">
        <v>566</v>
      </c>
      <c r="H193" s="248" t="s">
        <v>1380</v>
      </c>
      <c r="I193" s="248" t="s">
        <v>1381</v>
      </c>
      <c r="J193" s="248" t="s">
        <v>261</v>
      </c>
      <c r="K193" s="249" t="s">
        <v>1382</v>
      </c>
      <c r="L193" s="250" t="n">
        <v>46265</v>
      </c>
      <c r="M193" s="248"/>
      <c r="N193" s="248" t="s">
        <v>1383</v>
      </c>
    </row>
    <row r="194" customFormat="false" ht="18" hidden="false" customHeight="true" outlineLevel="0" collapsed="false">
      <c r="B194" s="251"/>
      <c r="C194" s="251"/>
      <c r="D194" s="252"/>
      <c r="E194" s="253"/>
      <c r="F194" s="240"/>
      <c r="G194" s="240"/>
      <c r="H194" s="240"/>
      <c r="I194" s="240"/>
      <c r="J194" s="240"/>
      <c r="K194" s="240"/>
      <c r="L194" s="240"/>
      <c r="M194" s="240"/>
      <c r="N194" s="240"/>
    </row>
    <row r="195" customFormat="false" ht="18" hidden="false" customHeight="true" outlineLevel="0" collapsed="false">
      <c r="B195" s="254" t="s">
        <v>1869</v>
      </c>
      <c r="C195" s="254"/>
      <c r="D195" s="254"/>
      <c r="E195" s="254"/>
      <c r="F195" s="254"/>
      <c r="G195" s="254"/>
      <c r="H195" s="254"/>
      <c r="I195" s="254"/>
      <c r="J195" s="254"/>
      <c r="K195" s="254"/>
      <c r="L195" s="254"/>
      <c r="M195" s="254"/>
      <c r="N195" s="254"/>
    </row>
    <row r="196" customFormat="false" ht="18" hidden="false" customHeight="true" outlineLevel="0" collapsed="false">
      <c r="B196" s="255" t="s">
        <v>1870</v>
      </c>
      <c r="C196" s="255"/>
      <c r="D196" s="255"/>
      <c r="E196" s="255"/>
      <c r="F196" s="255"/>
      <c r="G196" s="255"/>
      <c r="H196" s="255"/>
      <c r="I196" s="255"/>
      <c r="J196" s="255"/>
      <c r="K196" s="255"/>
      <c r="L196" s="255"/>
      <c r="M196" s="255"/>
      <c r="N196" s="255"/>
    </row>
    <row r="197" customFormat="false" ht="18" hidden="false" customHeight="true" outlineLevel="0" collapsed="false">
      <c r="B197" s="251"/>
      <c r="C197" s="251"/>
      <c r="D197" s="252"/>
      <c r="E197" s="253"/>
      <c r="F197" s="240"/>
      <c r="G197" s="240"/>
      <c r="H197" s="240"/>
      <c r="I197" s="240"/>
      <c r="J197" s="240"/>
      <c r="K197" s="240"/>
      <c r="L197" s="240"/>
      <c r="M197" s="240"/>
      <c r="N197" s="240"/>
    </row>
    <row r="198" customFormat="false" ht="18" hidden="false" customHeight="true" outlineLevel="0" collapsed="false">
      <c r="B198" s="256" t="s">
        <v>1871</v>
      </c>
      <c r="C198" s="256"/>
      <c r="D198" s="256"/>
      <c r="E198" s="256"/>
      <c r="F198" s="256"/>
      <c r="G198" s="256"/>
      <c r="H198" s="256"/>
      <c r="I198" s="256"/>
      <c r="J198" s="256"/>
      <c r="K198" s="256"/>
      <c r="L198" s="256"/>
      <c r="M198" s="256"/>
      <c r="N198" s="256"/>
    </row>
    <row r="199" customFormat="false" ht="18" hidden="false" customHeight="true" outlineLevel="0" collapsed="false">
      <c r="B199" s="104" t="s">
        <v>1872</v>
      </c>
      <c r="C199" s="104" t="s">
        <v>1873</v>
      </c>
      <c r="D199" s="104" t="s">
        <v>1874</v>
      </c>
      <c r="E199" s="104" t="s">
        <v>1875</v>
      </c>
      <c r="F199" s="104"/>
      <c r="G199" s="104"/>
      <c r="H199" s="104" t="s">
        <v>1876</v>
      </c>
      <c r="I199" s="104"/>
      <c r="J199" s="104"/>
      <c r="K199" s="104"/>
      <c r="L199" s="104" t="s">
        <v>1877</v>
      </c>
      <c r="M199" s="104"/>
      <c r="N199" s="104"/>
    </row>
    <row r="200" customFormat="false" ht="18" hidden="false" customHeight="true" outlineLevel="0" collapsed="false">
      <c r="B200" s="257" t="s">
        <v>1878</v>
      </c>
      <c r="C200" s="258" t="s">
        <v>1472</v>
      </c>
      <c r="D200" s="259" t="s">
        <v>1879</v>
      </c>
      <c r="E200" s="260" t="s">
        <v>1880</v>
      </c>
      <c r="F200" s="260"/>
      <c r="G200" s="260"/>
      <c r="H200" s="261" t="s">
        <v>1881</v>
      </c>
      <c r="I200" s="261"/>
      <c r="J200" s="261"/>
      <c r="K200" s="261"/>
      <c r="L200" s="262" t="s">
        <v>1882</v>
      </c>
      <c r="M200" s="262"/>
      <c r="N200" s="262"/>
    </row>
    <row r="201" customFormat="false" ht="18" hidden="false" customHeight="true" outlineLevel="0" collapsed="false">
      <c r="B201" s="263" t="s">
        <v>1883</v>
      </c>
      <c r="C201" s="264" t="s">
        <v>1390</v>
      </c>
      <c r="D201" s="265" t="s">
        <v>1884</v>
      </c>
      <c r="E201" s="266" t="s">
        <v>1885</v>
      </c>
      <c r="F201" s="266"/>
      <c r="G201" s="266"/>
      <c r="H201" s="267" t="s">
        <v>1886</v>
      </c>
      <c r="I201" s="267"/>
      <c r="J201" s="267"/>
      <c r="K201" s="267"/>
      <c r="L201" s="268" t="s">
        <v>1887</v>
      </c>
      <c r="M201" s="268"/>
      <c r="N201" s="268"/>
    </row>
    <row r="202" customFormat="false" ht="18" hidden="false" customHeight="true" outlineLevel="0" collapsed="false">
      <c r="B202" s="269" t="s">
        <v>1888</v>
      </c>
      <c r="C202" s="270" t="s">
        <v>1398</v>
      </c>
      <c r="D202" s="271" t="s">
        <v>1889</v>
      </c>
      <c r="E202" s="260" t="s">
        <v>1890</v>
      </c>
      <c r="F202" s="260"/>
      <c r="G202" s="260"/>
      <c r="H202" s="261" t="s">
        <v>1891</v>
      </c>
      <c r="I202" s="261"/>
      <c r="J202" s="261"/>
      <c r="K202" s="261"/>
      <c r="L202" s="262" t="s">
        <v>1892</v>
      </c>
      <c r="M202" s="262"/>
      <c r="N202" s="262"/>
    </row>
    <row r="203" customFormat="false" ht="18" hidden="false" customHeight="true" outlineLevel="0" collapsed="false">
      <c r="B203" s="272" t="s">
        <v>1893</v>
      </c>
      <c r="C203" s="273" t="s">
        <v>1382</v>
      </c>
      <c r="D203" s="274" t="s">
        <v>1894</v>
      </c>
      <c r="E203" s="266" t="s">
        <v>1895</v>
      </c>
      <c r="F203" s="266"/>
      <c r="G203" s="266"/>
      <c r="H203" s="267" t="s">
        <v>1896</v>
      </c>
      <c r="I203" s="267"/>
      <c r="J203" s="267"/>
      <c r="K203" s="267"/>
      <c r="L203" s="268" t="s">
        <v>1897</v>
      </c>
      <c r="M203" s="268"/>
      <c r="N203" s="268"/>
    </row>
    <row r="204" customFormat="false" ht="18" hidden="false" customHeight="true" outlineLevel="0" collapsed="false">
      <c r="B204" s="275"/>
      <c r="C204" s="275"/>
      <c r="D204" s="276"/>
      <c r="E204" s="277"/>
      <c r="F204" s="248"/>
      <c r="G204" s="248"/>
      <c r="H204" s="248"/>
      <c r="I204" s="248"/>
      <c r="J204" s="248"/>
      <c r="K204" s="248"/>
      <c r="L204" s="248"/>
      <c r="M204" s="248"/>
      <c r="N204" s="248"/>
    </row>
    <row r="205" customFormat="false" ht="18" hidden="false" customHeight="true" outlineLevel="0" collapsed="false">
      <c r="B205" s="251"/>
      <c r="C205" s="251"/>
      <c r="D205" s="252"/>
      <c r="E205" s="253"/>
      <c r="F205" s="240"/>
      <c r="G205" s="240"/>
      <c r="H205" s="240"/>
      <c r="I205" s="240"/>
      <c r="J205" s="240"/>
      <c r="K205" s="240"/>
      <c r="L205" s="240"/>
      <c r="M205" s="240"/>
      <c r="N205" s="240"/>
    </row>
    <row r="206" customFormat="false" ht="18" hidden="false" customHeight="true" outlineLevel="0" collapsed="false">
      <c r="B206" s="278" t="s">
        <v>1898</v>
      </c>
      <c r="C206" s="278"/>
      <c r="D206" s="278"/>
      <c r="E206" s="278"/>
      <c r="F206" s="278"/>
      <c r="G206" s="278"/>
      <c r="H206" s="278"/>
      <c r="I206" s="278"/>
      <c r="J206" s="278"/>
      <c r="K206" s="278"/>
      <c r="L206" s="278"/>
      <c r="M206" s="278"/>
      <c r="N206" s="278"/>
    </row>
    <row r="207" customFormat="false" ht="18" hidden="false" customHeight="true" outlineLevel="0" collapsed="false">
      <c r="B207" s="279" t="s">
        <v>1899</v>
      </c>
      <c r="C207" s="280" t="s">
        <v>1900</v>
      </c>
      <c r="D207" s="280"/>
      <c r="E207" s="280"/>
      <c r="F207" s="280"/>
      <c r="G207" s="280"/>
      <c r="H207" s="280"/>
      <c r="I207" s="280"/>
      <c r="J207" s="280"/>
      <c r="K207" s="280"/>
      <c r="L207" s="280"/>
      <c r="M207" s="280"/>
      <c r="N207" s="280"/>
    </row>
    <row r="208" customFormat="false" ht="18" hidden="false" customHeight="true" outlineLevel="0" collapsed="false">
      <c r="B208" s="279" t="s">
        <v>1901</v>
      </c>
      <c r="C208" s="281" t="s">
        <v>1902</v>
      </c>
      <c r="D208" s="281"/>
      <c r="E208" s="281"/>
      <c r="F208" s="281"/>
      <c r="G208" s="281"/>
      <c r="H208" s="281"/>
      <c r="I208" s="281"/>
      <c r="J208" s="281"/>
      <c r="K208" s="281"/>
      <c r="L208" s="281"/>
      <c r="M208" s="281"/>
      <c r="N208" s="281"/>
    </row>
    <row r="209" customFormat="false" ht="18" hidden="false" customHeight="true" outlineLevel="0" collapsed="false">
      <c r="B209" s="279" t="s">
        <v>1903</v>
      </c>
      <c r="C209" s="280" t="s">
        <v>1904</v>
      </c>
      <c r="D209" s="280"/>
      <c r="E209" s="280"/>
      <c r="F209" s="280"/>
      <c r="G209" s="280"/>
      <c r="H209" s="280"/>
      <c r="I209" s="280"/>
      <c r="J209" s="280"/>
      <c r="K209" s="280"/>
      <c r="L209" s="280"/>
      <c r="M209" s="280"/>
      <c r="N209" s="280"/>
    </row>
    <row r="210" customFormat="false" ht="18" hidden="false" customHeight="true" outlineLevel="0" collapsed="false">
      <c r="B210" s="279" t="s">
        <v>1905</v>
      </c>
      <c r="C210" s="281" t="s">
        <v>1906</v>
      </c>
      <c r="D210" s="281"/>
      <c r="E210" s="281"/>
      <c r="F210" s="281"/>
      <c r="G210" s="281"/>
      <c r="H210" s="281"/>
      <c r="I210" s="281"/>
      <c r="J210" s="281"/>
      <c r="K210" s="281"/>
      <c r="L210" s="281"/>
      <c r="M210" s="281"/>
      <c r="N210" s="281"/>
    </row>
    <row r="211" customFormat="false" ht="18" hidden="false" customHeight="true" outlineLevel="0" collapsed="false">
      <c r="B211" s="279" t="s">
        <v>1907</v>
      </c>
      <c r="C211" s="280" t="s">
        <v>1908</v>
      </c>
      <c r="D211" s="280"/>
      <c r="E211" s="280"/>
      <c r="F211" s="280"/>
      <c r="G211" s="280"/>
      <c r="H211" s="280"/>
      <c r="I211" s="280"/>
      <c r="J211" s="280"/>
      <c r="K211" s="280"/>
      <c r="L211" s="280"/>
      <c r="M211" s="280"/>
      <c r="N211" s="280"/>
    </row>
    <row r="212" customFormat="false" ht="18" hidden="false" customHeight="true" outlineLevel="0" collapsed="false">
      <c r="B212" s="279" t="s">
        <v>1909</v>
      </c>
      <c r="C212" s="281" t="s">
        <v>1910</v>
      </c>
      <c r="D212" s="281"/>
      <c r="E212" s="281"/>
      <c r="F212" s="281"/>
      <c r="G212" s="281"/>
      <c r="H212" s="281"/>
      <c r="I212" s="281"/>
      <c r="J212" s="281"/>
      <c r="K212" s="281"/>
      <c r="L212" s="281"/>
      <c r="M212" s="281"/>
      <c r="N212" s="281"/>
    </row>
    <row r="213" customFormat="false" ht="18" hidden="false" customHeight="true" outlineLevel="0" collapsed="false">
      <c r="B213" s="279" t="s">
        <v>1911</v>
      </c>
      <c r="C213" s="280" t="s">
        <v>1912</v>
      </c>
      <c r="D213" s="280"/>
      <c r="E213" s="280"/>
      <c r="F213" s="280"/>
      <c r="G213" s="280"/>
      <c r="H213" s="280"/>
      <c r="I213" s="280"/>
      <c r="J213" s="280"/>
      <c r="K213" s="280"/>
      <c r="L213" s="280"/>
      <c r="M213" s="280"/>
      <c r="N213" s="280"/>
    </row>
    <row r="214" customFormat="false" ht="18" hidden="false" customHeight="true" outlineLevel="0" collapsed="false">
      <c r="B214" s="279" t="s">
        <v>1913</v>
      </c>
      <c r="C214" s="281" t="s">
        <v>1914</v>
      </c>
      <c r="D214" s="281"/>
      <c r="E214" s="281"/>
      <c r="F214" s="281"/>
      <c r="G214" s="281"/>
      <c r="H214" s="281"/>
      <c r="I214" s="281"/>
      <c r="J214" s="281"/>
      <c r="K214" s="281"/>
      <c r="L214" s="281"/>
      <c r="M214" s="281"/>
      <c r="N214" s="281"/>
    </row>
    <row r="215" customFormat="false" ht="18" hidden="false" customHeight="true" outlineLevel="0" collapsed="false">
      <c r="B215" s="251"/>
      <c r="C215" s="251"/>
      <c r="D215" s="252"/>
      <c r="E215" s="253"/>
      <c r="F215" s="240"/>
      <c r="G215" s="240"/>
      <c r="H215" s="240"/>
      <c r="I215" s="240"/>
      <c r="J215" s="240"/>
      <c r="K215" s="240"/>
      <c r="L215" s="240"/>
      <c r="M215" s="240"/>
      <c r="N215" s="240"/>
    </row>
    <row r="216" customFormat="false" ht="42.75" hidden="false" customHeight="true" outlineLevel="0" collapsed="false">
      <c r="B216" s="282" t="s">
        <v>1915</v>
      </c>
      <c r="C216" s="283"/>
      <c r="D216" s="283"/>
      <c r="E216" s="283"/>
      <c r="F216" s="283"/>
      <c r="G216" s="283"/>
      <c r="H216" s="283"/>
      <c r="I216" s="283"/>
      <c r="J216" s="283"/>
      <c r="K216" s="283"/>
      <c r="L216" s="283"/>
      <c r="M216" s="283"/>
      <c r="N216" s="284"/>
    </row>
    <row r="217" customFormat="false" ht="18" hidden="false" customHeight="true" outlineLevel="0" collapsed="false">
      <c r="B217" s="251"/>
      <c r="C217" s="251"/>
      <c r="D217" s="252"/>
      <c r="E217" s="253"/>
      <c r="F217" s="240"/>
      <c r="G217" s="240"/>
      <c r="H217" s="240"/>
      <c r="I217" s="240"/>
      <c r="J217" s="240"/>
      <c r="K217" s="240"/>
      <c r="L217" s="240"/>
      <c r="M217" s="240"/>
      <c r="N217" s="240"/>
    </row>
    <row r="218" customFormat="false" ht="18" hidden="false" customHeight="true" outlineLevel="0" collapsed="false">
      <c r="B218" s="275"/>
      <c r="C218" s="275"/>
      <c r="D218" s="276"/>
      <c r="E218" s="277"/>
      <c r="F218" s="248"/>
      <c r="G218" s="248"/>
      <c r="H218" s="248"/>
      <c r="I218" s="248"/>
      <c r="J218" s="248"/>
      <c r="K218" s="248"/>
      <c r="L218" s="248"/>
      <c r="M218" s="248"/>
      <c r="N218" s="248"/>
    </row>
    <row r="219" customFormat="false" ht="18" hidden="false" customHeight="true" outlineLevel="0" collapsed="false">
      <c r="B219" s="251"/>
      <c r="C219" s="251"/>
      <c r="D219" s="252"/>
      <c r="E219" s="253"/>
      <c r="F219" s="240"/>
      <c r="G219" s="240"/>
      <c r="H219" s="240"/>
      <c r="I219" s="240"/>
      <c r="J219" s="240"/>
      <c r="K219" s="240"/>
      <c r="L219" s="240"/>
      <c r="M219" s="240"/>
      <c r="N219" s="240"/>
    </row>
    <row r="220" customFormat="false" ht="18" hidden="false" customHeight="true" outlineLevel="0" collapsed="false">
      <c r="B220" s="275"/>
      <c r="C220" s="275"/>
      <c r="D220" s="276"/>
      <c r="E220" s="277"/>
      <c r="F220" s="248"/>
      <c r="G220" s="248"/>
      <c r="H220" s="248"/>
      <c r="I220" s="248"/>
      <c r="J220" s="248"/>
      <c r="K220" s="248"/>
      <c r="L220" s="248"/>
      <c r="M220" s="248"/>
      <c r="N220" s="248"/>
    </row>
    <row r="221" customFormat="false" ht="18" hidden="false" customHeight="true" outlineLevel="0" collapsed="false">
      <c r="B221" s="251"/>
      <c r="C221" s="251"/>
      <c r="D221" s="252"/>
      <c r="E221" s="253"/>
      <c r="F221" s="240"/>
      <c r="G221" s="240"/>
      <c r="H221" s="240"/>
      <c r="I221" s="240"/>
      <c r="J221" s="240"/>
      <c r="K221" s="240"/>
      <c r="L221" s="240"/>
      <c r="M221" s="240"/>
      <c r="N221" s="240"/>
    </row>
    <row r="222" customFormat="false" ht="18" hidden="false" customHeight="true" outlineLevel="0" collapsed="false">
      <c r="B222" s="275"/>
      <c r="C222" s="275"/>
      <c r="D222" s="276"/>
      <c r="E222" s="277"/>
      <c r="F222" s="248"/>
      <c r="G222" s="248"/>
      <c r="H222" s="248"/>
      <c r="I222" s="248"/>
      <c r="J222" s="248"/>
      <c r="K222" s="248"/>
      <c r="L222" s="248"/>
      <c r="M222" s="248"/>
      <c r="N222" s="248"/>
    </row>
    <row r="223" customFormat="false" ht="18" hidden="false" customHeight="true" outlineLevel="0" collapsed="false">
      <c r="B223" s="251"/>
      <c r="C223" s="251"/>
      <c r="D223" s="252"/>
      <c r="E223" s="253"/>
      <c r="F223" s="240"/>
      <c r="G223" s="240"/>
      <c r="H223" s="240"/>
      <c r="I223" s="240"/>
      <c r="J223" s="240"/>
      <c r="K223" s="240"/>
      <c r="L223" s="240"/>
      <c r="M223" s="240"/>
      <c r="N223" s="240"/>
    </row>
    <row r="224" customFormat="false" ht="18" hidden="false" customHeight="true" outlineLevel="0" collapsed="false">
      <c r="B224" s="275"/>
      <c r="C224" s="275"/>
      <c r="D224" s="276"/>
      <c r="E224" s="277"/>
      <c r="F224" s="248"/>
      <c r="G224" s="248"/>
      <c r="H224" s="248"/>
      <c r="I224" s="248"/>
      <c r="J224" s="248"/>
      <c r="K224" s="248"/>
      <c r="L224" s="248"/>
      <c r="M224" s="248"/>
      <c r="N224" s="248"/>
    </row>
    <row r="225" customFormat="false" ht="18" hidden="false" customHeight="true" outlineLevel="0" collapsed="false">
      <c r="B225" s="251"/>
      <c r="C225" s="251"/>
      <c r="D225" s="252"/>
      <c r="E225" s="253"/>
      <c r="F225" s="240"/>
      <c r="G225" s="240"/>
      <c r="H225" s="240"/>
      <c r="I225" s="240"/>
      <c r="J225" s="240"/>
      <c r="K225" s="240"/>
      <c r="L225" s="240"/>
      <c r="M225" s="240"/>
      <c r="N225" s="240"/>
    </row>
    <row r="226" customFormat="false" ht="18" hidden="false" customHeight="true" outlineLevel="0" collapsed="false">
      <c r="B226" s="275"/>
      <c r="C226" s="275"/>
      <c r="D226" s="276"/>
      <c r="E226" s="277"/>
      <c r="F226" s="248"/>
      <c r="G226" s="248"/>
      <c r="H226" s="248"/>
      <c r="I226" s="248"/>
      <c r="J226" s="248"/>
      <c r="K226" s="248"/>
      <c r="L226" s="248"/>
      <c r="M226" s="248"/>
      <c r="N226" s="248"/>
    </row>
    <row r="227" customFormat="false" ht="18" hidden="false" customHeight="true" outlineLevel="0" collapsed="false">
      <c r="B227" s="251"/>
      <c r="C227" s="251"/>
      <c r="D227" s="252"/>
      <c r="E227" s="253"/>
      <c r="F227" s="240"/>
      <c r="G227" s="240"/>
      <c r="H227" s="240"/>
      <c r="I227" s="240"/>
      <c r="J227" s="240"/>
      <c r="K227" s="240"/>
      <c r="L227" s="240"/>
      <c r="M227" s="240"/>
      <c r="N227" s="240"/>
    </row>
    <row r="228" customFormat="false" ht="18" hidden="false" customHeight="true" outlineLevel="0" collapsed="false">
      <c r="B228" s="275"/>
      <c r="C228" s="275"/>
      <c r="D228" s="276"/>
      <c r="E228" s="277"/>
      <c r="F228" s="248"/>
      <c r="G228" s="248"/>
      <c r="H228" s="248"/>
      <c r="I228" s="248"/>
      <c r="J228" s="248"/>
      <c r="K228" s="248"/>
      <c r="L228" s="248"/>
      <c r="M228" s="248"/>
      <c r="N228" s="248"/>
    </row>
    <row r="229" customFormat="false" ht="18" hidden="false" customHeight="true" outlineLevel="0" collapsed="false">
      <c r="B229" s="275"/>
      <c r="C229" s="275"/>
      <c r="D229" s="276"/>
      <c r="E229" s="277"/>
      <c r="F229" s="248"/>
      <c r="G229" s="248"/>
      <c r="H229" s="248"/>
      <c r="I229" s="248"/>
      <c r="J229" s="248"/>
      <c r="K229" s="248"/>
      <c r="L229" s="248"/>
      <c r="M229" s="248"/>
      <c r="N229" s="248"/>
    </row>
    <row r="230" customFormat="false" ht="18" hidden="false" customHeight="true" outlineLevel="0" collapsed="false">
      <c r="B230" s="251"/>
      <c r="C230" s="251"/>
      <c r="D230" s="252"/>
      <c r="E230" s="253"/>
      <c r="F230" s="240"/>
      <c r="G230" s="240"/>
      <c r="H230" s="240"/>
      <c r="I230" s="240"/>
      <c r="J230" s="240"/>
      <c r="K230" s="240"/>
      <c r="L230" s="240"/>
      <c r="M230" s="240"/>
      <c r="N230" s="240"/>
    </row>
    <row r="231" customFormat="false" ht="18" hidden="false" customHeight="true" outlineLevel="0" collapsed="false">
      <c r="B231" s="275"/>
      <c r="C231" s="275"/>
      <c r="D231" s="276"/>
      <c r="E231" s="277"/>
      <c r="F231" s="248"/>
      <c r="G231" s="248"/>
      <c r="H231" s="248"/>
      <c r="I231" s="248"/>
      <c r="J231" s="248"/>
      <c r="K231" s="248"/>
      <c r="L231" s="248"/>
      <c r="M231" s="248"/>
      <c r="N231" s="248"/>
    </row>
    <row r="232" customFormat="false" ht="18" hidden="false" customHeight="true" outlineLevel="0" collapsed="false">
      <c r="B232" s="251"/>
      <c r="C232" s="251"/>
      <c r="D232" s="252"/>
      <c r="E232" s="253"/>
      <c r="F232" s="240"/>
      <c r="G232" s="240"/>
      <c r="H232" s="240"/>
      <c r="I232" s="240"/>
      <c r="J232" s="240"/>
      <c r="K232" s="240"/>
      <c r="L232" s="240"/>
      <c r="M232" s="240"/>
      <c r="N232" s="240"/>
    </row>
    <row r="233" customFormat="false" ht="18" hidden="false" customHeight="true" outlineLevel="0" collapsed="false">
      <c r="B233" s="275"/>
      <c r="C233" s="275"/>
      <c r="D233" s="276"/>
      <c r="E233" s="277"/>
      <c r="F233" s="248"/>
      <c r="G233" s="248"/>
      <c r="H233" s="248"/>
      <c r="I233" s="248"/>
      <c r="J233" s="248"/>
      <c r="K233" s="248"/>
      <c r="L233" s="248"/>
      <c r="M233" s="248"/>
      <c r="N233" s="248"/>
    </row>
    <row r="234" customFormat="false" ht="18" hidden="false" customHeight="true" outlineLevel="0" collapsed="false">
      <c r="B234" s="251"/>
      <c r="C234" s="251"/>
      <c r="D234" s="252"/>
      <c r="E234" s="253"/>
      <c r="F234" s="240"/>
      <c r="G234" s="240"/>
      <c r="H234" s="240"/>
      <c r="I234" s="240"/>
      <c r="J234" s="240"/>
      <c r="K234" s="240"/>
      <c r="L234" s="240"/>
      <c r="M234" s="240"/>
      <c r="N234" s="240"/>
    </row>
    <row r="235" customFormat="false" ht="18" hidden="false" customHeight="true" outlineLevel="0" collapsed="false">
      <c r="B235" s="275"/>
      <c r="C235" s="275"/>
      <c r="D235" s="276"/>
      <c r="E235" s="277"/>
      <c r="F235" s="248"/>
      <c r="G235" s="248"/>
      <c r="H235" s="248"/>
      <c r="I235" s="248"/>
      <c r="J235" s="248"/>
      <c r="K235" s="248"/>
      <c r="L235" s="248"/>
      <c r="M235" s="248"/>
      <c r="N235" s="248"/>
    </row>
    <row r="236" customFormat="false" ht="18" hidden="false" customHeight="true" outlineLevel="0" collapsed="false">
      <c r="B236" s="251"/>
      <c r="C236" s="251"/>
      <c r="D236" s="252"/>
      <c r="E236" s="253"/>
      <c r="F236" s="240"/>
      <c r="G236" s="240"/>
      <c r="H236" s="240"/>
      <c r="I236" s="240"/>
      <c r="J236" s="240"/>
      <c r="K236" s="240"/>
      <c r="L236" s="240"/>
      <c r="M236" s="240"/>
      <c r="N236" s="240"/>
    </row>
    <row r="237" customFormat="false" ht="18" hidden="false" customHeight="true" outlineLevel="0" collapsed="false">
      <c r="B237" s="275"/>
      <c r="C237" s="275"/>
      <c r="D237" s="276"/>
      <c r="E237" s="277"/>
      <c r="F237" s="248"/>
      <c r="G237" s="248"/>
      <c r="H237" s="248"/>
      <c r="I237" s="248"/>
      <c r="J237" s="248"/>
      <c r="K237" s="248"/>
      <c r="L237" s="248"/>
      <c r="M237" s="248"/>
      <c r="N237" s="248"/>
    </row>
    <row r="238" customFormat="false" ht="18" hidden="false" customHeight="true" outlineLevel="0" collapsed="false">
      <c r="B238" s="251"/>
      <c r="C238" s="251"/>
      <c r="D238" s="252"/>
      <c r="E238" s="253"/>
      <c r="F238" s="240"/>
      <c r="G238" s="240"/>
      <c r="H238" s="240"/>
      <c r="I238" s="240"/>
      <c r="J238" s="240"/>
      <c r="K238" s="240"/>
      <c r="L238" s="240"/>
      <c r="M238" s="240"/>
      <c r="N238" s="240"/>
    </row>
    <row r="239" customFormat="false" ht="18" hidden="false" customHeight="true" outlineLevel="0" collapsed="false">
      <c r="B239" s="275"/>
      <c r="C239" s="275"/>
      <c r="D239" s="276"/>
      <c r="E239" s="277"/>
      <c r="F239" s="248"/>
      <c r="G239" s="248"/>
      <c r="H239" s="248"/>
      <c r="I239" s="248"/>
      <c r="J239" s="248"/>
      <c r="K239" s="248"/>
      <c r="L239" s="248"/>
      <c r="M239" s="248"/>
      <c r="N239" s="248"/>
    </row>
    <row r="240" customFormat="false" ht="18" hidden="false" customHeight="true" outlineLevel="0" collapsed="false">
      <c r="B240" s="251"/>
      <c r="C240" s="251"/>
      <c r="D240" s="252"/>
      <c r="E240" s="253"/>
      <c r="F240" s="240"/>
      <c r="G240" s="240"/>
      <c r="H240" s="240"/>
      <c r="I240" s="240"/>
      <c r="J240" s="240"/>
      <c r="K240" s="240"/>
      <c r="L240" s="240"/>
      <c r="M240" s="240"/>
      <c r="N240" s="240"/>
    </row>
    <row r="241" customFormat="false" ht="18" hidden="false" customHeight="true" outlineLevel="0" collapsed="false">
      <c r="B241" s="275"/>
      <c r="C241" s="275"/>
      <c r="D241" s="276"/>
      <c r="E241" s="277"/>
      <c r="F241" s="248"/>
      <c r="G241" s="248"/>
      <c r="H241" s="248"/>
      <c r="I241" s="248"/>
      <c r="J241" s="248"/>
      <c r="K241" s="248"/>
      <c r="L241" s="248"/>
      <c r="M241" s="248"/>
      <c r="N241" s="248"/>
    </row>
    <row r="242" customFormat="false" ht="18" hidden="false" customHeight="true" outlineLevel="0" collapsed="false">
      <c r="B242" s="251"/>
      <c r="C242" s="251"/>
      <c r="D242" s="252"/>
      <c r="E242" s="253"/>
      <c r="F242" s="240"/>
      <c r="G242" s="240"/>
      <c r="H242" s="240"/>
      <c r="I242" s="240"/>
      <c r="J242" s="240"/>
      <c r="K242" s="240"/>
      <c r="L242" s="240"/>
      <c r="M242" s="240"/>
      <c r="N242" s="240"/>
    </row>
    <row r="243" customFormat="false" ht="18" hidden="false" customHeight="true" outlineLevel="0" collapsed="false">
      <c r="B243" s="275"/>
      <c r="C243" s="275"/>
      <c r="D243" s="276"/>
      <c r="E243" s="277"/>
      <c r="F243" s="248"/>
      <c r="G243" s="248"/>
      <c r="H243" s="248"/>
      <c r="I243" s="248"/>
      <c r="J243" s="248"/>
      <c r="K243" s="248"/>
      <c r="L243" s="248"/>
      <c r="M243" s="248"/>
      <c r="N243" s="248"/>
    </row>
    <row r="244" customFormat="false" ht="18" hidden="false" customHeight="true" outlineLevel="0" collapsed="false">
      <c r="B244" s="251"/>
      <c r="C244" s="251"/>
      <c r="D244" s="252"/>
      <c r="E244" s="253"/>
      <c r="F244" s="240"/>
      <c r="G244" s="240"/>
      <c r="H244" s="240"/>
      <c r="I244" s="240"/>
      <c r="J244" s="240"/>
      <c r="K244" s="240"/>
      <c r="L244" s="240"/>
      <c r="M244" s="240"/>
      <c r="N244" s="240"/>
    </row>
    <row r="245" customFormat="false" ht="18" hidden="false" customHeight="true" outlineLevel="0" collapsed="false">
      <c r="B245" s="275"/>
      <c r="C245" s="275"/>
      <c r="D245" s="276"/>
      <c r="E245" s="277"/>
      <c r="F245" s="248"/>
      <c r="G245" s="248"/>
      <c r="H245" s="248"/>
      <c r="I245" s="248"/>
      <c r="J245" s="248"/>
      <c r="K245" s="248"/>
      <c r="L245" s="248"/>
      <c r="M245" s="248"/>
      <c r="N245" s="248"/>
    </row>
    <row r="246" customFormat="false" ht="18" hidden="false" customHeight="true" outlineLevel="0" collapsed="false">
      <c r="B246" s="251"/>
      <c r="C246" s="251"/>
      <c r="D246" s="252"/>
      <c r="E246" s="253"/>
      <c r="F246" s="240"/>
      <c r="G246" s="240"/>
      <c r="H246" s="240"/>
      <c r="I246" s="240"/>
      <c r="J246" s="240"/>
      <c r="K246" s="240"/>
      <c r="L246" s="240"/>
      <c r="M246" s="240"/>
      <c r="N246" s="240"/>
    </row>
    <row r="247" customFormat="false" ht="18" hidden="false" customHeight="true" outlineLevel="0" collapsed="false">
      <c r="B247" s="275"/>
      <c r="C247" s="275"/>
      <c r="D247" s="276"/>
      <c r="E247" s="277"/>
      <c r="F247" s="248"/>
      <c r="G247" s="248"/>
      <c r="H247" s="248"/>
      <c r="I247" s="248"/>
      <c r="J247" s="248"/>
      <c r="K247" s="248"/>
      <c r="L247" s="248"/>
      <c r="M247" s="248"/>
      <c r="N247" s="248"/>
    </row>
    <row r="248" customFormat="false" ht="18" hidden="false" customHeight="true" outlineLevel="0" collapsed="false">
      <c r="B248" s="251"/>
      <c r="C248" s="251"/>
      <c r="D248" s="252"/>
      <c r="E248" s="253"/>
      <c r="F248" s="240"/>
      <c r="G248" s="240"/>
      <c r="H248" s="240"/>
      <c r="I248" s="240"/>
      <c r="J248" s="240"/>
      <c r="K248" s="240"/>
      <c r="L248" s="240"/>
      <c r="M248" s="240"/>
      <c r="N248" s="240"/>
    </row>
    <row r="249" customFormat="false" ht="18" hidden="false" customHeight="true" outlineLevel="0" collapsed="false">
      <c r="B249" s="275"/>
      <c r="C249" s="275"/>
      <c r="D249" s="276"/>
      <c r="E249" s="277"/>
      <c r="F249" s="248"/>
      <c r="G249" s="248"/>
      <c r="H249" s="248"/>
      <c r="I249" s="248"/>
      <c r="J249" s="248"/>
      <c r="K249" s="248"/>
      <c r="L249" s="248"/>
      <c r="M249" s="248"/>
      <c r="N249" s="248"/>
    </row>
    <row r="250" customFormat="false" ht="18" hidden="false" customHeight="true" outlineLevel="0" collapsed="false">
      <c r="B250" s="251"/>
      <c r="C250" s="251"/>
      <c r="D250" s="252"/>
      <c r="E250" s="253"/>
      <c r="F250" s="240"/>
      <c r="G250" s="240"/>
      <c r="H250" s="240"/>
      <c r="I250" s="240"/>
      <c r="J250" s="240"/>
      <c r="K250" s="240"/>
      <c r="L250" s="240"/>
      <c r="M250" s="240"/>
      <c r="N250" s="240"/>
    </row>
    <row r="251" customFormat="false" ht="18" hidden="false" customHeight="true" outlineLevel="0" collapsed="false">
      <c r="B251" s="275"/>
      <c r="C251" s="275"/>
      <c r="D251" s="276"/>
      <c r="E251" s="277"/>
      <c r="F251" s="248"/>
      <c r="G251" s="248"/>
      <c r="H251" s="248"/>
      <c r="I251" s="248"/>
      <c r="J251" s="248"/>
      <c r="K251" s="248"/>
      <c r="L251" s="248"/>
      <c r="M251" s="248"/>
      <c r="N251" s="248"/>
    </row>
    <row r="252" customFormat="false" ht="18" hidden="false" customHeight="true" outlineLevel="0" collapsed="false">
      <c r="B252" s="251"/>
      <c r="C252" s="251"/>
      <c r="D252" s="252"/>
      <c r="E252" s="253"/>
      <c r="F252" s="240"/>
      <c r="G252" s="240"/>
      <c r="H252" s="240"/>
      <c r="I252" s="240"/>
      <c r="J252" s="240"/>
      <c r="K252" s="240"/>
      <c r="L252" s="240"/>
      <c r="M252" s="240"/>
      <c r="N252" s="240"/>
    </row>
    <row r="253" customFormat="false" ht="18" hidden="false" customHeight="true" outlineLevel="0" collapsed="false">
      <c r="B253" s="275"/>
      <c r="C253" s="275"/>
      <c r="D253" s="276"/>
      <c r="E253" s="277"/>
      <c r="F253" s="248"/>
      <c r="G253" s="248"/>
      <c r="H253" s="248"/>
      <c r="I253" s="248"/>
      <c r="J253" s="248"/>
      <c r="K253" s="248"/>
      <c r="L253" s="248"/>
      <c r="M253" s="248"/>
      <c r="N253" s="248"/>
    </row>
    <row r="254" customFormat="false" ht="18" hidden="false" customHeight="true" outlineLevel="0" collapsed="false">
      <c r="B254" s="251"/>
      <c r="C254" s="251"/>
      <c r="D254" s="252"/>
      <c r="E254" s="253"/>
      <c r="F254" s="240"/>
      <c r="G254" s="240"/>
      <c r="H254" s="240"/>
      <c r="I254" s="240"/>
      <c r="J254" s="240"/>
      <c r="K254" s="240"/>
      <c r="L254" s="240"/>
      <c r="M254" s="240"/>
      <c r="N254" s="240"/>
    </row>
    <row r="255" customFormat="false" ht="18" hidden="false" customHeight="true" outlineLevel="0" collapsed="false">
      <c r="B255" s="275"/>
      <c r="C255" s="275"/>
      <c r="D255" s="276"/>
      <c r="E255" s="277"/>
      <c r="F255" s="248"/>
      <c r="G255" s="248"/>
      <c r="H255" s="248"/>
      <c r="I255" s="248"/>
      <c r="J255" s="248"/>
      <c r="K255" s="248"/>
      <c r="L255" s="248"/>
      <c r="M255" s="248"/>
      <c r="N255" s="248"/>
    </row>
    <row r="256" customFormat="false" ht="18" hidden="false" customHeight="true" outlineLevel="0" collapsed="false">
      <c r="B256" s="251"/>
      <c r="C256" s="251"/>
      <c r="D256" s="252"/>
      <c r="E256" s="253"/>
      <c r="F256" s="240"/>
      <c r="G256" s="240"/>
      <c r="H256" s="240"/>
      <c r="I256" s="240"/>
      <c r="J256" s="240"/>
      <c r="K256" s="240"/>
      <c r="L256" s="240"/>
      <c r="M256" s="240"/>
      <c r="N256" s="240"/>
    </row>
    <row r="257" customFormat="false" ht="18" hidden="false" customHeight="true" outlineLevel="0" collapsed="false">
      <c r="B257" s="275"/>
      <c r="C257" s="275"/>
      <c r="D257" s="276"/>
      <c r="E257" s="277"/>
      <c r="F257" s="248"/>
      <c r="G257" s="248"/>
      <c r="H257" s="248"/>
      <c r="I257" s="248"/>
      <c r="J257" s="248"/>
      <c r="K257" s="248"/>
      <c r="L257" s="248"/>
      <c r="M257" s="248"/>
      <c r="N257" s="248"/>
    </row>
    <row r="258" customFormat="false" ht="18" hidden="false" customHeight="true" outlineLevel="0" collapsed="false">
      <c r="B258" s="251"/>
      <c r="C258" s="251"/>
      <c r="D258" s="252"/>
      <c r="E258" s="253"/>
      <c r="F258" s="240"/>
      <c r="G258" s="240"/>
      <c r="H258" s="240"/>
      <c r="I258" s="240"/>
      <c r="J258" s="240"/>
      <c r="K258" s="240"/>
      <c r="L258" s="240"/>
      <c r="M258" s="240"/>
      <c r="N258" s="240"/>
    </row>
    <row r="259" customFormat="false" ht="18" hidden="false" customHeight="true" outlineLevel="0" collapsed="false">
      <c r="B259" s="275"/>
      <c r="C259" s="275"/>
      <c r="D259" s="276"/>
      <c r="E259" s="277"/>
      <c r="F259" s="248"/>
      <c r="G259" s="248"/>
      <c r="H259" s="248"/>
      <c r="I259" s="248"/>
      <c r="J259" s="248"/>
      <c r="K259" s="248"/>
      <c r="L259" s="248"/>
      <c r="M259" s="248"/>
      <c r="N259" s="248"/>
    </row>
    <row r="260" customFormat="false" ht="18" hidden="false" customHeight="true" outlineLevel="0" collapsed="false">
      <c r="B260" s="251"/>
      <c r="C260" s="251"/>
      <c r="D260" s="252"/>
      <c r="E260" s="253"/>
      <c r="F260" s="240"/>
      <c r="G260" s="240"/>
      <c r="H260" s="240"/>
      <c r="I260" s="240"/>
      <c r="J260" s="240"/>
      <c r="K260" s="240"/>
      <c r="L260" s="240"/>
      <c r="M260" s="240"/>
      <c r="N260" s="240"/>
    </row>
    <row r="261" customFormat="false" ht="18" hidden="false" customHeight="true" outlineLevel="0" collapsed="false">
      <c r="B261" s="275"/>
      <c r="C261" s="275"/>
      <c r="D261" s="276"/>
      <c r="E261" s="277"/>
      <c r="F261" s="248"/>
      <c r="G261" s="248"/>
      <c r="H261" s="248"/>
      <c r="I261" s="248"/>
      <c r="J261" s="248"/>
      <c r="K261" s="248"/>
      <c r="L261" s="248"/>
      <c r="M261" s="248"/>
      <c r="N261" s="248"/>
    </row>
    <row r="262" customFormat="false" ht="18" hidden="false" customHeight="true" outlineLevel="0" collapsed="false">
      <c r="B262" s="251"/>
      <c r="C262" s="251"/>
      <c r="D262" s="252"/>
      <c r="E262" s="253"/>
      <c r="F262" s="240"/>
      <c r="G262" s="240"/>
      <c r="H262" s="240"/>
      <c r="I262" s="240"/>
      <c r="J262" s="240"/>
      <c r="K262" s="240"/>
      <c r="L262" s="240"/>
      <c r="M262" s="240"/>
      <c r="N262" s="240"/>
    </row>
    <row r="263" customFormat="false" ht="18" hidden="false" customHeight="true" outlineLevel="0" collapsed="false">
      <c r="B263" s="275"/>
      <c r="C263" s="275"/>
      <c r="D263" s="276"/>
      <c r="E263" s="277"/>
      <c r="F263" s="248"/>
      <c r="G263" s="248"/>
      <c r="H263" s="248"/>
      <c r="I263" s="248"/>
      <c r="J263" s="248"/>
      <c r="K263" s="248"/>
      <c r="L263" s="248"/>
      <c r="M263" s="248"/>
      <c r="N263" s="248"/>
    </row>
    <row r="264" customFormat="false" ht="18" hidden="false" customHeight="true" outlineLevel="0" collapsed="false">
      <c r="B264" s="251"/>
      <c r="C264" s="251"/>
      <c r="D264" s="252"/>
      <c r="E264" s="253"/>
      <c r="F264" s="240"/>
      <c r="G264" s="240"/>
      <c r="H264" s="240"/>
      <c r="I264" s="240"/>
      <c r="J264" s="240"/>
      <c r="K264" s="240"/>
      <c r="L264" s="240"/>
      <c r="M264" s="240"/>
      <c r="N264" s="240"/>
    </row>
    <row r="265" customFormat="false" ht="18" hidden="false" customHeight="true" outlineLevel="0" collapsed="false">
      <c r="B265" s="275"/>
      <c r="C265" s="275"/>
      <c r="D265" s="276"/>
      <c r="E265" s="277"/>
      <c r="F265" s="248"/>
      <c r="G265" s="248"/>
      <c r="H265" s="248"/>
      <c r="I265" s="248"/>
      <c r="J265" s="248"/>
      <c r="K265" s="248"/>
      <c r="L265" s="248"/>
      <c r="M265" s="248"/>
      <c r="N265" s="248"/>
    </row>
    <row r="266" customFormat="false" ht="18" hidden="false" customHeight="true" outlineLevel="0" collapsed="false">
      <c r="B266" s="251"/>
      <c r="C266" s="251"/>
      <c r="D266" s="252"/>
      <c r="E266" s="253"/>
      <c r="F266" s="240"/>
      <c r="G266" s="240"/>
      <c r="H266" s="240"/>
      <c r="I266" s="240"/>
      <c r="J266" s="240"/>
      <c r="K266" s="240"/>
      <c r="L266" s="240"/>
      <c r="M266" s="240"/>
      <c r="N266" s="240"/>
    </row>
    <row r="267" customFormat="false" ht="18" hidden="false" customHeight="true" outlineLevel="0" collapsed="false">
      <c r="B267" s="275"/>
      <c r="C267" s="275"/>
      <c r="D267" s="276"/>
      <c r="E267" s="277"/>
      <c r="F267" s="248"/>
      <c r="G267" s="248"/>
      <c r="H267" s="248"/>
      <c r="I267" s="248"/>
      <c r="J267" s="248"/>
      <c r="K267" s="248"/>
      <c r="L267" s="248"/>
      <c r="M267" s="248"/>
      <c r="N267" s="248"/>
    </row>
    <row r="268" customFormat="false" ht="18" hidden="false" customHeight="true" outlineLevel="0" collapsed="false">
      <c r="B268" s="251"/>
      <c r="C268" s="251"/>
      <c r="D268" s="252"/>
      <c r="E268" s="253"/>
      <c r="F268" s="240"/>
      <c r="G268" s="240"/>
      <c r="H268" s="240"/>
      <c r="I268" s="240"/>
      <c r="J268" s="240"/>
      <c r="K268" s="240"/>
      <c r="L268" s="240"/>
      <c r="M268" s="240"/>
      <c r="N268" s="240"/>
    </row>
    <row r="269" customFormat="false" ht="18" hidden="false" customHeight="true" outlineLevel="0" collapsed="false">
      <c r="B269" s="275"/>
      <c r="C269" s="275"/>
      <c r="D269" s="276"/>
      <c r="E269" s="277"/>
      <c r="F269" s="248"/>
      <c r="G269" s="248"/>
      <c r="H269" s="248"/>
      <c r="I269" s="248"/>
      <c r="J269" s="248"/>
      <c r="K269" s="248"/>
      <c r="L269" s="248"/>
      <c r="M269" s="248"/>
      <c r="N269" s="248"/>
    </row>
    <row r="270" customFormat="false" ht="18" hidden="false" customHeight="true" outlineLevel="0" collapsed="false">
      <c r="B270" s="251"/>
      <c r="C270" s="251"/>
      <c r="D270" s="252"/>
      <c r="E270" s="253"/>
      <c r="F270" s="240"/>
      <c r="G270" s="240"/>
      <c r="H270" s="240"/>
      <c r="I270" s="240"/>
      <c r="J270" s="240"/>
      <c r="K270" s="240"/>
      <c r="L270" s="240"/>
      <c r="M270" s="240"/>
      <c r="N270" s="240"/>
    </row>
    <row r="271" customFormat="false" ht="18" hidden="false" customHeight="true" outlineLevel="0" collapsed="false">
      <c r="B271" s="275"/>
      <c r="C271" s="275"/>
      <c r="D271" s="276"/>
      <c r="E271" s="277"/>
      <c r="F271" s="248"/>
      <c r="G271" s="248"/>
      <c r="H271" s="248"/>
      <c r="I271" s="248"/>
      <c r="J271" s="248"/>
      <c r="K271" s="248"/>
      <c r="L271" s="248"/>
      <c r="M271" s="248"/>
      <c r="N271" s="248"/>
    </row>
    <row r="272" customFormat="false" ht="18" hidden="false" customHeight="true" outlineLevel="0" collapsed="false">
      <c r="B272" s="251"/>
      <c r="C272" s="251"/>
      <c r="D272" s="252"/>
      <c r="E272" s="253"/>
      <c r="F272" s="240"/>
      <c r="G272" s="240"/>
      <c r="H272" s="240"/>
      <c r="I272" s="240"/>
      <c r="J272" s="240"/>
      <c r="K272" s="240"/>
      <c r="L272" s="240"/>
      <c r="M272" s="240"/>
      <c r="N272" s="240"/>
    </row>
    <row r="273" customFormat="false" ht="18" hidden="false" customHeight="true" outlineLevel="0" collapsed="false">
      <c r="B273" s="275"/>
      <c r="C273" s="275"/>
      <c r="D273" s="276"/>
      <c r="E273" s="277"/>
      <c r="F273" s="248"/>
      <c r="G273" s="248"/>
      <c r="H273" s="248"/>
      <c r="I273" s="248"/>
      <c r="J273" s="248"/>
      <c r="K273" s="248"/>
      <c r="L273" s="248"/>
      <c r="M273" s="248"/>
      <c r="N273" s="248"/>
    </row>
    <row r="274" customFormat="false" ht="18" hidden="false" customHeight="true" outlineLevel="0" collapsed="false">
      <c r="B274" s="251"/>
      <c r="C274" s="251"/>
      <c r="D274" s="252"/>
      <c r="E274" s="253"/>
      <c r="F274" s="240"/>
      <c r="G274" s="240"/>
      <c r="H274" s="240"/>
      <c r="I274" s="240"/>
      <c r="J274" s="240"/>
      <c r="K274" s="240"/>
      <c r="L274" s="240"/>
      <c r="M274" s="240"/>
      <c r="N274" s="240"/>
    </row>
    <row r="275" customFormat="false" ht="18" hidden="false" customHeight="true" outlineLevel="0" collapsed="false">
      <c r="B275" s="275"/>
      <c r="C275" s="275"/>
      <c r="D275" s="276"/>
      <c r="E275" s="277"/>
      <c r="F275" s="248"/>
      <c r="G275" s="248"/>
      <c r="H275" s="248"/>
      <c r="I275" s="248"/>
      <c r="J275" s="248"/>
      <c r="K275" s="248"/>
      <c r="L275" s="248"/>
      <c r="M275" s="248"/>
      <c r="N275" s="248"/>
    </row>
  </sheetData>
  <autoFilter ref="B5:N5"/>
  <mergeCells count="27">
    <mergeCell ref="B195:N195"/>
    <mergeCell ref="B196:N196"/>
    <mergeCell ref="B198:N198"/>
    <mergeCell ref="E199:G199"/>
    <mergeCell ref="H199:K199"/>
    <mergeCell ref="L199:N199"/>
    <mergeCell ref="E200:G200"/>
    <mergeCell ref="H200:K200"/>
    <mergeCell ref="L200:N200"/>
    <mergeCell ref="E201:G201"/>
    <mergeCell ref="H201:K201"/>
    <mergeCell ref="L201:N201"/>
    <mergeCell ref="E202:G202"/>
    <mergeCell ref="H202:K202"/>
    <mergeCell ref="L202:N202"/>
    <mergeCell ref="E203:G203"/>
    <mergeCell ref="H203:K203"/>
    <mergeCell ref="L203:N203"/>
    <mergeCell ref="B206:N206"/>
    <mergeCell ref="C207:N207"/>
    <mergeCell ref="C208:N208"/>
    <mergeCell ref="C209:N209"/>
    <mergeCell ref="C210:N210"/>
    <mergeCell ref="C211:N211"/>
    <mergeCell ref="C212:N212"/>
    <mergeCell ref="C213:N213"/>
    <mergeCell ref="C214:N214"/>
  </mergeCells>
  <dataValidations count="2">
    <dataValidation allowBlank="true" errorStyle="stop" operator="between" showDropDown="false" showErrorMessage="false" showInputMessage="false" sqref="N6:N198" type="list">
      <formula1>"✅ Current,⚠️ Expiring,🔴 Expired,📋 Requested,⬛ N/A"</formula1>
      <formula2>0</formula2>
    </dataValidation>
    <dataValidation allowBlank="true" errorStyle="stop" operator="between" promptTitle="Evidence Tier" showDropDown="false" showErrorMessage="false" showInputMessage="true" sqref="K6:K193 K195:K228" type="list">
      <formula1>"Tier 1 — Automated / Independent,Tier 2 — Documentary / Sample-Tested,Tier 3 — Interview Only,Tier 4 — Attestation Only"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50"/>
  <sheetViews>
    <sheetView showFormulas="false" showGridLines="false" showRowColHeaders="true" showZeros="true" rightToLeft="false" tabSelected="false" showOutlineSymbols="true" defaultGridColor="true" view="normal" topLeftCell="A944" colorId="64" zoomScale="100" zoomScaleNormal="100" zoomScalePageLayoutView="100" workbookViewId="0">
      <selection pane="topLeft" activeCell="B29" activeCellId="0" sqref="B29"/>
    </sheetView>
  </sheetViews>
  <sheetFormatPr defaultColWidth="8.6796875" defaultRowHeight="14.2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42"/>
    <col collapsed="false" customWidth="true" hidden="false" outlineLevel="0" max="4" min="4" style="1" width="80"/>
    <col collapsed="false" customWidth="true" hidden="false" outlineLevel="0" max="5" min="5" style="1" width="40"/>
    <col collapsed="false" customWidth="true" hidden="false" outlineLevel="0" max="6" min="6" style="1" width="28"/>
    <col collapsed="false" customWidth="true" hidden="false" outlineLevel="0" max="7" min="7" style="1" width="34"/>
    <col collapsed="false" customWidth="true" hidden="false" outlineLevel="0" max="8" min="8" style="1" width="50"/>
  </cols>
  <sheetData>
    <row r="1" customFormat="false" ht="39.75" hidden="false" customHeight="true" outlineLevel="0" collapsed="false">
      <c r="A1" s="285" t="s">
        <v>1916</v>
      </c>
      <c r="B1" s="285"/>
      <c r="C1" s="285"/>
      <c r="D1" s="285"/>
      <c r="E1" s="285"/>
      <c r="F1" s="285"/>
      <c r="G1" s="285"/>
      <c r="H1" s="285"/>
    </row>
    <row r="2" customFormat="false" ht="18" hidden="false" customHeight="true" outlineLevel="0" collapsed="false">
      <c r="A2" s="286" t="s">
        <v>1917</v>
      </c>
      <c r="B2" s="286"/>
      <c r="C2" s="286"/>
      <c r="D2" s="286"/>
      <c r="E2" s="286"/>
      <c r="F2" s="286"/>
      <c r="G2" s="286"/>
      <c r="H2" s="286"/>
    </row>
    <row r="3" customFormat="false" ht="7.5" hidden="false" customHeight="true" outlineLevel="0" collapsed="false"/>
    <row r="4" customFormat="false" ht="45" hidden="false" customHeight="true" outlineLevel="0" collapsed="false">
      <c r="A4" s="287" t="s">
        <v>474</v>
      </c>
      <c r="B4" s="288" t="s">
        <v>1918</v>
      </c>
      <c r="C4" s="288" t="s">
        <v>1919</v>
      </c>
      <c r="D4" s="288" t="s">
        <v>1920</v>
      </c>
      <c r="E4" s="288" t="s">
        <v>1921</v>
      </c>
      <c r="F4" s="288" t="s">
        <v>1922</v>
      </c>
      <c r="G4" s="288" t="s">
        <v>1923</v>
      </c>
      <c r="H4" s="288" t="s">
        <v>1924</v>
      </c>
    </row>
    <row r="5" customFormat="false" ht="39.75" hidden="false" customHeight="true" outlineLevel="0" collapsed="false">
      <c r="A5" s="289" t="s">
        <v>1925</v>
      </c>
      <c r="B5" s="289"/>
      <c r="C5" s="289"/>
      <c r="D5" s="289"/>
      <c r="E5" s="289"/>
      <c r="F5" s="289"/>
      <c r="G5" s="289"/>
      <c r="H5" s="289"/>
    </row>
    <row r="6" customFormat="false" ht="54.75" hidden="false" customHeight="true" outlineLevel="0" collapsed="false">
      <c r="A6" s="83" t="n">
        <v>1</v>
      </c>
      <c r="B6" s="290" t="s">
        <v>237</v>
      </c>
      <c r="C6" s="291" t="s">
        <v>1926</v>
      </c>
      <c r="D6" s="292" t="s">
        <v>1927</v>
      </c>
      <c r="E6" s="292" t="s">
        <v>1928</v>
      </c>
      <c r="F6" s="292" t="s">
        <v>58</v>
      </c>
      <c r="G6" s="292" t="s">
        <v>1929</v>
      </c>
      <c r="H6" s="292" t="s">
        <v>1930</v>
      </c>
    </row>
    <row r="7" customFormat="false" ht="54.75" hidden="false" customHeight="true" outlineLevel="0" collapsed="false">
      <c r="A7" s="83"/>
      <c r="B7" s="293"/>
      <c r="C7" s="294" t="s">
        <v>1931</v>
      </c>
      <c r="D7" s="295" t="s">
        <v>1932</v>
      </c>
      <c r="E7" s="295" t="s">
        <v>1933</v>
      </c>
      <c r="F7" s="295" t="s">
        <v>1934</v>
      </c>
      <c r="G7" s="295" t="s">
        <v>1935</v>
      </c>
      <c r="H7" s="295" t="s">
        <v>1936</v>
      </c>
    </row>
    <row r="8" customFormat="false" ht="54.75" hidden="false" customHeight="true" outlineLevel="0" collapsed="false">
      <c r="A8" s="83"/>
      <c r="B8" s="293"/>
      <c r="C8" s="296" t="s">
        <v>1937</v>
      </c>
      <c r="D8" s="292" t="s">
        <v>1938</v>
      </c>
      <c r="E8" s="292" t="s">
        <v>1939</v>
      </c>
      <c r="F8" s="292" t="s">
        <v>1940</v>
      </c>
      <c r="G8" s="292" t="s">
        <v>1941</v>
      </c>
      <c r="H8" s="292" t="s">
        <v>1942</v>
      </c>
    </row>
    <row r="9" customFormat="false" ht="54.75" hidden="false" customHeight="true" outlineLevel="0" collapsed="false">
      <c r="A9" s="83"/>
      <c r="B9" s="293"/>
      <c r="C9" s="297" t="s">
        <v>1943</v>
      </c>
      <c r="D9" s="295" t="s">
        <v>1944</v>
      </c>
      <c r="E9" s="295" t="s">
        <v>1945</v>
      </c>
      <c r="F9" s="295" t="s">
        <v>1946</v>
      </c>
      <c r="G9" s="295" t="s">
        <v>1947</v>
      </c>
      <c r="H9" s="295" t="s">
        <v>1948</v>
      </c>
    </row>
    <row r="10" customFormat="false" ht="54.75" hidden="false" customHeight="true" outlineLevel="0" collapsed="false">
      <c r="A10" s="83"/>
      <c r="B10" s="293"/>
      <c r="C10" s="298" t="s">
        <v>1949</v>
      </c>
      <c r="D10" s="292" t="s">
        <v>1950</v>
      </c>
      <c r="E10" s="292" t="s">
        <v>1951</v>
      </c>
      <c r="F10" s="292" t="s">
        <v>1952</v>
      </c>
      <c r="G10" s="292" t="s">
        <v>1953</v>
      </c>
      <c r="H10" s="292" t="s">
        <v>1954</v>
      </c>
    </row>
    <row r="11" customFormat="false" ht="54.75" hidden="false" customHeight="true" outlineLevel="0" collapsed="false">
      <c r="A11" s="83" t="n">
        <v>2</v>
      </c>
      <c r="B11" s="299" t="s">
        <v>243</v>
      </c>
      <c r="C11" s="291" t="s">
        <v>1926</v>
      </c>
      <c r="D11" s="292" t="s">
        <v>1955</v>
      </c>
      <c r="E11" s="292" t="s">
        <v>1928</v>
      </c>
      <c r="F11" s="292" t="s">
        <v>58</v>
      </c>
      <c r="G11" s="292" t="s">
        <v>1929</v>
      </c>
      <c r="H11" s="292" t="s">
        <v>1930</v>
      </c>
    </row>
    <row r="12" customFormat="false" ht="54.75" hidden="false" customHeight="true" outlineLevel="0" collapsed="false">
      <c r="A12" s="83"/>
      <c r="B12" s="300"/>
      <c r="C12" s="294" t="s">
        <v>1931</v>
      </c>
      <c r="D12" s="295" t="s">
        <v>1956</v>
      </c>
      <c r="E12" s="295" t="s">
        <v>1933</v>
      </c>
      <c r="F12" s="295" t="s">
        <v>1934</v>
      </c>
      <c r="G12" s="295" t="s">
        <v>1935</v>
      </c>
      <c r="H12" s="295" t="s">
        <v>1936</v>
      </c>
    </row>
    <row r="13" customFormat="false" ht="54.75" hidden="false" customHeight="true" outlineLevel="0" collapsed="false">
      <c r="A13" s="83"/>
      <c r="B13" s="300"/>
      <c r="C13" s="296" t="s">
        <v>1937</v>
      </c>
      <c r="D13" s="292" t="s">
        <v>1957</v>
      </c>
      <c r="E13" s="292" t="s">
        <v>1939</v>
      </c>
      <c r="F13" s="292" t="s">
        <v>1940</v>
      </c>
      <c r="G13" s="292" t="s">
        <v>1941</v>
      </c>
      <c r="H13" s="292" t="s">
        <v>1942</v>
      </c>
    </row>
    <row r="14" customFormat="false" ht="54.75" hidden="false" customHeight="true" outlineLevel="0" collapsed="false">
      <c r="A14" s="83"/>
      <c r="B14" s="300"/>
      <c r="C14" s="297" t="s">
        <v>1943</v>
      </c>
      <c r="D14" s="295" t="s">
        <v>1958</v>
      </c>
      <c r="E14" s="295" t="s">
        <v>1945</v>
      </c>
      <c r="F14" s="295" t="s">
        <v>1946</v>
      </c>
      <c r="G14" s="295" t="s">
        <v>1947</v>
      </c>
      <c r="H14" s="295" t="s">
        <v>1948</v>
      </c>
    </row>
    <row r="15" customFormat="false" ht="54.75" hidden="false" customHeight="true" outlineLevel="0" collapsed="false">
      <c r="A15" s="83"/>
      <c r="B15" s="300"/>
      <c r="C15" s="298" t="s">
        <v>1949</v>
      </c>
      <c r="D15" s="292" t="s">
        <v>1959</v>
      </c>
      <c r="E15" s="292" t="s">
        <v>1951</v>
      </c>
      <c r="F15" s="292" t="s">
        <v>1952</v>
      </c>
      <c r="G15" s="292" t="s">
        <v>1953</v>
      </c>
      <c r="H15" s="292" t="s">
        <v>1954</v>
      </c>
    </row>
    <row r="16" customFormat="false" ht="54.75" hidden="false" customHeight="true" outlineLevel="0" collapsed="false">
      <c r="A16" s="83" t="n">
        <v>3</v>
      </c>
      <c r="B16" s="290" t="s">
        <v>244</v>
      </c>
      <c r="C16" s="291" t="s">
        <v>1926</v>
      </c>
      <c r="D16" s="292" t="s">
        <v>1960</v>
      </c>
      <c r="E16" s="292" t="s">
        <v>1928</v>
      </c>
      <c r="F16" s="292" t="s">
        <v>58</v>
      </c>
      <c r="G16" s="292" t="s">
        <v>1929</v>
      </c>
      <c r="H16" s="292" t="s">
        <v>1930</v>
      </c>
    </row>
    <row r="17" customFormat="false" ht="54.75" hidden="false" customHeight="true" outlineLevel="0" collapsed="false">
      <c r="A17" s="83"/>
      <c r="B17" s="293"/>
      <c r="C17" s="294" t="s">
        <v>1931</v>
      </c>
      <c r="D17" s="295" t="s">
        <v>1961</v>
      </c>
      <c r="E17" s="295" t="s">
        <v>1933</v>
      </c>
      <c r="F17" s="295" t="s">
        <v>1934</v>
      </c>
      <c r="G17" s="295" t="s">
        <v>1935</v>
      </c>
      <c r="H17" s="295" t="s">
        <v>1936</v>
      </c>
    </row>
    <row r="18" customFormat="false" ht="54.75" hidden="false" customHeight="true" outlineLevel="0" collapsed="false">
      <c r="A18" s="83"/>
      <c r="B18" s="293"/>
      <c r="C18" s="296" t="s">
        <v>1937</v>
      </c>
      <c r="D18" s="292" t="s">
        <v>1962</v>
      </c>
      <c r="E18" s="292" t="s">
        <v>1939</v>
      </c>
      <c r="F18" s="292" t="s">
        <v>1940</v>
      </c>
      <c r="G18" s="292" t="s">
        <v>1941</v>
      </c>
      <c r="H18" s="292" t="s">
        <v>1942</v>
      </c>
    </row>
    <row r="19" customFormat="false" ht="54.75" hidden="false" customHeight="true" outlineLevel="0" collapsed="false">
      <c r="A19" s="83"/>
      <c r="B19" s="293"/>
      <c r="C19" s="297" t="s">
        <v>1943</v>
      </c>
      <c r="D19" s="295" t="s">
        <v>1963</v>
      </c>
      <c r="E19" s="295" t="s">
        <v>1945</v>
      </c>
      <c r="F19" s="295" t="s">
        <v>1946</v>
      </c>
      <c r="G19" s="295" t="s">
        <v>1947</v>
      </c>
      <c r="H19" s="295" t="s">
        <v>1948</v>
      </c>
    </row>
    <row r="20" customFormat="false" ht="54.75" hidden="false" customHeight="true" outlineLevel="0" collapsed="false">
      <c r="A20" s="83"/>
      <c r="B20" s="293"/>
      <c r="C20" s="298" t="s">
        <v>1949</v>
      </c>
      <c r="D20" s="292" t="s">
        <v>1964</v>
      </c>
      <c r="E20" s="292" t="s">
        <v>1951</v>
      </c>
      <c r="F20" s="292" t="s">
        <v>1952</v>
      </c>
      <c r="G20" s="292" t="s">
        <v>1953</v>
      </c>
      <c r="H20" s="292" t="s">
        <v>1954</v>
      </c>
    </row>
    <row r="21" customFormat="false" ht="54.75" hidden="false" customHeight="true" outlineLevel="0" collapsed="false">
      <c r="A21" s="83" t="n">
        <v>4</v>
      </c>
      <c r="B21" s="299" t="s">
        <v>248</v>
      </c>
      <c r="C21" s="291" t="s">
        <v>1926</v>
      </c>
      <c r="D21" s="292" t="s">
        <v>1965</v>
      </c>
      <c r="E21" s="292" t="s">
        <v>1928</v>
      </c>
      <c r="F21" s="292" t="s">
        <v>58</v>
      </c>
      <c r="G21" s="292" t="s">
        <v>1929</v>
      </c>
      <c r="H21" s="292" t="s">
        <v>1930</v>
      </c>
    </row>
    <row r="22" customFormat="false" ht="54.75" hidden="false" customHeight="true" outlineLevel="0" collapsed="false">
      <c r="A22" s="83"/>
      <c r="B22" s="300"/>
      <c r="C22" s="294" t="s">
        <v>1931</v>
      </c>
      <c r="D22" s="295" t="s">
        <v>1966</v>
      </c>
      <c r="E22" s="295" t="s">
        <v>1933</v>
      </c>
      <c r="F22" s="295" t="s">
        <v>1934</v>
      </c>
      <c r="G22" s="295" t="s">
        <v>1935</v>
      </c>
      <c r="H22" s="295" t="s">
        <v>1936</v>
      </c>
    </row>
    <row r="23" customFormat="false" ht="54.75" hidden="false" customHeight="true" outlineLevel="0" collapsed="false">
      <c r="A23" s="83"/>
      <c r="B23" s="300"/>
      <c r="C23" s="296" t="s">
        <v>1937</v>
      </c>
      <c r="D23" s="292" t="s">
        <v>1967</v>
      </c>
      <c r="E23" s="292" t="s">
        <v>1939</v>
      </c>
      <c r="F23" s="292" t="s">
        <v>1940</v>
      </c>
      <c r="G23" s="292" t="s">
        <v>1941</v>
      </c>
      <c r="H23" s="292" t="s">
        <v>1942</v>
      </c>
    </row>
    <row r="24" customFormat="false" ht="54.75" hidden="false" customHeight="true" outlineLevel="0" collapsed="false">
      <c r="A24" s="83"/>
      <c r="B24" s="300"/>
      <c r="C24" s="297" t="s">
        <v>1943</v>
      </c>
      <c r="D24" s="295" t="s">
        <v>1968</v>
      </c>
      <c r="E24" s="295" t="s">
        <v>1945</v>
      </c>
      <c r="F24" s="295" t="s">
        <v>1946</v>
      </c>
      <c r="G24" s="295" t="s">
        <v>1947</v>
      </c>
      <c r="H24" s="295" t="s">
        <v>1948</v>
      </c>
    </row>
    <row r="25" customFormat="false" ht="54.75" hidden="false" customHeight="true" outlineLevel="0" collapsed="false">
      <c r="A25" s="83"/>
      <c r="B25" s="300"/>
      <c r="C25" s="298" t="s">
        <v>1949</v>
      </c>
      <c r="D25" s="292" t="s">
        <v>1969</v>
      </c>
      <c r="E25" s="292" t="s">
        <v>1951</v>
      </c>
      <c r="F25" s="292" t="s">
        <v>1952</v>
      </c>
      <c r="G25" s="292" t="s">
        <v>1953</v>
      </c>
      <c r="H25" s="292" t="s">
        <v>1954</v>
      </c>
    </row>
    <row r="26" customFormat="false" ht="54.75" hidden="false" customHeight="true" outlineLevel="0" collapsed="false">
      <c r="A26" s="83" t="n">
        <v>5</v>
      </c>
      <c r="B26" s="290" t="s">
        <v>250</v>
      </c>
      <c r="C26" s="291" t="s">
        <v>1926</v>
      </c>
      <c r="D26" s="292" t="s">
        <v>1970</v>
      </c>
      <c r="E26" s="292" t="s">
        <v>1928</v>
      </c>
      <c r="F26" s="292" t="s">
        <v>58</v>
      </c>
      <c r="G26" s="292" t="s">
        <v>1929</v>
      </c>
      <c r="H26" s="292" t="s">
        <v>1930</v>
      </c>
    </row>
    <row r="27" customFormat="false" ht="54.75" hidden="false" customHeight="true" outlineLevel="0" collapsed="false">
      <c r="A27" s="83"/>
      <c r="B27" s="293"/>
      <c r="C27" s="294" t="s">
        <v>1931</v>
      </c>
      <c r="D27" s="295" t="s">
        <v>1971</v>
      </c>
      <c r="E27" s="295" t="s">
        <v>1933</v>
      </c>
      <c r="F27" s="295" t="s">
        <v>1934</v>
      </c>
      <c r="G27" s="295" t="s">
        <v>1935</v>
      </c>
      <c r="H27" s="295" t="s">
        <v>1936</v>
      </c>
    </row>
    <row r="28" customFormat="false" ht="54.75" hidden="false" customHeight="true" outlineLevel="0" collapsed="false">
      <c r="A28" s="83"/>
      <c r="B28" s="293"/>
      <c r="C28" s="296" t="s">
        <v>1937</v>
      </c>
      <c r="D28" s="292" t="s">
        <v>1972</v>
      </c>
      <c r="E28" s="292" t="s">
        <v>1939</v>
      </c>
      <c r="F28" s="292" t="s">
        <v>1940</v>
      </c>
      <c r="G28" s="292" t="s">
        <v>1941</v>
      </c>
      <c r="H28" s="292" t="s">
        <v>1942</v>
      </c>
    </row>
    <row r="29" customFormat="false" ht="54.75" hidden="false" customHeight="true" outlineLevel="0" collapsed="false">
      <c r="A29" s="83"/>
      <c r="B29" s="293"/>
      <c r="C29" s="297" t="s">
        <v>1943</v>
      </c>
      <c r="D29" s="295" t="s">
        <v>1973</v>
      </c>
      <c r="E29" s="295" t="s">
        <v>1945</v>
      </c>
      <c r="F29" s="295" t="s">
        <v>1946</v>
      </c>
      <c r="G29" s="295" t="s">
        <v>1947</v>
      </c>
      <c r="H29" s="295" t="s">
        <v>1948</v>
      </c>
    </row>
    <row r="30" customFormat="false" ht="54.75" hidden="false" customHeight="true" outlineLevel="0" collapsed="false">
      <c r="A30" s="83"/>
      <c r="B30" s="293"/>
      <c r="C30" s="298" t="s">
        <v>1949</v>
      </c>
      <c r="D30" s="292" t="s">
        <v>1974</v>
      </c>
      <c r="E30" s="292" t="s">
        <v>1951</v>
      </c>
      <c r="F30" s="292" t="s">
        <v>1952</v>
      </c>
      <c r="G30" s="292" t="s">
        <v>1953</v>
      </c>
      <c r="H30" s="292" t="s">
        <v>1954</v>
      </c>
    </row>
    <row r="31" customFormat="false" ht="54.75" hidden="false" customHeight="true" outlineLevel="0" collapsed="false">
      <c r="A31" s="83" t="n">
        <v>6</v>
      </c>
      <c r="B31" s="299" t="s">
        <v>251</v>
      </c>
      <c r="C31" s="291" t="s">
        <v>1926</v>
      </c>
      <c r="D31" s="292" t="s">
        <v>1975</v>
      </c>
      <c r="E31" s="292" t="s">
        <v>1928</v>
      </c>
      <c r="F31" s="292" t="s">
        <v>58</v>
      </c>
      <c r="G31" s="292" t="s">
        <v>1929</v>
      </c>
      <c r="H31" s="292" t="s">
        <v>1930</v>
      </c>
    </row>
    <row r="32" customFormat="false" ht="54.75" hidden="false" customHeight="true" outlineLevel="0" collapsed="false">
      <c r="A32" s="83"/>
      <c r="B32" s="300"/>
      <c r="C32" s="294" t="s">
        <v>1931</v>
      </c>
      <c r="D32" s="295" t="s">
        <v>1976</v>
      </c>
      <c r="E32" s="295" t="s">
        <v>1933</v>
      </c>
      <c r="F32" s="295" t="s">
        <v>1934</v>
      </c>
      <c r="G32" s="295" t="s">
        <v>1935</v>
      </c>
      <c r="H32" s="295" t="s">
        <v>1936</v>
      </c>
    </row>
    <row r="33" customFormat="false" ht="54.75" hidden="false" customHeight="true" outlineLevel="0" collapsed="false">
      <c r="A33" s="83"/>
      <c r="B33" s="300"/>
      <c r="C33" s="296" t="s">
        <v>1937</v>
      </c>
      <c r="D33" s="292" t="s">
        <v>1977</v>
      </c>
      <c r="E33" s="292" t="s">
        <v>1939</v>
      </c>
      <c r="F33" s="292" t="s">
        <v>1940</v>
      </c>
      <c r="G33" s="292" t="s">
        <v>1941</v>
      </c>
      <c r="H33" s="292" t="s">
        <v>1942</v>
      </c>
    </row>
    <row r="34" customFormat="false" ht="54.75" hidden="false" customHeight="true" outlineLevel="0" collapsed="false">
      <c r="A34" s="83"/>
      <c r="B34" s="300"/>
      <c r="C34" s="297" t="s">
        <v>1943</v>
      </c>
      <c r="D34" s="295" t="s">
        <v>1978</v>
      </c>
      <c r="E34" s="295" t="s">
        <v>1945</v>
      </c>
      <c r="F34" s="295" t="s">
        <v>1946</v>
      </c>
      <c r="G34" s="295" t="s">
        <v>1947</v>
      </c>
      <c r="H34" s="295" t="s">
        <v>1948</v>
      </c>
    </row>
    <row r="35" customFormat="false" ht="54.75" hidden="false" customHeight="true" outlineLevel="0" collapsed="false">
      <c r="A35" s="83"/>
      <c r="B35" s="300"/>
      <c r="C35" s="298" t="s">
        <v>1949</v>
      </c>
      <c r="D35" s="292" t="s">
        <v>1979</v>
      </c>
      <c r="E35" s="292" t="s">
        <v>1951</v>
      </c>
      <c r="F35" s="292" t="s">
        <v>1952</v>
      </c>
      <c r="G35" s="292" t="s">
        <v>1953</v>
      </c>
      <c r="H35" s="292" t="s">
        <v>1954</v>
      </c>
    </row>
    <row r="36" customFormat="false" ht="54.75" hidden="false" customHeight="true" outlineLevel="0" collapsed="false">
      <c r="A36" s="83" t="n">
        <v>7</v>
      </c>
      <c r="B36" s="290" t="s">
        <v>253</v>
      </c>
      <c r="C36" s="291" t="s">
        <v>1926</v>
      </c>
      <c r="D36" s="292" t="s">
        <v>1980</v>
      </c>
      <c r="E36" s="292" t="s">
        <v>1928</v>
      </c>
      <c r="F36" s="292" t="s">
        <v>58</v>
      </c>
      <c r="G36" s="292" t="s">
        <v>1929</v>
      </c>
      <c r="H36" s="292" t="s">
        <v>1930</v>
      </c>
    </row>
    <row r="37" customFormat="false" ht="54.75" hidden="false" customHeight="true" outlineLevel="0" collapsed="false">
      <c r="A37" s="83"/>
      <c r="B37" s="293"/>
      <c r="C37" s="294" t="s">
        <v>1931</v>
      </c>
      <c r="D37" s="295" t="s">
        <v>1981</v>
      </c>
      <c r="E37" s="295" t="s">
        <v>1933</v>
      </c>
      <c r="F37" s="295" t="s">
        <v>1934</v>
      </c>
      <c r="G37" s="295" t="s">
        <v>1935</v>
      </c>
      <c r="H37" s="295" t="s">
        <v>1936</v>
      </c>
    </row>
    <row r="38" customFormat="false" ht="54.75" hidden="false" customHeight="true" outlineLevel="0" collapsed="false">
      <c r="A38" s="83"/>
      <c r="B38" s="293"/>
      <c r="C38" s="296" t="s">
        <v>1937</v>
      </c>
      <c r="D38" s="292" t="s">
        <v>1982</v>
      </c>
      <c r="E38" s="292" t="s">
        <v>1939</v>
      </c>
      <c r="F38" s="292" t="s">
        <v>1940</v>
      </c>
      <c r="G38" s="292" t="s">
        <v>1941</v>
      </c>
      <c r="H38" s="292" t="s">
        <v>1942</v>
      </c>
    </row>
    <row r="39" customFormat="false" ht="54.75" hidden="false" customHeight="true" outlineLevel="0" collapsed="false">
      <c r="A39" s="83"/>
      <c r="B39" s="293"/>
      <c r="C39" s="297" t="s">
        <v>1943</v>
      </c>
      <c r="D39" s="295" t="s">
        <v>1983</v>
      </c>
      <c r="E39" s="295" t="s">
        <v>1945</v>
      </c>
      <c r="F39" s="295" t="s">
        <v>1946</v>
      </c>
      <c r="G39" s="295" t="s">
        <v>1947</v>
      </c>
      <c r="H39" s="295" t="s">
        <v>1948</v>
      </c>
    </row>
    <row r="40" customFormat="false" ht="54.75" hidden="false" customHeight="true" outlineLevel="0" collapsed="false">
      <c r="A40" s="83"/>
      <c r="B40" s="293"/>
      <c r="C40" s="298" t="s">
        <v>1949</v>
      </c>
      <c r="D40" s="292" t="s">
        <v>1984</v>
      </c>
      <c r="E40" s="292" t="s">
        <v>1951</v>
      </c>
      <c r="F40" s="292" t="s">
        <v>1952</v>
      </c>
      <c r="G40" s="292" t="s">
        <v>1953</v>
      </c>
      <c r="H40" s="292" t="s">
        <v>1954</v>
      </c>
    </row>
    <row r="41" customFormat="false" ht="54.75" hidden="false" customHeight="true" outlineLevel="0" collapsed="false">
      <c r="A41" s="83" t="n">
        <v>8</v>
      </c>
      <c r="B41" s="299" t="s">
        <v>255</v>
      </c>
      <c r="C41" s="291" t="s">
        <v>1926</v>
      </c>
      <c r="D41" s="292" t="s">
        <v>1985</v>
      </c>
      <c r="E41" s="292" t="s">
        <v>1928</v>
      </c>
      <c r="F41" s="292" t="s">
        <v>58</v>
      </c>
      <c r="G41" s="292" t="s">
        <v>1929</v>
      </c>
      <c r="H41" s="292" t="s">
        <v>1930</v>
      </c>
    </row>
    <row r="42" customFormat="false" ht="54.75" hidden="false" customHeight="true" outlineLevel="0" collapsed="false">
      <c r="A42" s="83"/>
      <c r="B42" s="300"/>
      <c r="C42" s="294" t="s">
        <v>1931</v>
      </c>
      <c r="D42" s="295" t="s">
        <v>1986</v>
      </c>
      <c r="E42" s="295" t="s">
        <v>1933</v>
      </c>
      <c r="F42" s="295" t="s">
        <v>1934</v>
      </c>
      <c r="G42" s="295" t="s">
        <v>1935</v>
      </c>
      <c r="H42" s="295" t="s">
        <v>1936</v>
      </c>
    </row>
    <row r="43" customFormat="false" ht="54.75" hidden="false" customHeight="true" outlineLevel="0" collapsed="false">
      <c r="A43" s="83"/>
      <c r="B43" s="300"/>
      <c r="C43" s="296" t="s">
        <v>1937</v>
      </c>
      <c r="D43" s="292" t="s">
        <v>1987</v>
      </c>
      <c r="E43" s="292" t="s">
        <v>1939</v>
      </c>
      <c r="F43" s="292" t="s">
        <v>1940</v>
      </c>
      <c r="G43" s="292" t="s">
        <v>1941</v>
      </c>
      <c r="H43" s="292" t="s">
        <v>1942</v>
      </c>
    </row>
    <row r="44" customFormat="false" ht="54.75" hidden="false" customHeight="true" outlineLevel="0" collapsed="false">
      <c r="A44" s="83"/>
      <c r="B44" s="300"/>
      <c r="C44" s="297" t="s">
        <v>1943</v>
      </c>
      <c r="D44" s="295" t="s">
        <v>1988</v>
      </c>
      <c r="E44" s="295" t="s">
        <v>1945</v>
      </c>
      <c r="F44" s="295" t="s">
        <v>1946</v>
      </c>
      <c r="G44" s="295" t="s">
        <v>1947</v>
      </c>
      <c r="H44" s="295" t="s">
        <v>1948</v>
      </c>
    </row>
    <row r="45" customFormat="false" ht="54.75" hidden="false" customHeight="true" outlineLevel="0" collapsed="false">
      <c r="A45" s="83"/>
      <c r="B45" s="300"/>
      <c r="C45" s="298" t="s">
        <v>1949</v>
      </c>
      <c r="D45" s="292" t="s">
        <v>1989</v>
      </c>
      <c r="E45" s="292" t="s">
        <v>1951</v>
      </c>
      <c r="F45" s="292" t="s">
        <v>1952</v>
      </c>
      <c r="G45" s="292" t="s">
        <v>1953</v>
      </c>
      <c r="H45" s="292" t="s">
        <v>1954</v>
      </c>
    </row>
    <row r="46" customFormat="false" ht="54.75" hidden="false" customHeight="true" outlineLevel="0" collapsed="false">
      <c r="A46" s="83" t="n">
        <v>9</v>
      </c>
      <c r="B46" s="290" t="s">
        <v>256</v>
      </c>
      <c r="C46" s="291" t="s">
        <v>1926</v>
      </c>
      <c r="D46" s="292" t="s">
        <v>1990</v>
      </c>
      <c r="E46" s="292" t="s">
        <v>1928</v>
      </c>
      <c r="F46" s="292" t="s">
        <v>58</v>
      </c>
      <c r="G46" s="292" t="s">
        <v>1929</v>
      </c>
      <c r="H46" s="292" t="s">
        <v>1930</v>
      </c>
    </row>
    <row r="47" customFormat="false" ht="54.75" hidden="false" customHeight="true" outlineLevel="0" collapsed="false">
      <c r="A47" s="83"/>
      <c r="B47" s="293"/>
      <c r="C47" s="294" t="s">
        <v>1931</v>
      </c>
      <c r="D47" s="295" t="s">
        <v>1991</v>
      </c>
      <c r="E47" s="295" t="s">
        <v>1933</v>
      </c>
      <c r="F47" s="295" t="s">
        <v>1934</v>
      </c>
      <c r="G47" s="295" t="s">
        <v>1935</v>
      </c>
      <c r="H47" s="295" t="s">
        <v>1936</v>
      </c>
    </row>
    <row r="48" customFormat="false" ht="54.75" hidden="false" customHeight="true" outlineLevel="0" collapsed="false">
      <c r="A48" s="83"/>
      <c r="B48" s="293"/>
      <c r="C48" s="296" t="s">
        <v>1937</v>
      </c>
      <c r="D48" s="292" t="s">
        <v>1992</v>
      </c>
      <c r="E48" s="292" t="s">
        <v>1939</v>
      </c>
      <c r="F48" s="292" t="s">
        <v>1940</v>
      </c>
      <c r="G48" s="292" t="s">
        <v>1941</v>
      </c>
      <c r="H48" s="292" t="s">
        <v>1942</v>
      </c>
    </row>
    <row r="49" customFormat="false" ht="54.75" hidden="false" customHeight="true" outlineLevel="0" collapsed="false">
      <c r="A49" s="83"/>
      <c r="B49" s="293"/>
      <c r="C49" s="297" t="s">
        <v>1943</v>
      </c>
      <c r="D49" s="295" t="s">
        <v>1993</v>
      </c>
      <c r="E49" s="295" t="s">
        <v>1945</v>
      </c>
      <c r="F49" s="295" t="s">
        <v>1946</v>
      </c>
      <c r="G49" s="295" t="s">
        <v>1947</v>
      </c>
      <c r="H49" s="295" t="s">
        <v>1948</v>
      </c>
    </row>
    <row r="50" customFormat="false" ht="54.75" hidden="false" customHeight="true" outlineLevel="0" collapsed="false">
      <c r="A50" s="83"/>
      <c r="B50" s="293"/>
      <c r="C50" s="298" t="s">
        <v>1949</v>
      </c>
      <c r="D50" s="292" t="s">
        <v>1994</v>
      </c>
      <c r="E50" s="292" t="s">
        <v>1951</v>
      </c>
      <c r="F50" s="292" t="s">
        <v>1952</v>
      </c>
      <c r="G50" s="292" t="s">
        <v>1953</v>
      </c>
      <c r="H50" s="292" t="s">
        <v>1954</v>
      </c>
    </row>
    <row r="51" customFormat="false" ht="54.75" hidden="false" customHeight="true" outlineLevel="0" collapsed="false">
      <c r="A51" s="83" t="n">
        <v>10</v>
      </c>
      <c r="B51" s="299" t="s">
        <v>257</v>
      </c>
      <c r="C51" s="291" t="s">
        <v>1926</v>
      </c>
      <c r="D51" s="292" t="s">
        <v>1995</v>
      </c>
      <c r="E51" s="292" t="s">
        <v>1928</v>
      </c>
      <c r="F51" s="292" t="s">
        <v>58</v>
      </c>
      <c r="G51" s="292" t="s">
        <v>1929</v>
      </c>
      <c r="H51" s="292" t="s">
        <v>1930</v>
      </c>
    </row>
    <row r="52" customFormat="false" ht="54.75" hidden="false" customHeight="true" outlineLevel="0" collapsed="false">
      <c r="A52" s="83"/>
      <c r="B52" s="300"/>
      <c r="C52" s="294" t="s">
        <v>1931</v>
      </c>
      <c r="D52" s="295" t="s">
        <v>1996</v>
      </c>
      <c r="E52" s="295" t="s">
        <v>1933</v>
      </c>
      <c r="F52" s="295" t="s">
        <v>1934</v>
      </c>
      <c r="G52" s="295" t="s">
        <v>1935</v>
      </c>
      <c r="H52" s="295" t="s">
        <v>1936</v>
      </c>
    </row>
    <row r="53" customFormat="false" ht="54.75" hidden="false" customHeight="true" outlineLevel="0" collapsed="false">
      <c r="A53" s="83"/>
      <c r="B53" s="300"/>
      <c r="C53" s="296" t="s">
        <v>1937</v>
      </c>
      <c r="D53" s="292" t="s">
        <v>1997</v>
      </c>
      <c r="E53" s="292" t="s">
        <v>1939</v>
      </c>
      <c r="F53" s="292" t="s">
        <v>1940</v>
      </c>
      <c r="G53" s="292" t="s">
        <v>1941</v>
      </c>
      <c r="H53" s="292" t="s">
        <v>1942</v>
      </c>
    </row>
    <row r="54" customFormat="false" ht="54.75" hidden="false" customHeight="true" outlineLevel="0" collapsed="false">
      <c r="A54" s="83"/>
      <c r="B54" s="300"/>
      <c r="C54" s="297" t="s">
        <v>1943</v>
      </c>
      <c r="D54" s="295" t="s">
        <v>1998</v>
      </c>
      <c r="E54" s="295" t="s">
        <v>1945</v>
      </c>
      <c r="F54" s="295" t="s">
        <v>1946</v>
      </c>
      <c r="G54" s="295" t="s">
        <v>1947</v>
      </c>
      <c r="H54" s="295" t="s">
        <v>1948</v>
      </c>
    </row>
    <row r="55" customFormat="false" ht="54.75" hidden="false" customHeight="true" outlineLevel="0" collapsed="false">
      <c r="A55" s="83"/>
      <c r="B55" s="300"/>
      <c r="C55" s="298" t="s">
        <v>1949</v>
      </c>
      <c r="D55" s="292" t="s">
        <v>1999</v>
      </c>
      <c r="E55" s="292" t="s">
        <v>1951</v>
      </c>
      <c r="F55" s="292" t="s">
        <v>1952</v>
      </c>
      <c r="G55" s="292" t="s">
        <v>1953</v>
      </c>
      <c r="H55" s="292" t="s">
        <v>1954</v>
      </c>
    </row>
    <row r="56" customFormat="false" ht="54.75" hidden="false" customHeight="true" outlineLevel="0" collapsed="false">
      <c r="A56" s="83" t="n">
        <v>11</v>
      </c>
      <c r="B56" s="290" t="s">
        <v>259</v>
      </c>
      <c r="C56" s="291" t="s">
        <v>1926</v>
      </c>
      <c r="D56" s="292" t="s">
        <v>2000</v>
      </c>
      <c r="E56" s="292" t="s">
        <v>1928</v>
      </c>
      <c r="F56" s="292" t="s">
        <v>58</v>
      </c>
      <c r="G56" s="292" t="s">
        <v>1929</v>
      </c>
      <c r="H56" s="292" t="s">
        <v>1930</v>
      </c>
    </row>
    <row r="57" customFormat="false" ht="54.75" hidden="false" customHeight="true" outlineLevel="0" collapsed="false">
      <c r="A57" s="83"/>
      <c r="B57" s="293"/>
      <c r="C57" s="294" t="s">
        <v>1931</v>
      </c>
      <c r="D57" s="295" t="s">
        <v>2001</v>
      </c>
      <c r="E57" s="295" t="s">
        <v>1933</v>
      </c>
      <c r="F57" s="295" t="s">
        <v>1934</v>
      </c>
      <c r="G57" s="295" t="s">
        <v>1935</v>
      </c>
      <c r="H57" s="295" t="s">
        <v>1936</v>
      </c>
    </row>
    <row r="58" customFormat="false" ht="54.75" hidden="false" customHeight="true" outlineLevel="0" collapsed="false">
      <c r="A58" s="83"/>
      <c r="B58" s="293"/>
      <c r="C58" s="296" t="s">
        <v>1937</v>
      </c>
      <c r="D58" s="292" t="s">
        <v>2002</v>
      </c>
      <c r="E58" s="292" t="s">
        <v>1939</v>
      </c>
      <c r="F58" s="292" t="s">
        <v>1940</v>
      </c>
      <c r="G58" s="292" t="s">
        <v>1941</v>
      </c>
      <c r="H58" s="292" t="s">
        <v>1942</v>
      </c>
    </row>
    <row r="59" customFormat="false" ht="54.75" hidden="false" customHeight="true" outlineLevel="0" collapsed="false">
      <c r="A59" s="83"/>
      <c r="B59" s="293"/>
      <c r="C59" s="297" t="s">
        <v>1943</v>
      </c>
      <c r="D59" s="295" t="s">
        <v>2003</v>
      </c>
      <c r="E59" s="295" t="s">
        <v>1945</v>
      </c>
      <c r="F59" s="295" t="s">
        <v>1946</v>
      </c>
      <c r="G59" s="295" t="s">
        <v>1947</v>
      </c>
      <c r="H59" s="295" t="s">
        <v>1948</v>
      </c>
    </row>
    <row r="60" customFormat="false" ht="54.75" hidden="false" customHeight="true" outlineLevel="0" collapsed="false">
      <c r="A60" s="83"/>
      <c r="B60" s="293"/>
      <c r="C60" s="298" t="s">
        <v>1949</v>
      </c>
      <c r="D60" s="292" t="s">
        <v>2004</v>
      </c>
      <c r="E60" s="292" t="s">
        <v>1951</v>
      </c>
      <c r="F60" s="292" t="s">
        <v>1952</v>
      </c>
      <c r="G60" s="292" t="s">
        <v>1953</v>
      </c>
      <c r="H60" s="292" t="s">
        <v>1954</v>
      </c>
    </row>
    <row r="61" customFormat="false" ht="54.75" hidden="false" customHeight="true" outlineLevel="0" collapsed="false">
      <c r="A61" s="83" t="n">
        <v>12</v>
      </c>
      <c r="B61" s="299" t="s">
        <v>260</v>
      </c>
      <c r="C61" s="291" t="s">
        <v>1926</v>
      </c>
      <c r="D61" s="292" t="s">
        <v>2005</v>
      </c>
      <c r="E61" s="292" t="s">
        <v>1928</v>
      </c>
      <c r="F61" s="292" t="s">
        <v>58</v>
      </c>
      <c r="G61" s="292" t="s">
        <v>1929</v>
      </c>
      <c r="H61" s="292" t="s">
        <v>1930</v>
      </c>
    </row>
    <row r="62" customFormat="false" ht="54.75" hidden="false" customHeight="true" outlineLevel="0" collapsed="false">
      <c r="A62" s="83"/>
      <c r="B62" s="300"/>
      <c r="C62" s="294" t="s">
        <v>1931</v>
      </c>
      <c r="D62" s="295" t="s">
        <v>2006</v>
      </c>
      <c r="E62" s="295" t="s">
        <v>1933</v>
      </c>
      <c r="F62" s="295" t="s">
        <v>1934</v>
      </c>
      <c r="G62" s="295" t="s">
        <v>1935</v>
      </c>
      <c r="H62" s="295" t="s">
        <v>1936</v>
      </c>
    </row>
    <row r="63" customFormat="false" ht="54.75" hidden="false" customHeight="true" outlineLevel="0" collapsed="false">
      <c r="A63" s="83"/>
      <c r="B63" s="300"/>
      <c r="C63" s="296" t="s">
        <v>1937</v>
      </c>
      <c r="D63" s="292" t="s">
        <v>2007</v>
      </c>
      <c r="E63" s="292" t="s">
        <v>1939</v>
      </c>
      <c r="F63" s="292" t="s">
        <v>1940</v>
      </c>
      <c r="G63" s="292" t="s">
        <v>1941</v>
      </c>
      <c r="H63" s="292" t="s">
        <v>1942</v>
      </c>
    </row>
    <row r="64" customFormat="false" ht="54.75" hidden="false" customHeight="true" outlineLevel="0" collapsed="false">
      <c r="A64" s="83"/>
      <c r="B64" s="300"/>
      <c r="C64" s="297" t="s">
        <v>1943</v>
      </c>
      <c r="D64" s="295" t="s">
        <v>2008</v>
      </c>
      <c r="E64" s="295" t="s">
        <v>1945</v>
      </c>
      <c r="F64" s="295" t="s">
        <v>1946</v>
      </c>
      <c r="G64" s="295" t="s">
        <v>1947</v>
      </c>
      <c r="H64" s="295" t="s">
        <v>1948</v>
      </c>
    </row>
    <row r="65" customFormat="false" ht="54.75" hidden="false" customHeight="true" outlineLevel="0" collapsed="false">
      <c r="A65" s="83"/>
      <c r="B65" s="300"/>
      <c r="C65" s="298" t="s">
        <v>1949</v>
      </c>
      <c r="D65" s="292" t="s">
        <v>2009</v>
      </c>
      <c r="E65" s="292" t="s">
        <v>1951</v>
      </c>
      <c r="F65" s="292" t="s">
        <v>1952</v>
      </c>
      <c r="G65" s="292" t="s">
        <v>1953</v>
      </c>
      <c r="H65" s="292" t="s">
        <v>1954</v>
      </c>
    </row>
    <row r="66" customFormat="false" ht="54.75" hidden="false" customHeight="true" outlineLevel="0" collapsed="false">
      <c r="A66" s="83" t="n">
        <v>13</v>
      </c>
      <c r="B66" s="290" t="s">
        <v>262</v>
      </c>
      <c r="C66" s="291" t="s">
        <v>1926</v>
      </c>
      <c r="D66" s="292" t="s">
        <v>2010</v>
      </c>
      <c r="E66" s="292" t="s">
        <v>1928</v>
      </c>
      <c r="F66" s="292" t="s">
        <v>58</v>
      </c>
      <c r="G66" s="292" t="s">
        <v>1929</v>
      </c>
      <c r="H66" s="292" t="s">
        <v>1930</v>
      </c>
    </row>
    <row r="67" customFormat="false" ht="54.75" hidden="false" customHeight="true" outlineLevel="0" collapsed="false">
      <c r="A67" s="83"/>
      <c r="B67" s="293"/>
      <c r="C67" s="294" t="s">
        <v>1931</v>
      </c>
      <c r="D67" s="295" t="s">
        <v>2011</v>
      </c>
      <c r="E67" s="295" t="s">
        <v>1933</v>
      </c>
      <c r="F67" s="295" t="s">
        <v>1934</v>
      </c>
      <c r="G67" s="295" t="s">
        <v>1935</v>
      </c>
      <c r="H67" s="295" t="s">
        <v>1936</v>
      </c>
    </row>
    <row r="68" customFormat="false" ht="54.75" hidden="false" customHeight="true" outlineLevel="0" collapsed="false">
      <c r="A68" s="83"/>
      <c r="B68" s="293"/>
      <c r="C68" s="296" t="s">
        <v>1937</v>
      </c>
      <c r="D68" s="292" t="s">
        <v>2012</v>
      </c>
      <c r="E68" s="292" t="s">
        <v>1939</v>
      </c>
      <c r="F68" s="292" t="s">
        <v>1940</v>
      </c>
      <c r="G68" s="292" t="s">
        <v>1941</v>
      </c>
      <c r="H68" s="292" t="s">
        <v>1942</v>
      </c>
    </row>
    <row r="69" customFormat="false" ht="54.75" hidden="false" customHeight="true" outlineLevel="0" collapsed="false">
      <c r="A69" s="83"/>
      <c r="B69" s="293"/>
      <c r="C69" s="297" t="s">
        <v>1943</v>
      </c>
      <c r="D69" s="295" t="s">
        <v>2013</v>
      </c>
      <c r="E69" s="295" t="s">
        <v>1945</v>
      </c>
      <c r="F69" s="295" t="s">
        <v>1946</v>
      </c>
      <c r="G69" s="295" t="s">
        <v>1947</v>
      </c>
      <c r="H69" s="295" t="s">
        <v>1948</v>
      </c>
    </row>
    <row r="70" customFormat="false" ht="54.75" hidden="false" customHeight="true" outlineLevel="0" collapsed="false">
      <c r="A70" s="83"/>
      <c r="B70" s="293"/>
      <c r="C70" s="298" t="s">
        <v>1949</v>
      </c>
      <c r="D70" s="292" t="s">
        <v>2014</v>
      </c>
      <c r="E70" s="292" t="s">
        <v>1951</v>
      </c>
      <c r="F70" s="292" t="s">
        <v>1952</v>
      </c>
      <c r="G70" s="292" t="s">
        <v>1953</v>
      </c>
      <c r="H70" s="292" t="s">
        <v>1954</v>
      </c>
    </row>
    <row r="71" customFormat="false" ht="54.75" hidden="false" customHeight="true" outlineLevel="0" collapsed="false">
      <c r="A71" s="83" t="n">
        <v>14</v>
      </c>
      <c r="B71" s="299" t="s">
        <v>263</v>
      </c>
      <c r="C71" s="291" t="s">
        <v>1926</v>
      </c>
      <c r="D71" s="292" t="s">
        <v>2015</v>
      </c>
      <c r="E71" s="292" t="s">
        <v>1928</v>
      </c>
      <c r="F71" s="292" t="s">
        <v>58</v>
      </c>
      <c r="G71" s="292" t="s">
        <v>1929</v>
      </c>
      <c r="H71" s="292" t="s">
        <v>1930</v>
      </c>
    </row>
    <row r="72" customFormat="false" ht="54.75" hidden="false" customHeight="true" outlineLevel="0" collapsed="false">
      <c r="A72" s="83"/>
      <c r="B72" s="300"/>
      <c r="C72" s="294" t="s">
        <v>1931</v>
      </c>
      <c r="D72" s="295" t="s">
        <v>2016</v>
      </c>
      <c r="E72" s="295" t="s">
        <v>1933</v>
      </c>
      <c r="F72" s="295" t="s">
        <v>1934</v>
      </c>
      <c r="G72" s="295" t="s">
        <v>1935</v>
      </c>
      <c r="H72" s="295" t="s">
        <v>1936</v>
      </c>
    </row>
    <row r="73" customFormat="false" ht="54.75" hidden="false" customHeight="true" outlineLevel="0" collapsed="false">
      <c r="A73" s="83"/>
      <c r="B73" s="300"/>
      <c r="C73" s="296" t="s">
        <v>1937</v>
      </c>
      <c r="D73" s="292" t="s">
        <v>2017</v>
      </c>
      <c r="E73" s="292" t="s">
        <v>1939</v>
      </c>
      <c r="F73" s="292" t="s">
        <v>1940</v>
      </c>
      <c r="G73" s="292" t="s">
        <v>1941</v>
      </c>
      <c r="H73" s="292" t="s">
        <v>1942</v>
      </c>
    </row>
    <row r="74" customFormat="false" ht="54.75" hidden="false" customHeight="true" outlineLevel="0" collapsed="false">
      <c r="A74" s="83"/>
      <c r="B74" s="300"/>
      <c r="C74" s="297" t="s">
        <v>1943</v>
      </c>
      <c r="D74" s="295" t="s">
        <v>2018</v>
      </c>
      <c r="E74" s="295" t="s">
        <v>1945</v>
      </c>
      <c r="F74" s="295" t="s">
        <v>1946</v>
      </c>
      <c r="G74" s="295" t="s">
        <v>1947</v>
      </c>
      <c r="H74" s="295" t="s">
        <v>1948</v>
      </c>
    </row>
    <row r="75" customFormat="false" ht="54.75" hidden="false" customHeight="true" outlineLevel="0" collapsed="false">
      <c r="A75" s="83"/>
      <c r="B75" s="300"/>
      <c r="C75" s="298" t="s">
        <v>1949</v>
      </c>
      <c r="D75" s="292" t="s">
        <v>2019</v>
      </c>
      <c r="E75" s="292" t="s">
        <v>1951</v>
      </c>
      <c r="F75" s="292" t="s">
        <v>1952</v>
      </c>
      <c r="G75" s="292" t="s">
        <v>1953</v>
      </c>
      <c r="H75" s="292" t="s">
        <v>1954</v>
      </c>
    </row>
    <row r="76" customFormat="false" ht="54.75" hidden="false" customHeight="true" outlineLevel="0" collapsed="false">
      <c r="A76" s="83" t="n">
        <v>15</v>
      </c>
      <c r="B76" s="290" t="s">
        <v>264</v>
      </c>
      <c r="C76" s="291" t="s">
        <v>1926</v>
      </c>
      <c r="D76" s="292" t="s">
        <v>2020</v>
      </c>
      <c r="E76" s="292" t="s">
        <v>1928</v>
      </c>
      <c r="F76" s="292" t="s">
        <v>58</v>
      </c>
      <c r="G76" s="292" t="s">
        <v>1929</v>
      </c>
      <c r="H76" s="292" t="s">
        <v>1930</v>
      </c>
    </row>
    <row r="77" customFormat="false" ht="54.75" hidden="false" customHeight="true" outlineLevel="0" collapsed="false">
      <c r="A77" s="83"/>
      <c r="B77" s="293"/>
      <c r="C77" s="294" t="s">
        <v>1931</v>
      </c>
      <c r="D77" s="295" t="s">
        <v>2021</v>
      </c>
      <c r="E77" s="295" t="s">
        <v>1933</v>
      </c>
      <c r="F77" s="295" t="s">
        <v>1934</v>
      </c>
      <c r="G77" s="295" t="s">
        <v>1935</v>
      </c>
      <c r="H77" s="295" t="s">
        <v>1936</v>
      </c>
    </row>
    <row r="78" customFormat="false" ht="54.75" hidden="false" customHeight="true" outlineLevel="0" collapsed="false">
      <c r="A78" s="83"/>
      <c r="B78" s="293"/>
      <c r="C78" s="296" t="s">
        <v>1937</v>
      </c>
      <c r="D78" s="292" t="s">
        <v>2022</v>
      </c>
      <c r="E78" s="292" t="s">
        <v>1939</v>
      </c>
      <c r="F78" s="292" t="s">
        <v>1940</v>
      </c>
      <c r="G78" s="292" t="s">
        <v>1941</v>
      </c>
      <c r="H78" s="292" t="s">
        <v>1942</v>
      </c>
    </row>
    <row r="79" customFormat="false" ht="54.75" hidden="false" customHeight="true" outlineLevel="0" collapsed="false">
      <c r="A79" s="83"/>
      <c r="B79" s="293"/>
      <c r="C79" s="297" t="s">
        <v>1943</v>
      </c>
      <c r="D79" s="295" t="s">
        <v>2023</v>
      </c>
      <c r="E79" s="295" t="s">
        <v>1945</v>
      </c>
      <c r="F79" s="295" t="s">
        <v>1946</v>
      </c>
      <c r="G79" s="295" t="s">
        <v>1947</v>
      </c>
      <c r="H79" s="295" t="s">
        <v>1948</v>
      </c>
    </row>
    <row r="80" customFormat="false" ht="54.75" hidden="false" customHeight="true" outlineLevel="0" collapsed="false">
      <c r="A80" s="83"/>
      <c r="B80" s="293"/>
      <c r="C80" s="298" t="s">
        <v>1949</v>
      </c>
      <c r="D80" s="292" t="s">
        <v>2024</v>
      </c>
      <c r="E80" s="292" t="s">
        <v>1951</v>
      </c>
      <c r="F80" s="292" t="s">
        <v>1952</v>
      </c>
      <c r="G80" s="292" t="s">
        <v>1953</v>
      </c>
      <c r="H80" s="292" t="s">
        <v>1954</v>
      </c>
    </row>
    <row r="81" customFormat="false" ht="54.75" hidden="false" customHeight="true" outlineLevel="0" collapsed="false">
      <c r="A81" s="83" t="n">
        <v>16</v>
      </c>
      <c r="B81" s="299" t="s">
        <v>265</v>
      </c>
      <c r="C81" s="291" t="s">
        <v>1926</v>
      </c>
      <c r="D81" s="292" t="s">
        <v>2025</v>
      </c>
      <c r="E81" s="292" t="s">
        <v>1928</v>
      </c>
      <c r="F81" s="292" t="s">
        <v>58</v>
      </c>
      <c r="G81" s="292" t="s">
        <v>1929</v>
      </c>
      <c r="H81" s="292" t="s">
        <v>1930</v>
      </c>
    </row>
    <row r="82" customFormat="false" ht="54.75" hidden="false" customHeight="true" outlineLevel="0" collapsed="false">
      <c r="A82" s="83"/>
      <c r="B82" s="300"/>
      <c r="C82" s="294" t="s">
        <v>1931</v>
      </c>
      <c r="D82" s="295" t="s">
        <v>2026</v>
      </c>
      <c r="E82" s="295" t="s">
        <v>1933</v>
      </c>
      <c r="F82" s="295" t="s">
        <v>1934</v>
      </c>
      <c r="G82" s="295" t="s">
        <v>1935</v>
      </c>
      <c r="H82" s="295" t="s">
        <v>1936</v>
      </c>
    </row>
    <row r="83" customFormat="false" ht="54.75" hidden="false" customHeight="true" outlineLevel="0" collapsed="false">
      <c r="A83" s="83"/>
      <c r="B83" s="300"/>
      <c r="C83" s="296" t="s">
        <v>1937</v>
      </c>
      <c r="D83" s="292" t="s">
        <v>2027</v>
      </c>
      <c r="E83" s="292" t="s">
        <v>1939</v>
      </c>
      <c r="F83" s="292" t="s">
        <v>1940</v>
      </c>
      <c r="G83" s="292" t="s">
        <v>1941</v>
      </c>
      <c r="H83" s="292" t="s">
        <v>1942</v>
      </c>
    </row>
    <row r="84" customFormat="false" ht="54.75" hidden="false" customHeight="true" outlineLevel="0" collapsed="false">
      <c r="A84" s="83"/>
      <c r="B84" s="300"/>
      <c r="C84" s="297" t="s">
        <v>1943</v>
      </c>
      <c r="D84" s="295" t="s">
        <v>2028</v>
      </c>
      <c r="E84" s="295" t="s">
        <v>1945</v>
      </c>
      <c r="F84" s="295" t="s">
        <v>1946</v>
      </c>
      <c r="G84" s="295" t="s">
        <v>1947</v>
      </c>
      <c r="H84" s="295" t="s">
        <v>1948</v>
      </c>
    </row>
    <row r="85" customFormat="false" ht="54.75" hidden="false" customHeight="true" outlineLevel="0" collapsed="false">
      <c r="A85" s="83"/>
      <c r="B85" s="300"/>
      <c r="C85" s="298" t="s">
        <v>1949</v>
      </c>
      <c r="D85" s="292" t="s">
        <v>2029</v>
      </c>
      <c r="E85" s="292" t="s">
        <v>1951</v>
      </c>
      <c r="F85" s="292" t="s">
        <v>1952</v>
      </c>
      <c r="G85" s="292" t="s">
        <v>1953</v>
      </c>
      <c r="H85" s="292" t="s">
        <v>1954</v>
      </c>
    </row>
    <row r="86" customFormat="false" ht="54.75" hidden="false" customHeight="true" outlineLevel="0" collapsed="false">
      <c r="A86" s="83" t="n">
        <v>17</v>
      </c>
      <c r="B86" s="290" t="s">
        <v>266</v>
      </c>
      <c r="C86" s="291" t="s">
        <v>1926</v>
      </c>
      <c r="D86" s="292" t="s">
        <v>2030</v>
      </c>
      <c r="E86" s="292" t="s">
        <v>1928</v>
      </c>
      <c r="F86" s="292" t="s">
        <v>58</v>
      </c>
      <c r="G86" s="292" t="s">
        <v>1929</v>
      </c>
      <c r="H86" s="292" t="s">
        <v>1930</v>
      </c>
    </row>
    <row r="87" customFormat="false" ht="54.75" hidden="false" customHeight="true" outlineLevel="0" collapsed="false">
      <c r="A87" s="83"/>
      <c r="B87" s="293"/>
      <c r="C87" s="294" t="s">
        <v>1931</v>
      </c>
      <c r="D87" s="295" t="s">
        <v>2031</v>
      </c>
      <c r="E87" s="295" t="s">
        <v>1933</v>
      </c>
      <c r="F87" s="295" t="s">
        <v>1934</v>
      </c>
      <c r="G87" s="295" t="s">
        <v>1935</v>
      </c>
      <c r="H87" s="295" t="s">
        <v>1936</v>
      </c>
    </row>
    <row r="88" customFormat="false" ht="54.75" hidden="false" customHeight="true" outlineLevel="0" collapsed="false">
      <c r="A88" s="83"/>
      <c r="B88" s="293"/>
      <c r="C88" s="296" t="s">
        <v>1937</v>
      </c>
      <c r="D88" s="292" t="s">
        <v>2032</v>
      </c>
      <c r="E88" s="292" t="s">
        <v>1939</v>
      </c>
      <c r="F88" s="292" t="s">
        <v>1940</v>
      </c>
      <c r="G88" s="292" t="s">
        <v>1941</v>
      </c>
      <c r="H88" s="292" t="s">
        <v>1942</v>
      </c>
    </row>
    <row r="89" customFormat="false" ht="54.75" hidden="false" customHeight="true" outlineLevel="0" collapsed="false">
      <c r="A89" s="83"/>
      <c r="B89" s="293"/>
      <c r="C89" s="297" t="s">
        <v>1943</v>
      </c>
      <c r="D89" s="295" t="s">
        <v>2033</v>
      </c>
      <c r="E89" s="295" t="s">
        <v>1945</v>
      </c>
      <c r="F89" s="295" t="s">
        <v>1946</v>
      </c>
      <c r="G89" s="295" t="s">
        <v>1947</v>
      </c>
      <c r="H89" s="295" t="s">
        <v>1948</v>
      </c>
    </row>
    <row r="90" customFormat="false" ht="54.75" hidden="false" customHeight="true" outlineLevel="0" collapsed="false">
      <c r="A90" s="83"/>
      <c r="B90" s="293"/>
      <c r="C90" s="298" t="s">
        <v>1949</v>
      </c>
      <c r="D90" s="292" t="s">
        <v>2034</v>
      </c>
      <c r="E90" s="292" t="s">
        <v>1951</v>
      </c>
      <c r="F90" s="292" t="s">
        <v>1952</v>
      </c>
      <c r="G90" s="292" t="s">
        <v>1953</v>
      </c>
      <c r="H90" s="292" t="s">
        <v>1954</v>
      </c>
    </row>
    <row r="91" customFormat="false" ht="54.75" hidden="false" customHeight="true" outlineLevel="0" collapsed="false">
      <c r="A91" s="83" t="n">
        <v>18</v>
      </c>
      <c r="B91" s="299" t="s">
        <v>268</v>
      </c>
      <c r="C91" s="291" t="s">
        <v>1926</v>
      </c>
      <c r="D91" s="292" t="s">
        <v>2035</v>
      </c>
      <c r="E91" s="292" t="s">
        <v>1928</v>
      </c>
      <c r="F91" s="292" t="s">
        <v>58</v>
      </c>
      <c r="G91" s="292" t="s">
        <v>1929</v>
      </c>
      <c r="H91" s="292" t="s">
        <v>1930</v>
      </c>
    </row>
    <row r="92" customFormat="false" ht="54.75" hidden="false" customHeight="true" outlineLevel="0" collapsed="false">
      <c r="A92" s="83"/>
      <c r="B92" s="300"/>
      <c r="C92" s="294" t="s">
        <v>1931</v>
      </c>
      <c r="D92" s="295" t="s">
        <v>2036</v>
      </c>
      <c r="E92" s="295" t="s">
        <v>1933</v>
      </c>
      <c r="F92" s="295" t="s">
        <v>1934</v>
      </c>
      <c r="G92" s="295" t="s">
        <v>1935</v>
      </c>
      <c r="H92" s="295" t="s">
        <v>1936</v>
      </c>
    </row>
    <row r="93" customFormat="false" ht="54.75" hidden="false" customHeight="true" outlineLevel="0" collapsed="false">
      <c r="A93" s="83"/>
      <c r="B93" s="300"/>
      <c r="C93" s="296" t="s">
        <v>1937</v>
      </c>
      <c r="D93" s="292" t="s">
        <v>2037</v>
      </c>
      <c r="E93" s="292" t="s">
        <v>1939</v>
      </c>
      <c r="F93" s="292" t="s">
        <v>1940</v>
      </c>
      <c r="G93" s="292" t="s">
        <v>1941</v>
      </c>
      <c r="H93" s="292" t="s">
        <v>1942</v>
      </c>
    </row>
    <row r="94" customFormat="false" ht="54.75" hidden="false" customHeight="true" outlineLevel="0" collapsed="false">
      <c r="A94" s="83"/>
      <c r="B94" s="300"/>
      <c r="C94" s="297" t="s">
        <v>1943</v>
      </c>
      <c r="D94" s="295" t="s">
        <v>2038</v>
      </c>
      <c r="E94" s="295" t="s">
        <v>1945</v>
      </c>
      <c r="F94" s="295" t="s">
        <v>1946</v>
      </c>
      <c r="G94" s="295" t="s">
        <v>1947</v>
      </c>
      <c r="H94" s="295" t="s">
        <v>1948</v>
      </c>
    </row>
    <row r="95" customFormat="false" ht="54.75" hidden="false" customHeight="true" outlineLevel="0" collapsed="false">
      <c r="A95" s="83"/>
      <c r="B95" s="300"/>
      <c r="C95" s="298" t="s">
        <v>1949</v>
      </c>
      <c r="D95" s="292" t="s">
        <v>2039</v>
      </c>
      <c r="E95" s="292" t="s">
        <v>1951</v>
      </c>
      <c r="F95" s="292" t="s">
        <v>1952</v>
      </c>
      <c r="G95" s="292" t="s">
        <v>1953</v>
      </c>
      <c r="H95" s="292" t="s">
        <v>1954</v>
      </c>
    </row>
    <row r="96" customFormat="false" ht="54.75" hidden="false" customHeight="true" outlineLevel="0" collapsed="false">
      <c r="A96" s="83" t="n">
        <v>19</v>
      </c>
      <c r="B96" s="290" t="s">
        <v>269</v>
      </c>
      <c r="C96" s="291" t="s">
        <v>1926</v>
      </c>
      <c r="D96" s="292" t="s">
        <v>2040</v>
      </c>
      <c r="E96" s="292" t="s">
        <v>1928</v>
      </c>
      <c r="F96" s="292" t="s">
        <v>58</v>
      </c>
      <c r="G96" s="292" t="s">
        <v>1929</v>
      </c>
      <c r="H96" s="292" t="s">
        <v>1930</v>
      </c>
    </row>
    <row r="97" customFormat="false" ht="54.75" hidden="false" customHeight="true" outlineLevel="0" collapsed="false">
      <c r="A97" s="83"/>
      <c r="B97" s="293"/>
      <c r="C97" s="294" t="s">
        <v>1931</v>
      </c>
      <c r="D97" s="295" t="s">
        <v>2041</v>
      </c>
      <c r="E97" s="295" t="s">
        <v>1933</v>
      </c>
      <c r="F97" s="295" t="s">
        <v>1934</v>
      </c>
      <c r="G97" s="295" t="s">
        <v>1935</v>
      </c>
      <c r="H97" s="295" t="s">
        <v>1936</v>
      </c>
    </row>
    <row r="98" customFormat="false" ht="54.75" hidden="false" customHeight="true" outlineLevel="0" collapsed="false">
      <c r="A98" s="83"/>
      <c r="B98" s="293"/>
      <c r="C98" s="296" t="s">
        <v>1937</v>
      </c>
      <c r="D98" s="292" t="s">
        <v>2042</v>
      </c>
      <c r="E98" s="292" t="s">
        <v>1939</v>
      </c>
      <c r="F98" s="292" t="s">
        <v>1940</v>
      </c>
      <c r="G98" s="292" t="s">
        <v>1941</v>
      </c>
      <c r="H98" s="292" t="s">
        <v>1942</v>
      </c>
    </row>
    <row r="99" customFormat="false" ht="54.75" hidden="false" customHeight="true" outlineLevel="0" collapsed="false">
      <c r="A99" s="83"/>
      <c r="B99" s="293"/>
      <c r="C99" s="297" t="s">
        <v>1943</v>
      </c>
      <c r="D99" s="295" t="s">
        <v>2043</v>
      </c>
      <c r="E99" s="295" t="s">
        <v>1945</v>
      </c>
      <c r="F99" s="295" t="s">
        <v>1946</v>
      </c>
      <c r="G99" s="295" t="s">
        <v>1947</v>
      </c>
      <c r="H99" s="295" t="s">
        <v>1948</v>
      </c>
    </row>
    <row r="100" customFormat="false" ht="54.75" hidden="false" customHeight="true" outlineLevel="0" collapsed="false">
      <c r="A100" s="83"/>
      <c r="B100" s="293"/>
      <c r="C100" s="298" t="s">
        <v>1949</v>
      </c>
      <c r="D100" s="292" t="s">
        <v>2044</v>
      </c>
      <c r="E100" s="292" t="s">
        <v>1951</v>
      </c>
      <c r="F100" s="292" t="s">
        <v>1952</v>
      </c>
      <c r="G100" s="292" t="s">
        <v>1953</v>
      </c>
      <c r="H100" s="292" t="s">
        <v>1954</v>
      </c>
    </row>
    <row r="101" customFormat="false" ht="54.75" hidden="false" customHeight="true" outlineLevel="0" collapsed="false">
      <c r="A101" s="83" t="n">
        <v>20</v>
      </c>
      <c r="B101" s="299" t="s">
        <v>270</v>
      </c>
      <c r="C101" s="291" t="s">
        <v>1926</v>
      </c>
      <c r="D101" s="292" t="s">
        <v>2045</v>
      </c>
      <c r="E101" s="292" t="s">
        <v>1928</v>
      </c>
      <c r="F101" s="292" t="s">
        <v>58</v>
      </c>
      <c r="G101" s="292" t="s">
        <v>1929</v>
      </c>
      <c r="H101" s="292" t="s">
        <v>1930</v>
      </c>
    </row>
    <row r="102" customFormat="false" ht="54.75" hidden="false" customHeight="true" outlineLevel="0" collapsed="false">
      <c r="A102" s="83"/>
      <c r="B102" s="300"/>
      <c r="C102" s="294" t="s">
        <v>1931</v>
      </c>
      <c r="D102" s="295" t="s">
        <v>2046</v>
      </c>
      <c r="E102" s="295" t="s">
        <v>1933</v>
      </c>
      <c r="F102" s="295" t="s">
        <v>1934</v>
      </c>
      <c r="G102" s="295" t="s">
        <v>1935</v>
      </c>
      <c r="H102" s="295" t="s">
        <v>1936</v>
      </c>
    </row>
    <row r="103" customFormat="false" ht="54.75" hidden="false" customHeight="true" outlineLevel="0" collapsed="false">
      <c r="A103" s="83"/>
      <c r="B103" s="300"/>
      <c r="C103" s="296" t="s">
        <v>1937</v>
      </c>
      <c r="D103" s="292" t="s">
        <v>2047</v>
      </c>
      <c r="E103" s="292" t="s">
        <v>1939</v>
      </c>
      <c r="F103" s="292" t="s">
        <v>1940</v>
      </c>
      <c r="G103" s="292" t="s">
        <v>1941</v>
      </c>
      <c r="H103" s="292" t="s">
        <v>1942</v>
      </c>
    </row>
    <row r="104" customFormat="false" ht="54.75" hidden="false" customHeight="true" outlineLevel="0" collapsed="false">
      <c r="A104" s="83"/>
      <c r="B104" s="300"/>
      <c r="C104" s="297" t="s">
        <v>1943</v>
      </c>
      <c r="D104" s="295" t="s">
        <v>2048</v>
      </c>
      <c r="E104" s="295" t="s">
        <v>1945</v>
      </c>
      <c r="F104" s="295" t="s">
        <v>1946</v>
      </c>
      <c r="G104" s="295" t="s">
        <v>1947</v>
      </c>
      <c r="H104" s="295" t="s">
        <v>1948</v>
      </c>
    </row>
    <row r="105" customFormat="false" ht="54.75" hidden="false" customHeight="true" outlineLevel="0" collapsed="false">
      <c r="A105" s="83"/>
      <c r="B105" s="300"/>
      <c r="C105" s="298" t="s">
        <v>1949</v>
      </c>
      <c r="D105" s="292" t="s">
        <v>2049</v>
      </c>
      <c r="E105" s="292" t="s">
        <v>1951</v>
      </c>
      <c r="F105" s="292" t="s">
        <v>1952</v>
      </c>
      <c r="G105" s="292" t="s">
        <v>1953</v>
      </c>
      <c r="H105" s="292" t="s">
        <v>1954</v>
      </c>
    </row>
    <row r="106" customFormat="false" ht="54.75" hidden="false" customHeight="true" outlineLevel="0" collapsed="false">
      <c r="A106" s="83" t="n">
        <v>21</v>
      </c>
      <c r="B106" s="290" t="s">
        <v>271</v>
      </c>
      <c r="C106" s="291" t="s">
        <v>1926</v>
      </c>
      <c r="D106" s="292" t="s">
        <v>2050</v>
      </c>
      <c r="E106" s="292" t="s">
        <v>1928</v>
      </c>
      <c r="F106" s="292" t="s">
        <v>58</v>
      </c>
      <c r="G106" s="292" t="s">
        <v>1929</v>
      </c>
      <c r="H106" s="292" t="s">
        <v>1930</v>
      </c>
    </row>
    <row r="107" customFormat="false" ht="54.75" hidden="false" customHeight="true" outlineLevel="0" collapsed="false">
      <c r="A107" s="83"/>
      <c r="B107" s="293"/>
      <c r="C107" s="294" t="s">
        <v>1931</v>
      </c>
      <c r="D107" s="295" t="s">
        <v>2051</v>
      </c>
      <c r="E107" s="295" t="s">
        <v>1933</v>
      </c>
      <c r="F107" s="295" t="s">
        <v>1934</v>
      </c>
      <c r="G107" s="295" t="s">
        <v>1935</v>
      </c>
      <c r="H107" s="295" t="s">
        <v>1936</v>
      </c>
    </row>
    <row r="108" customFormat="false" ht="54.75" hidden="false" customHeight="true" outlineLevel="0" collapsed="false">
      <c r="A108" s="83"/>
      <c r="B108" s="293"/>
      <c r="C108" s="296" t="s">
        <v>1937</v>
      </c>
      <c r="D108" s="292" t="s">
        <v>2052</v>
      </c>
      <c r="E108" s="292" t="s">
        <v>1939</v>
      </c>
      <c r="F108" s="292" t="s">
        <v>1940</v>
      </c>
      <c r="G108" s="292" t="s">
        <v>1941</v>
      </c>
      <c r="H108" s="292" t="s">
        <v>1942</v>
      </c>
    </row>
    <row r="109" customFormat="false" ht="54.75" hidden="false" customHeight="true" outlineLevel="0" collapsed="false">
      <c r="A109" s="83"/>
      <c r="B109" s="293"/>
      <c r="C109" s="297" t="s">
        <v>1943</v>
      </c>
      <c r="D109" s="295" t="s">
        <v>2053</v>
      </c>
      <c r="E109" s="295" t="s">
        <v>1945</v>
      </c>
      <c r="F109" s="295" t="s">
        <v>1946</v>
      </c>
      <c r="G109" s="295" t="s">
        <v>1947</v>
      </c>
      <c r="H109" s="295" t="s">
        <v>1948</v>
      </c>
    </row>
    <row r="110" customFormat="false" ht="54.75" hidden="false" customHeight="true" outlineLevel="0" collapsed="false">
      <c r="A110" s="83"/>
      <c r="B110" s="293"/>
      <c r="C110" s="298" t="s">
        <v>1949</v>
      </c>
      <c r="D110" s="292" t="s">
        <v>2054</v>
      </c>
      <c r="E110" s="292" t="s">
        <v>1951</v>
      </c>
      <c r="F110" s="292" t="s">
        <v>1952</v>
      </c>
      <c r="G110" s="292" t="s">
        <v>1953</v>
      </c>
      <c r="H110" s="292" t="s">
        <v>1954</v>
      </c>
    </row>
    <row r="111" customFormat="false" ht="54.75" hidden="false" customHeight="true" outlineLevel="0" collapsed="false">
      <c r="A111" s="83" t="n">
        <v>22</v>
      </c>
      <c r="B111" s="299" t="s">
        <v>274</v>
      </c>
      <c r="C111" s="291" t="s">
        <v>1926</v>
      </c>
      <c r="D111" s="292" t="s">
        <v>2055</v>
      </c>
      <c r="E111" s="292" t="s">
        <v>1928</v>
      </c>
      <c r="F111" s="292" t="s">
        <v>58</v>
      </c>
      <c r="G111" s="292" t="s">
        <v>1929</v>
      </c>
      <c r="H111" s="292" t="s">
        <v>1930</v>
      </c>
    </row>
    <row r="112" customFormat="false" ht="54.75" hidden="false" customHeight="true" outlineLevel="0" collapsed="false">
      <c r="A112" s="83"/>
      <c r="B112" s="300"/>
      <c r="C112" s="294" t="s">
        <v>1931</v>
      </c>
      <c r="D112" s="295" t="s">
        <v>2056</v>
      </c>
      <c r="E112" s="295" t="s">
        <v>1933</v>
      </c>
      <c r="F112" s="295" t="s">
        <v>1934</v>
      </c>
      <c r="G112" s="295" t="s">
        <v>1935</v>
      </c>
      <c r="H112" s="295" t="s">
        <v>1936</v>
      </c>
    </row>
    <row r="113" customFormat="false" ht="54.75" hidden="false" customHeight="true" outlineLevel="0" collapsed="false">
      <c r="A113" s="83"/>
      <c r="B113" s="300"/>
      <c r="C113" s="296" t="s">
        <v>1937</v>
      </c>
      <c r="D113" s="292" t="s">
        <v>2057</v>
      </c>
      <c r="E113" s="292" t="s">
        <v>1939</v>
      </c>
      <c r="F113" s="292" t="s">
        <v>1940</v>
      </c>
      <c r="G113" s="292" t="s">
        <v>1941</v>
      </c>
      <c r="H113" s="292" t="s">
        <v>1942</v>
      </c>
    </row>
    <row r="114" customFormat="false" ht="54.75" hidden="false" customHeight="true" outlineLevel="0" collapsed="false">
      <c r="A114" s="83"/>
      <c r="B114" s="300"/>
      <c r="C114" s="297" t="s">
        <v>1943</v>
      </c>
      <c r="D114" s="295" t="s">
        <v>2058</v>
      </c>
      <c r="E114" s="295" t="s">
        <v>1945</v>
      </c>
      <c r="F114" s="295" t="s">
        <v>1946</v>
      </c>
      <c r="G114" s="295" t="s">
        <v>1947</v>
      </c>
      <c r="H114" s="295" t="s">
        <v>1948</v>
      </c>
    </row>
    <row r="115" customFormat="false" ht="54.75" hidden="false" customHeight="true" outlineLevel="0" collapsed="false">
      <c r="A115" s="83"/>
      <c r="B115" s="300"/>
      <c r="C115" s="298" t="s">
        <v>1949</v>
      </c>
      <c r="D115" s="292" t="s">
        <v>2059</v>
      </c>
      <c r="E115" s="292" t="s">
        <v>1951</v>
      </c>
      <c r="F115" s="292" t="s">
        <v>1952</v>
      </c>
      <c r="G115" s="292" t="s">
        <v>1953</v>
      </c>
      <c r="H115" s="292" t="s">
        <v>1954</v>
      </c>
    </row>
    <row r="116" customFormat="false" ht="54.75" hidden="false" customHeight="true" outlineLevel="0" collapsed="false">
      <c r="A116" s="83" t="n">
        <v>23</v>
      </c>
      <c r="B116" s="290" t="s">
        <v>276</v>
      </c>
      <c r="C116" s="291" t="s">
        <v>1926</v>
      </c>
      <c r="D116" s="292" t="s">
        <v>2060</v>
      </c>
      <c r="E116" s="292" t="s">
        <v>1928</v>
      </c>
      <c r="F116" s="292" t="s">
        <v>58</v>
      </c>
      <c r="G116" s="292" t="s">
        <v>1929</v>
      </c>
      <c r="H116" s="292" t="s">
        <v>1930</v>
      </c>
    </row>
    <row r="117" customFormat="false" ht="54.75" hidden="false" customHeight="true" outlineLevel="0" collapsed="false">
      <c r="A117" s="83"/>
      <c r="B117" s="293"/>
      <c r="C117" s="294" t="s">
        <v>1931</v>
      </c>
      <c r="D117" s="295" t="s">
        <v>2061</v>
      </c>
      <c r="E117" s="295" t="s">
        <v>1933</v>
      </c>
      <c r="F117" s="295" t="s">
        <v>1934</v>
      </c>
      <c r="G117" s="295" t="s">
        <v>1935</v>
      </c>
      <c r="H117" s="295" t="s">
        <v>1936</v>
      </c>
    </row>
    <row r="118" customFormat="false" ht="54.75" hidden="false" customHeight="true" outlineLevel="0" collapsed="false">
      <c r="A118" s="83"/>
      <c r="B118" s="293"/>
      <c r="C118" s="296" t="s">
        <v>1937</v>
      </c>
      <c r="D118" s="292" t="s">
        <v>2062</v>
      </c>
      <c r="E118" s="292" t="s">
        <v>1939</v>
      </c>
      <c r="F118" s="292" t="s">
        <v>1940</v>
      </c>
      <c r="G118" s="292" t="s">
        <v>1941</v>
      </c>
      <c r="H118" s="292" t="s">
        <v>1942</v>
      </c>
    </row>
    <row r="119" customFormat="false" ht="54.75" hidden="false" customHeight="true" outlineLevel="0" collapsed="false">
      <c r="A119" s="83"/>
      <c r="B119" s="293"/>
      <c r="C119" s="297" t="s">
        <v>1943</v>
      </c>
      <c r="D119" s="295" t="s">
        <v>2063</v>
      </c>
      <c r="E119" s="295" t="s">
        <v>1945</v>
      </c>
      <c r="F119" s="295" t="s">
        <v>1946</v>
      </c>
      <c r="G119" s="295" t="s">
        <v>1947</v>
      </c>
      <c r="H119" s="295" t="s">
        <v>1948</v>
      </c>
    </row>
    <row r="120" customFormat="false" ht="54.75" hidden="false" customHeight="true" outlineLevel="0" collapsed="false">
      <c r="A120" s="83"/>
      <c r="B120" s="293"/>
      <c r="C120" s="298" t="s">
        <v>1949</v>
      </c>
      <c r="D120" s="292" t="s">
        <v>2064</v>
      </c>
      <c r="E120" s="292" t="s">
        <v>1951</v>
      </c>
      <c r="F120" s="292" t="s">
        <v>1952</v>
      </c>
      <c r="G120" s="292" t="s">
        <v>1953</v>
      </c>
      <c r="H120" s="292" t="s">
        <v>1954</v>
      </c>
    </row>
    <row r="121" customFormat="false" ht="54.75" hidden="false" customHeight="true" outlineLevel="0" collapsed="false">
      <c r="A121" s="83" t="n">
        <v>24</v>
      </c>
      <c r="B121" s="299" t="s">
        <v>277</v>
      </c>
      <c r="C121" s="291" t="s">
        <v>1926</v>
      </c>
      <c r="D121" s="292" t="s">
        <v>2065</v>
      </c>
      <c r="E121" s="292" t="s">
        <v>1928</v>
      </c>
      <c r="F121" s="292" t="s">
        <v>58</v>
      </c>
      <c r="G121" s="292" t="s">
        <v>1929</v>
      </c>
      <c r="H121" s="292" t="s">
        <v>1930</v>
      </c>
    </row>
    <row r="122" customFormat="false" ht="54.75" hidden="false" customHeight="true" outlineLevel="0" collapsed="false">
      <c r="A122" s="83"/>
      <c r="B122" s="300"/>
      <c r="C122" s="294" t="s">
        <v>1931</v>
      </c>
      <c r="D122" s="295" t="s">
        <v>2066</v>
      </c>
      <c r="E122" s="295" t="s">
        <v>1933</v>
      </c>
      <c r="F122" s="295" t="s">
        <v>1934</v>
      </c>
      <c r="G122" s="295" t="s">
        <v>1935</v>
      </c>
      <c r="H122" s="295" t="s">
        <v>1936</v>
      </c>
    </row>
    <row r="123" customFormat="false" ht="54.75" hidden="false" customHeight="true" outlineLevel="0" collapsed="false">
      <c r="A123" s="83"/>
      <c r="B123" s="300"/>
      <c r="C123" s="296" t="s">
        <v>1937</v>
      </c>
      <c r="D123" s="292" t="s">
        <v>2067</v>
      </c>
      <c r="E123" s="292" t="s">
        <v>1939</v>
      </c>
      <c r="F123" s="292" t="s">
        <v>1940</v>
      </c>
      <c r="G123" s="292" t="s">
        <v>1941</v>
      </c>
      <c r="H123" s="292" t="s">
        <v>1942</v>
      </c>
    </row>
    <row r="124" customFormat="false" ht="54.75" hidden="false" customHeight="true" outlineLevel="0" collapsed="false">
      <c r="A124" s="83"/>
      <c r="B124" s="300"/>
      <c r="C124" s="297" t="s">
        <v>1943</v>
      </c>
      <c r="D124" s="295" t="s">
        <v>2068</v>
      </c>
      <c r="E124" s="295" t="s">
        <v>1945</v>
      </c>
      <c r="F124" s="295" t="s">
        <v>1946</v>
      </c>
      <c r="G124" s="295" t="s">
        <v>1947</v>
      </c>
      <c r="H124" s="295" t="s">
        <v>1948</v>
      </c>
    </row>
    <row r="125" customFormat="false" ht="54.75" hidden="false" customHeight="true" outlineLevel="0" collapsed="false">
      <c r="A125" s="83"/>
      <c r="B125" s="300"/>
      <c r="C125" s="298" t="s">
        <v>1949</v>
      </c>
      <c r="D125" s="292" t="s">
        <v>2069</v>
      </c>
      <c r="E125" s="292" t="s">
        <v>1951</v>
      </c>
      <c r="F125" s="292" t="s">
        <v>1952</v>
      </c>
      <c r="G125" s="292" t="s">
        <v>1953</v>
      </c>
      <c r="H125" s="292" t="s">
        <v>1954</v>
      </c>
    </row>
    <row r="126" customFormat="false" ht="54.75" hidden="false" customHeight="true" outlineLevel="0" collapsed="false">
      <c r="A126" s="83" t="n">
        <v>25</v>
      </c>
      <c r="B126" s="290" t="s">
        <v>278</v>
      </c>
      <c r="C126" s="291" t="s">
        <v>1926</v>
      </c>
      <c r="D126" s="292" t="s">
        <v>2070</v>
      </c>
      <c r="E126" s="292" t="s">
        <v>1928</v>
      </c>
      <c r="F126" s="292" t="s">
        <v>58</v>
      </c>
      <c r="G126" s="292" t="s">
        <v>1929</v>
      </c>
      <c r="H126" s="292" t="s">
        <v>1930</v>
      </c>
    </row>
    <row r="127" customFormat="false" ht="54.75" hidden="false" customHeight="true" outlineLevel="0" collapsed="false">
      <c r="A127" s="83"/>
      <c r="B127" s="293"/>
      <c r="C127" s="294" t="s">
        <v>1931</v>
      </c>
      <c r="D127" s="295" t="s">
        <v>2071</v>
      </c>
      <c r="E127" s="295" t="s">
        <v>1933</v>
      </c>
      <c r="F127" s="295" t="s">
        <v>1934</v>
      </c>
      <c r="G127" s="295" t="s">
        <v>1935</v>
      </c>
      <c r="H127" s="295" t="s">
        <v>1936</v>
      </c>
    </row>
    <row r="128" customFormat="false" ht="54.75" hidden="false" customHeight="true" outlineLevel="0" collapsed="false">
      <c r="A128" s="83"/>
      <c r="B128" s="293"/>
      <c r="C128" s="296" t="s">
        <v>1937</v>
      </c>
      <c r="D128" s="292" t="s">
        <v>2072</v>
      </c>
      <c r="E128" s="292" t="s">
        <v>1939</v>
      </c>
      <c r="F128" s="292" t="s">
        <v>1940</v>
      </c>
      <c r="G128" s="292" t="s">
        <v>1941</v>
      </c>
      <c r="H128" s="292" t="s">
        <v>1942</v>
      </c>
    </row>
    <row r="129" customFormat="false" ht="54.75" hidden="false" customHeight="true" outlineLevel="0" collapsed="false">
      <c r="A129" s="83"/>
      <c r="B129" s="293"/>
      <c r="C129" s="297" t="s">
        <v>1943</v>
      </c>
      <c r="D129" s="295" t="s">
        <v>2073</v>
      </c>
      <c r="E129" s="295" t="s">
        <v>1945</v>
      </c>
      <c r="F129" s="295" t="s">
        <v>1946</v>
      </c>
      <c r="G129" s="295" t="s">
        <v>1947</v>
      </c>
      <c r="H129" s="295" t="s">
        <v>1948</v>
      </c>
    </row>
    <row r="130" customFormat="false" ht="54.75" hidden="false" customHeight="true" outlineLevel="0" collapsed="false">
      <c r="A130" s="83"/>
      <c r="B130" s="293"/>
      <c r="C130" s="298" t="s">
        <v>1949</v>
      </c>
      <c r="D130" s="292" t="s">
        <v>2074</v>
      </c>
      <c r="E130" s="292" t="s">
        <v>1951</v>
      </c>
      <c r="F130" s="292" t="s">
        <v>1952</v>
      </c>
      <c r="G130" s="292" t="s">
        <v>1953</v>
      </c>
      <c r="H130" s="292" t="s">
        <v>1954</v>
      </c>
    </row>
    <row r="131" customFormat="false" ht="54.75" hidden="false" customHeight="true" outlineLevel="0" collapsed="false">
      <c r="A131" s="83" t="n">
        <v>26</v>
      </c>
      <c r="B131" s="299" t="s">
        <v>279</v>
      </c>
      <c r="C131" s="291" t="s">
        <v>1926</v>
      </c>
      <c r="D131" s="292" t="s">
        <v>2075</v>
      </c>
      <c r="E131" s="292" t="s">
        <v>1928</v>
      </c>
      <c r="F131" s="292" t="s">
        <v>58</v>
      </c>
      <c r="G131" s="292" t="s">
        <v>1929</v>
      </c>
      <c r="H131" s="292" t="s">
        <v>1930</v>
      </c>
    </row>
    <row r="132" customFormat="false" ht="54.75" hidden="false" customHeight="true" outlineLevel="0" collapsed="false">
      <c r="A132" s="83"/>
      <c r="B132" s="300"/>
      <c r="C132" s="294" t="s">
        <v>1931</v>
      </c>
      <c r="D132" s="295" t="s">
        <v>2076</v>
      </c>
      <c r="E132" s="295" t="s">
        <v>1933</v>
      </c>
      <c r="F132" s="295" t="s">
        <v>1934</v>
      </c>
      <c r="G132" s="295" t="s">
        <v>1935</v>
      </c>
      <c r="H132" s="295" t="s">
        <v>1936</v>
      </c>
    </row>
    <row r="133" customFormat="false" ht="54.75" hidden="false" customHeight="true" outlineLevel="0" collapsed="false">
      <c r="A133" s="83"/>
      <c r="B133" s="300"/>
      <c r="C133" s="296" t="s">
        <v>1937</v>
      </c>
      <c r="D133" s="292" t="s">
        <v>2077</v>
      </c>
      <c r="E133" s="292" t="s">
        <v>1939</v>
      </c>
      <c r="F133" s="292" t="s">
        <v>1940</v>
      </c>
      <c r="G133" s="292" t="s">
        <v>1941</v>
      </c>
      <c r="H133" s="292" t="s">
        <v>1942</v>
      </c>
    </row>
    <row r="134" customFormat="false" ht="54.75" hidden="false" customHeight="true" outlineLevel="0" collapsed="false">
      <c r="A134" s="83"/>
      <c r="B134" s="300"/>
      <c r="C134" s="297" t="s">
        <v>1943</v>
      </c>
      <c r="D134" s="295" t="s">
        <v>2078</v>
      </c>
      <c r="E134" s="295" t="s">
        <v>1945</v>
      </c>
      <c r="F134" s="295" t="s">
        <v>1946</v>
      </c>
      <c r="G134" s="295" t="s">
        <v>1947</v>
      </c>
      <c r="H134" s="295" t="s">
        <v>1948</v>
      </c>
    </row>
    <row r="135" customFormat="false" ht="54.75" hidden="false" customHeight="true" outlineLevel="0" collapsed="false">
      <c r="A135" s="83"/>
      <c r="B135" s="300"/>
      <c r="C135" s="298" t="s">
        <v>1949</v>
      </c>
      <c r="D135" s="292" t="s">
        <v>2079</v>
      </c>
      <c r="E135" s="292" t="s">
        <v>1951</v>
      </c>
      <c r="F135" s="292" t="s">
        <v>1952</v>
      </c>
      <c r="G135" s="292" t="s">
        <v>1953</v>
      </c>
      <c r="H135" s="292" t="s">
        <v>1954</v>
      </c>
    </row>
    <row r="136" customFormat="false" ht="54.75" hidden="false" customHeight="true" outlineLevel="0" collapsed="false">
      <c r="A136" s="83" t="n">
        <v>27</v>
      </c>
      <c r="B136" s="290" t="s">
        <v>280</v>
      </c>
      <c r="C136" s="291" t="s">
        <v>1926</v>
      </c>
      <c r="D136" s="292" t="s">
        <v>2080</v>
      </c>
      <c r="E136" s="292" t="s">
        <v>1928</v>
      </c>
      <c r="F136" s="292" t="s">
        <v>58</v>
      </c>
      <c r="G136" s="292" t="s">
        <v>1929</v>
      </c>
      <c r="H136" s="292" t="s">
        <v>1930</v>
      </c>
    </row>
    <row r="137" customFormat="false" ht="54.75" hidden="false" customHeight="true" outlineLevel="0" collapsed="false">
      <c r="A137" s="83"/>
      <c r="B137" s="293"/>
      <c r="C137" s="294" t="s">
        <v>1931</v>
      </c>
      <c r="D137" s="295" t="s">
        <v>2081</v>
      </c>
      <c r="E137" s="295" t="s">
        <v>1933</v>
      </c>
      <c r="F137" s="295" t="s">
        <v>1934</v>
      </c>
      <c r="G137" s="295" t="s">
        <v>1935</v>
      </c>
      <c r="H137" s="295" t="s">
        <v>1936</v>
      </c>
    </row>
    <row r="138" customFormat="false" ht="54.75" hidden="false" customHeight="true" outlineLevel="0" collapsed="false">
      <c r="A138" s="83"/>
      <c r="B138" s="293"/>
      <c r="C138" s="296" t="s">
        <v>1937</v>
      </c>
      <c r="D138" s="292" t="s">
        <v>2082</v>
      </c>
      <c r="E138" s="292" t="s">
        <v>1939</v>
      </c>
      <c r="F138" s="292" t="s">
        <v>1940</v>
      </c>
      <c r="G138" s="292" t="s">
        <v>1941</v>
      </c>
      <c r="H138" s="292" t="s">
        <v>1942</v>
      </c>
    </row>
    <row r="139" customFormat="false" ht="54.75" hidden="false" customHeight="true" outlineLevel="0" collapsed="false">
      <c r="A139" s="83"/>
      <c r="B139" s="293"/>
      <c r="C139" s="297" t="s">
        <v>1943</v>
      </c>
      <c r="D139" s="295" t="s">
        <v>2083</v>
      </c>
      <c r="E139" s="295" t="s">
        <v>1945</v>
      </c>
      <c r="F139" s="295" t="s">
        <v>1946</v>
      </c>
      <c r="G139" s="295" t="s">
        <v>1947</v>
      </c>
      <c r="H139" s="295" t="s">
        <v>1948</v>
      </c>
    </row>
    <row r="140" customFormat="false" ht="54.75" hidden="false" customHeight="true" outlineLevel="0" collapsed="false">
      <c r="A140" s="83"/>
      <c r="B140" s="293"/>
      <c r="C140" s="298" t="s">
        <v>1949</v>
      </c>
      <c r="D140" s="292" t="s">
        <v>2084</v>
      </c>
      <c r="E140" s="292" t="s">
        <v>1951</v>
      </c>
      <c r="F140" s="292" t="s">
        <v>1952</v>
      </c>
      <c r="G140" s="292" t="s">
        <v>1953</v>
      </c>
      <c r="H140" s="292" t="s">
        <v>1954</v>
      </c>
    </row>
    <row r="141" customFormat="false" ht="54.75" hidden="false" customHeight="true" outlineLevel="0" collapsed="false">
      <c r="A141" s="83" t="n">
        <v>28</v>
      </c>
      <c r="B141" s="299" t="s">
        <v>281</v>
      </c>
      <c r="C141" s="291" t="s">
        <v>1926</v>
      </c>
      <c r="D141" s="292" t="s">
        <v>2085</v>
      </c>
      <c r="E141" s="292" t="s">
        <v>1928</v>
      </c>
      <c r="F141" s="292" t="s">
        <v>58</v>
      </c>
      <c r="G141" s="292" t="s">
        <v>1929</v>
      </c>
      <c r="H141" s="292" t="s">
        <v>1930</v>
      </c>
    </row>
    <row r="142" customFormat="false" ht="54.75" hidden="false" customHeight="true" outlineLevel="0" collapsed="false">
      <c r="A142" s="83"/>
      <c r="B142" s="300"/>
      <c r="C142" s="294" t="s">
        <v>1931</v>
      </c>
      <c r="D142" s="295" t="s">
        <v>2086</v>
      </c>
      <c r="E142" s="295" t="s">
        <v>1933</v>
      </c>
      <c r="F142" s="295" t="s">
        <v>1934</v>
      </c>
      <c r="G142" s="295" t="s">
        <v>1935</v>
      </c>
      <c r="H142" s="295" t="s">
        <v>1936</v>
      </c>
    </row>
    <row r="143" customFormat="false" ht="54.75" hidden="false" customHeight="true" outlineLevel="0" collapsed="false">
      <c r="A143" s="83"/>
      <c r="B143" s="300"/>
      <c r="C143" s="296" t="s">
        <v>1937</v>
      </c>
      <c r="D143" s="292" t="s">
        <v>2087</v>
      </c>
      <c r="E143" s="292" t="s">
        <v>1939</v>
      </c>
      <c r="F143" s="292" t="s">
        <v>1940</v>
      </c>
      <c r="G143" s="292" t="s">
        <v>1941</v>
      </c>
      <c r="H143" s="292" t="s">
        <v>1942</v>
      </c>
    </row>
    <row r="144" customFormat="false" ht="54.75" hidden="false" customHeight="true" outlineLevel="0" collapsed="false">
      <c r="A144" s="83"/>
      <c r="B144" s="300"/>
      <c r="C144" s="297" t="s">
        <v>1943</v>
      </c>
      <c r="D144" s="295" t="s">
        <v>2088</v>
      </c>
      <c r="E144" s="295" t="s">
        <v>1945</v>
      </c>
      <c r="F144" s="295" t="s">
        <v>1946</v>
      </c>
      <c r="G144" s="295" t="s">
        <v>1947</v>
      </c>
      <c r="H144" s="295" t="s">
        <v>1948</v>
      </c>
    </row>
    <row r="145" customFormat="false" ht="54.75" hidden="false" customHeight="true" outlineLevel="0" collapsed="false">
      <c r="A145" s="83"/>
      <c r="B145" s="300"/>
      <c r="C145" s="298" t="s">
        <v>1949</v>
      </c>
      <c r="D145" s="292" t="s">
        <v>2089</v>
      </c>
      <c r="E145" s="292" t="s">
        <v>1951</v>
      </c>
      <c r="F145" s="292" t="s">
        <v>1952</v>
      </c>
      <c r="G145" s="292" t="s">
        <v>1953</v>
      </c>
      <c r="H145" s="292" t="s">
        <v>1954</v>
      </c>
    </row>
    <row r="146" customFormat="false" ht="39.75" hidden="false" customHeight="true" outlineLevel="0" collapsed="false">
      <c r="A146" s="289" t="s">
        <v>2090</v>
      </c>
      <c r="B146" s="289"/>
      <c r="C146" s="289"/>
      <c r="D146" s="289"/>
      <c r="E146" s="289"/>
      <c r="F146" s="289"/>
      <c r="G146" s="289"/>
      <c r="H146" s="289"/>
    </row>
    <row r="147" customFormat="false" ht="54.75" hidden="false" customHeight="true" outlineLevel="0" collapsed="false">
      <c r="A147" s="83" t="n">
        <v>29</v>
      </c>
      <c r="B147" s="290" t="s">
        <v>283</v>
      </c>
      <c r="C147" s="291" t="s">
        <v>1926</v>
      </c>
      <c r="D147" s="292" t="s">
        <v>2091</v>
      </c>
      <c r="E147" s="292" t="s">
        <v>1928</v>
      </c>
      <c r="F147" s="292" t="s">
        <v>58</v>
      </c>
      <c r="G147" s="292" t="s">
        <v>1929</v>
      </c>
      <c r="H147" s="292" t="s">
        <v>1930</v>
      </c>
    </row>
    <row r="148" customFormat="false" ht="54.75" hidden="false" customHeight="true" outlineLevel="0" collapsed="false">
      <c r="A148" s="83"/>
      <c r="B148" s="293"/>
      <c r="C148" s="294" t="s">
        <v>1931</v>
      </c>
      <c r="D148" s="295" t="s">
        <v>2092</v>
      </c>
      <c r="E148" s="295" t="s">
        <v>1933</v>
      </c>
      <c r="F148" s="295" t="s">
        <v>1934</v>
      </c>
      <c r="G148" s="295" t="s">
        <v>1935</v>
      </c>
      <c r="H148" s="295" t="s">
        <v>1936</v>
      </c>
    </row>
    <row r="149" customFormat="false" ht="54.75" hidden="false" customHeight="true" outlineLevel="0" collapsed="false">
      <c r="A149" s="83"/>
      <c r="B149" s="293"/>
      <c r="C149" s="296" t="s">
        <v>1937</v>
      </c>
      <c r="D149" s="292" t="s">
        <v>2093</v>
      </c>
      <c r="E149" s="292" t="s">
        <v>1939</v>
      </c>
      <c r="F149" s="292" t="s">
        <v>1940</v>
      </c>
      <c r="G149" s="292" t="s">
        <v>1941</v>
      </c>
      <c r="H149" s="292" t="s">
        <v>1942</v>
      </c>
    </row>
    <row r="150" customFormat="false" ht="54.75" hidden="false" customHeight="true" outlineLevel="0" collapsed="false">
      <c r="A150" s="83"/>
      <c r="B150" s="293"/>
      <c r="C150" s="297" t="s">
        <v>1943</v>
      </c>
      <c r="D150" s="295" t="s">
        <v>2094</v>
      </c>
      <c r="E150" s="295" t="s">
        <v>1945</v>
      </c>
      <c r="F150" s="295" t="s">
        <v>1946</v>
      </c>
      <c r="G150" s="295" t="s">
        <v>1947</v>
      </c>
      <c r="H150" s="295" t="s">
        <v>1948</v>
      </c>
    </row>
    <row r="151" customFormat="false" ht="54.75" hidden="false" customHeight="true" outlineLevel="0" collapsed="false">
      <c r="A151" s="83"/>
      <c r="B151" s="293"/>
      <c r="C151" s="298" t="s">
        <v>1949</v>
      </c>
      <c r="D151" s="292" t="s">
        <v>2095</v>
      </c>
      <c r="E151" s="292" t="s">
        <v>1951</v>
      </c>
      <c r="F151" s="292" t="s">
        <v>1952</v>
      </c>
      <c r="G151" s="292" t="s">
        <v>1953</v>
      </c>
      <c r="H151" s="292" t="s">
        <v>1954</v>
      </c>
    </row>
    <row r="152" customFormat="false" ht="54.75" hidden="false" customHeight="true" outlineLevel="0" collapsed="false">
      <c r="A152" s="83" t="n">
        <v>30</v>
      </c>
      <c r="B152" s="299" t="s">
        <v>285</v>
      </c>
      <c r="C152" s="291" t="s">
        <v>1926</v>
      </c>
      <c r="D152" s="292" t="s">
        <v>2096</v>
      </c>
      <c r="E152" s="292" t="s">
        <v>1928</v>
      </c>
      <c r="F152" s="292" t="s">
        <v>58</v>
      </c>
      <c r="G152" s="292" t="s">
        <v>1929</v>
      </c>
      <c r="H152" s="292" t="s">
        <v>1930</v>
      </c>
    </row>
    <row r="153" customFormat="false" ht="54.75" hidden="false" customHeight="true" outlineLevel="0" collapsed="false">
      <c r="A153" s="83"/>
      <c r="B153" s="300"/>
      <c r="C153" s="294" t="s">
        <v>1931</v>
      </c>
      <c r="D153" s="295" t="s">
        <v>2097</v>
      </c>
      <c r="E153" s="295" t="s">
        <v>1933</v>
      </c>
      <c r="F153" s="295" t="s">
        <v>1934</v>
      </c>
      <c r="G153" s="295" t="s">
        <v>1935</v>
      </c>
      <c r="H153" s="295" t="s">
        <v>1936</v>
      </c>
    </row>
    <row r="154" customFormat="false" ht="54.75" hidden="false" customHeight="true" outlineLevel="0" collapsed="false">
      <c r="A154" s="83"/>
      <c r="B154" s="300"/>
      <c r="C154" s="296" t="s">
        <v>1937</v>
      </c>
      <c r="D154" s="292" t="s">
        <v>2098</v>
      </c>
      <c r="E154" s="292" t="s">
        <v>1939</v>
      </c>
      <c r="F154" s="292" t="s">
        <v>1940</v>
      </c>
      <c r="G154" s="292" t="s">
        <v>1941</v>
      </c>
      <c r="H154" s="292" t="s">
        <v>1942</v>
      </c>
    </row>
    <row r="155" customFormat="false" ht="54.75" hidden="false" customHeight="true" outlineLevel="0" collapsed="false">
      <c r="A155" s="83"/>
      <c r="B155" s="300"/>
      <c r="C155" s="297" t="s">
        <v>1943</v>
      </c>
      <c r="D155" s="295" t="s">
        <v>2099</v>
      </c>
      <c r="E155" s="295" t="s">
        <v>1945</v>
      </c>
      <c r="F155" s="295" t="s">
        <v>1946</v>
      </c>
      <c r="G155" s="295" t="s">
        <v>1947</v>
      </c>
      <c r="H155" s="295" t="s">
        <v>1948</v>
      </c>
    </row>
    <row r="156" customFormat="false" ht="54.75" hidden="false" customHeight="true" outlineLevel="0" collapsed="false">
      <c r="A156" s="83"/>
      <c r="B156" s="300"/>
      <c r="C156" s="298" t="s">
        <v>1949</v>
      </c>
      <c r="D156" s="292" t="s">
        <v>2100</v>
      </c>
      <c r="E156" s="292" t="s">
        <v>1951</v>
      </c>
      <c r="F156" s="292" t="s">
        <v>1952</v>
      </c>
      <c r="G156" s="292" t="s">
        <v>1953</v>
      </c>
      <c r="H156" s="292" t="s">
        <v>1954</v>
      </c>
    </row>
    <row r="157" customFormat="false" ht="54.75" hidden="false" customHeight="true" outlineLevel="0" collapsed="false">
      <c r="A157" s="83" t="n">
        <v>31</v>
      </c>
      <c r="B157" s="290" t="s">
        <v>286</v>
      </c>
      <c r="C157" s="291" t="s">
        <v>1926</v>
      </c>
      <c r="D157" s="292" t="s">
        <v>2101</v>
      </c>
      <c r="E157" s="292" t="s">
        <v>1928</v>
      </c>
      <c r="F157" s="292" t="s">
        <v>58</v>
      </c>
      <c r="G157" s="292" t="s">
        <v>1929</v>
      </c>
      <c r="H157" s="292" t="s">
        <v>1930</v>
      </c>
    </row>
    <row r="158" customFormat="false" ht="54.75" hidden="false" customHeight="true" outlineLevel="0" collapsed="false">
      <c r="A158" s="83"/>
      <c r="B158" s="293"/>
      <c r="C158" s="294" t="s">
        <v>1931</v>
      </c>
      <c r="D158" s="295" t="s">
        <v>2102</v>
      </c>
      <c r="E158" s="295" t="s">
        <v>1933</v>
      </c>
      <c r="F158" s="295" t="s">
        <v>1934</v>
      </c>
      <c r="G158" s="295" t="s">
        <v>1935</v>
      </c>
      <c r="H158" s="295" t="s">
        <v>1936</v>
      </c>
    </row>
    <row r="159" customFormat="false" ht="54.75" hidden="false" customHeight="true" outlineLevel="0" collapsed="false">
      <c r="A159" s="83"/>
      <c r="B159" s="293"/>
      <c r="C159" s="296" t="s">
        <v>1937</v>
      </c>
      <c r="D159" s="292" t="s">
        <v>2103</v>
      </c>
      <c r="E159" s="292" t="s">
        <v>1939</v>
      </c>
      <c r="F159" s="292" t="s">
        <v>1940</v>
      </c>
      <c r="G159" s="292" t="s">
        <v>1941</v>
      </c>
      <c r="H159" s="292" t="s">
        <v>1942</v>
      </c>
    </row>
    <row r="160" customFormat="false" ht="54.75" hidden="false" customHeight="true" outlineLevel="0" collapsed="false">
      <c r="A160" s="83"/>
      <c r="B160" s="293"/>
      <c r="C160" s="297" t="s">
        <v>1943</v>
      </c>
      <c r="D160" s="295" t="s">
        <v>2104</v>
      </c>
      <c r="E160" s="295" t="s">
        <v>1945</v>
      </c>
      <c r="F160" s="295" t="s">
        <v>1946</v>
      </c>
      <c r="G160" s="295" t="s">
        <v>1947</v>
      </c>
      <c r="H160" s="295" t="s">
        <v>1948</v>
      </c>
    </row>
    <row r="161" customFormat="false" ht="54.75" hidden="false" customHeight="true" outlineLevel="0" collapsed="false">
      <c r="A161" s="83"/>
      <c r="B161" s="293"/>
      <c r="C161" s="298" t="s">
        <v>1949</v>
      </c>
      <c r="D161" s="292" t="s">
        <v>2105</v>
      </c>
      <c r="E161" s="292" t="s">
        <v>1951</v>
      </c>
      <c r="F161" s="292" t="s">
        <v>1952</v>
      </c>
      <c r="G161" s="292" t="s">
        <v>1953</v>
      </c>
      <c r="H161" s="292" t="s">
        <v>1954</v>
      </c>
    </row>
    <row r="162" customFormat="false" ht="54.75" hidden="false" customHeight="true" outlineLevel="0" collapsed="false">
      <c r="A162" s="83" t="n">
        <v>32</v>
      </c>
      <c r="B162" s="299" t="s">
        <v>288</v>
      </c>
      <c r="C162" s="291" t="s">
        <v>1926</v>
      </c>
      <c r="D162" s="292" t="s">
        <v>2106</v>
      </c>
      <c r="E162" s="292" t="s">
        <v>1928</v>
      </c>
      <c r="F162" s="292" t="s">
        <v>58</v>
      </c>
      <c r="G162" s="292" t="s">
        <v>1929</v>
      </c>
      <c r="H162" s="292" t="s">
        <v>1930</v>
      </c>
    </row>
    <row r="163" customFormat="false" ht="54.75" hidden="false" customHeight="true" outlineLevel="0" collapsed="false">
      <c r="A163" s="83"/>
      <c r="B163" s="300"/>
      <c r="C163" s="294" t="s">
        <v>1931</v>
      </c>
      <c r="D163" s="295" t="s">
        <v>2107</v>
      </c>
      <c r="E163" s="295" t="s">
        <v>1933</v>
      </c>
      <c r="F163" s="295" t="s">
        <v>1934</v>
      </c>
      <c r="G163" s="295" t="s">
        <v>1935</v>
      </c>
      <c r="H163" s="295" t="s">
        <v>1936</v>
      </c>
    </row>
    <row r="164" customFormat="false" ht="54.75" hidden="false" customHeight="true" outlineLevel="0" collapsed="false">
      <c r="A164" s="83"/>
      <c r="B164" s="300"/>
      <c r="C164" s="296" t="s">
        <v>1937</v>
      </c>
      <c r="D164" s="292" t="s">
        <v>2108</v>
      </c>
      <c r="E164" s="292" t="s">
        <v>1939</v>
      </c>
      <c r="F164" s="292" t="s">
        <v>1940</v>
      </c>
      <c r="G164" s="292" t="s">
        <v>1941</v>
      </c>
      <c r="H164" s="292" t="s">
        <v>1942</v>
      </c>
    </row>
    <row r="165" customFormat="false" ht="54.75" hidden="false" customHeight="true" outlineLevel="0" collapsed="false">
      <c r="A165" s="83"/>
      <c r="B165" s="300"/>
      <c r="C165" s="297" t="s">
        <v>1943</v>
      </c>
      <c r="D165" s="295" t="s">
        <v>2109</v>
      </c>
      <c r="E165" s="295" t="s">
        <v>1945</v>
      </c>
      <c r="F165" s="295" t="s">
        <v>1946</v>
      </c>
      <c r="G165" s="295" t="s">
        <v>1947</v>
      </c>
      <c r="H165" s="295" t="s">
        <v>1948</v>
      </c>
    </row>
    <row r="166" customFormat="false" ht="54.75" hidden="false" customHeight="true" outlineLevel="0" collapsed="false">
      <c r="A166" s="83"/>
      <c r="B166" s="300"/>
      <c r="C166" s="298" t="s">
        <v>1949</v>
      </c>
      <c r="D166" s="292" t="s">
        <v>2110</v>
      </c>
      <c r="E166" s="292" t="s">
        <v>1951</v>
      </c>
      <c r="F166" s="292" t="s">
        <v>1952</v>
      </c>
      <c r="G166" s="292" t="s">
        <v>1953</v>
      </c>
      <c r="H166" s="292" t="s">
        <v>1954</v>
      </c>
    </row>
    <row r="167" customFormat="false" ht="54.75" hidden="false" customHeight="true" outlineLevel="0" collapsed="false">
      <c r="A167" s="83" t="n">
        <v>33</v>
      </c>
      <c r="B167" s="290" t="s">
        <v>289</v>
      </c>
      <c r="C167" s="291" t="s">
        <v>1926</v>
      </c>
      <c r="D167" s="292" t="s">
        <v>2111</v>
      </c>
      <c r="E167" s="292" t="s">
        <v>1928</v>
      </c>
      <c r="F167" s="292" t="s">
        <v>58</v>
      </c>
      <c r="G167" s="292" t="s">
        <v>1929</v>
      </c>
      <c r="H167" s="292" t="s">
        <v>1930</v>
      </c>
    </row>
    <row r="168" customFormat="false" ht="54.75" hidden="false" customHeight="true" outlineLevel="0" collapsed="false">
      <c r="A168" s="83"/>
      <c r="B168" s="293"/>
      <c r="C168" s="294" t="s">
        <v>1931</v>
      </c>
      <c r="D168" s="295" t="s">
        <v>2112</v>
      </c>
      <c r="E168" s="295" t="s">
        <v>1933</v>
      </c>
      <c r="F168" s="295" t="s">
        <v>1934</v>
      </c>
      <c r="G168" s="295" t="s">
        <v>1935</v>
      </c>
      <c r="H168" s="295" t="s">
        <v>1936</v>
      </c>
    </row>
    <row r="169" customFormat="false" ht="54.75" hidden="false" customHeight="true" outlineLevel="0" collapsed="false">
      <c r="A169" s="83"/>
      <c r="B169" s="293"/>
      <c r="C169" s="296" t="s">
        <v>1937</v>
      </c>
      <c r="D169" s="292" t="s">
        <v>2113</v>
      </c>
      <c r="E169" s="292" t="s">
        <v>1939</v>
      </c>
      <c r="F169" s="292" t="s">
        <v>1940</v>
      </c>
      <c r="G169" s="292" t="s">
        <v>1941</v>
      </c>
      <c r="H169" s="292" t="s">
        <v>1942</v>
      </c>
    </row>
    <row r="170" customFormat="false" ht="54.75" hidden="false" customHeight="true" outlineLevel="0" collapsed="false">
      <c r="A170" s="83"/>
      <c r="B170" s="293"/>
      <c r="C170" s="297" t="s">
        <v>1943</v>
      </c>
      <c r="D170" s="295" t="s">
        <v>2114</v>
      </c>
      <c r="E170" s="295" t="s">
        <v>1945</v>
      </c>
      <c r="F170" s="295" t="s">
        <v>1946</v>
      </c>
      <c r="G170" s="295" t="s">
        <v>1947</v>
      </c>
      <c r="H170" s="295" t="s">
        <v>1948</v>
      </c>
    </row>
    <row r="171" customFormat="false" ht="54.75" hidden="false" customHeight="true" outlineLevel="0" collapsed="false">
      <c r="A171" s="83"/>
      <c r="B171" s="293"/>
      <c r="C171" s="298" t="s">
        <v>1949</v>
      </c>
      <c r="D171" s="292" t="s">
        <v>2115</v>
      </c>
      <c r="E171" s="292" t="s">
        <v>1951</v>
      </c>
      <c r="F171" s="292" t="s">
        <v>1952</v>
      </c>
      <c r="G171" s="292" t="s">
        <v>1953</v>
      </c>
      <c r="H171" s="292" t="s">
        <v>1954</v>
      </c>
    </row>
    <row r="172" customFormat="false" ht="54.75" hidden="false" customHeight="true" outlineLevel="0" collapsed="false">
      <c r="A172" s="83" t="n">
        <v>34</v>
      </c>
      <c r="B172" s="299" t="s">
        <v>290</v>
      </c>
      <c r="C172" s="291" t="s">
        <v>1926</v>
      </c>
      <c r="D172" s="292" t="s">
        <v>2116</v>
      </c>
      <c r="E172" s="292" t="s">
        <v>1928</v>
      </c>
      <c r="F172" s="292" t="s">
        <v>58</v>
      </c>
      <c r="G172" s="292" t="s">
        <v>1929</v>
      </c>
      <c r="H172" s="292" t="s">
        <v>1930</v>
      </c>
    </row>
    <row r="173" customFormat="false" ht="54.75" hidden="false" customHeight="true" outlineLevel="0" collapsed="false">
      <c r="A173" s="83"/>
      <c r="B173" s="300"/>
      <c r="C173" s="294" t="s">
        <v>1931</v>
      </c>
      <c r="D173" s="295" t="s">
        <v>2117</v>
      </c>
      <c r="E173" s="295" t="s">
        <v>1933</v>
      </c>
      <c r="F173" s="295" t="s">
        <v>1934</v>
      </c>
      <c r="G173" s="295" t="s">
        <v>1935</v>
      </c>
      <c r="H173" s="295" t="s">
        <v>1936</v>
      </c>
    </row>
    <row r="174" customFormat="false" ht="54.75" hidden="false" customHeight="true" outlineLevel="0" collapsed="false">
      <c r="A174" s="83"/>
      <c r="B174" s="300"/>
      <c r="C174" s="296" t="s">
        <v>1937</v>
      </c>
      <c r="D174" s="292" t="s">
        <v>2118</v>
      </c>
      <c r="E174" s="292" t="s">
        <v>1939</v>
      </c>
      <c r="F174" s="292" t="s">
        <v>1940</v>
      </c>
      <c r="G174" s="292" t="s">
        <v>1941</v>
      </c>
      <c r="H174" s="292" t="s">
        <v>1942</v>
      </c>
    </row>
    <row r="175" customFormat="false" ht="54.75" hidden="false" customHeight="true" outlineLevel="0" collapsed="false">
      <c r="A175" s="83"/>
      <c r="B175" s="300"/>
      <c r="C175" s="297" t="s">
        <v>1943</v>
      </c>
      <c r="D175" s="295" t="s">
        <v>2119</v>
      </c>
      <c r="E175" s="295" t="s">
        <v>1945</v>
      </c>
      <c r="F175" s="295" t="s">
        <v>1946</v>
      </c>
      <c r="G175" s="295" t="s">
        <v>1947</v>
      </c>
      <c r="H175" s="295" t="s">
        <v>1948</v>
      </c>
    </row>
    <row r="176" customFormat="false" ht="54.75" hidden="false" customHeight="true" outlineLevel="0" collapsed="false">
      <c r="A176" s="83"/>
      <c r="B176" s="300"/>
      <c r="C176" s="298" t="s">
        <v>1949</v>
      </c>
      <c r="D176" s="292" t="s">
        <v>2120</v>
      </c>
      <c r="E176" s="292" t="s">
        <v>1951</v>
      </c>
      <c r="F176" s="292" t="s">
        <v>1952</v>
      </c>
      <c r="G176" s="292" t="s">
        <v>1953</v>
      </c>
      <c r="H176" s="292" t="s">
        <v>1954</v>
      </c>
    </row>
    <row r="177" customFormat="false" ht="54.75" hidden="false" customHeight="true" outlineLevel="0" collapsed="false">
      <c r="A177" s="83" t="n">
        <v>35</v>
      </c>
      <c r="B177" s="290" t="s">
        <v>291</v>
      </c>
      <c r="C177" s="291" t="s">
        <v>1926</v>
      </c>
      <c r="D177" s="292" t="s">
        <v>2121</v>
      </c>
      <c r="E177" s="292" t="s">
        <v>1928</v>
      </c>
      <c r="F177" s="292" t="s">
        <v>58</v>
      </c>
      <c r="G177" s="292" t="s">
        <v>1929</v>
      </c>
      <c r="H177" s="292" t="s">
        <v>1930</v>
      </c>
    </row>
    <row r="178" customFormat="false" ht="54.75" hidden="false" customHeight="true" outlineLevel="0" collapsed="false">
      <c r="A178" s="83"/>
      <c r="B178" s="293"/>
      <c r="C178" s="294" t="s">
        <v>1931</v>
      </c>
      <c r="D178" s="295" t="s">
        <v>2122</v>
      </c>
      <c r="E178" s="295" t="s">
        <v>1933</v>
      </c>
      <c r="F178" s="295" t="s">
        <v>1934</v>
      </c>
      <c r="G178" s="295" t="s">
        <v>1935</v>
      </c>
      <c r="H178" s="295" t="s">
        <v>1936</v>
      </c>
    </row>
    <row r="179" customFormat="false" ht="54.75" hidden="false" customHeight="true" outlineLevel="0" collapsed="false">
      <c r="A179" s="83"/>
      <c r="B179" s="293"/>
      <c r="C179" s="296" t="s">
        <v>1937</v>
      </c>
      <c r="D179" s="292" t="s">
        <v>2123</v>
      </c>
      <c r="E179" s="292" t="s">
        <v>1939</v>
      </c>
      <c r="F179" s="292" t="s">
        <v>1940</v>
      </c>
      <c r="G179" s="292" t="s">
        <v>1941</v>
      </c>
      <c r="H179" s="292" t="s">
        <v>1942</v>
      </c>
    </row>
    <row r="180" customFormat="false" ht="54.75" hidden="false" customHeight="true" outlineLevel="0" collapsed="false">
      <c r="A180" s="83"/>
      <c r="B180" s="293"/>
      <c r="C180" s="297" t="s">
        <v>1943</v>
      </c>
      <c r="D180" s="295" t="s">
        <v>2124</v>
      </c>
      <c r="E180" s="295" t="s">
        <v>1945</v>
      </c>
      <c r="F180" s="295" t="s">
        <v>1946</v>
      </c>
      <c r="G180" s="295" t="s">
        <v>1947</v>
      </c>
      <c r="H180" s="295" t="s">
        <v>1948</v>
      </c>
    </row>
    <row r="181" customFormat="false" ht="54.75" hidden="false" customHeight="true" outlineLevel="0" collapsed="false">
      <c r="A181" s="83"/>
      <c r="B181" s="293"/>
      <c r="C181" s="298" t="s">
        <v>1949</v>
      </c>
      <c r="D181" s="292" t="s">
        <v>2125</v>
      </c>
      <c r="E181" s="292" t="s">
        <v>1951</v>
      </c>
      <c r="F181" s="292" t="s">
        <v>1952</v>
      </c>
      <c r="G181" s="292" t="s">
        <v>1953</v>
      </c>
      <c r="H181" s="292" t="s">
        <v>1954</v>
      </c>
    </row>
    <row r="182" customFormat="false" ht="54.75" hidden="false" customHeight="true" outlineLevel="0" collapsed="false">
      <c r="A182" s="83" t="n">
        <v>36</v>
      </c>
      <c r="B182" s="299" t="s">
        <v>292</v>
      </c>
      <c r="C182" s="291" t="s">
        <v>1926</v>
      </c>
      <c r="D182" s="292" t="s">
        <v>2126</v>
      </c>
      <c r="E182" s="292" t="s">
        <v>1928</v>
      </c>
      <c r="F182" s="292" t="s">
        <v>58</v>
      </c>
      <c r="G182" s="292" t="s">
        <v>1929</v>
      </c>
      <c r="H182" s="292" t="s">
        <v>1930</v>
      </c>
    </row>
    <row r="183" customFormat="false" ht="54.75" hidden="false" customHeight="true" outlineLevel="0" collapsed="false">
      <c r="A183" s="83"/>
      <c r="B183" s="300"/>
      <c r="C183" s="294" t="s">
        <v>1931</v>
      </c>
      <c r="D183" s="295" t="s">
        <v>2127</v>
      </c>
      <c r="E183" s="295" t="s">
        <v>1933</v>
      </c>
      <c r="F183" s="295" t="s">
        <v>1934</v>
      </c>
      <c r="G183" s="295" t="s">
        <v>1935</v>
      </c>
      <c r="H183" s="295" t="s">
        <v>1936</v>
      </c>
    </row>
    <row r="184" customFormat="false" ht="54.75" hidden="false" customHeight="true" outlineLevel="0" collapsed="false">
      <c r="A184" s="83"/>
      <c r="B184" s="300"/>
      <c r="C184" s="296" t="s">
        <v>1937</v>
      </c>
      <c r="D184" s="292" t="s">
        <v>2128</v>
      </c>
      <c r="E184" s="292" t="s">
        <v>1939</v>
      </c>
      <c r="F184" s="292" t="s">
        <v>1940</v>
      </c>
      <c r="G184" s="292" t="s">
        <v>1941</v>
      </c>
      <c r="H184" s="292" t="s">
        <v>1942</v>
      </c>
    </row>
    <row r="185" customFormat="false" ht="54.75" hidden="false" customHeight="true" outlineLevel="0" collapsed="false">
      <c r="A185" s="83"/>
      <c r="B185" s="300"/>
      <c r="C185" s="297" t="s">
        <v>1943</v>
      </c>
      <c r="D185" s="295" t="s">
        <v>2129</v>
      </c>
      <c r="E185" s="295" t="s">
        <v>1945</v>
      </c>
      <c r="F185" s="295" t="s">
        <v>1946</v>
      </c>
      <c r="G185" s="295" t="s">
        <v>1947</v>
      </c>
      <c r="H185" s="295" t="s">
        <v>1948</v>
      </c>
    </row>
    <row r="186" customFormat="false" ht="54.75" hidden="false" customHeight="true" outlineLevel="0" collapsed="false">
      <c r="A186" s="83"/>
      <c r="B186" s="300"/>
      <c r="C186" s="298" t="s">
        <v>1949</v>
      </c>
      <c r="D186" s="292" t="s">
        <v>2130</v>
      </c>
      <c r="E186" s="292" t="s">
        <v>1951</v>
      </c>
      <c r="F186" s="292" t="s">
        <v>1952</v>
      </c>
      <c r="G186" s="292" t="s">
        <v>1953</v>
      </c>
      <c r="H186" s="292" t="s">
        <v>1954</v>
      </c>
    </row>
    <row r="187" customFormat="false" ht="54.75" hidden="false" customHeight="true" outlineLevel="0" collapsed="false">
      <c r="A187" s="83" t="n">
        <v>37</v>
      </c>
      <c r="B187" s="290" t="s">
        <v>293</v>
      </c>
      <c r="C187" s="291" t="s">
        <v>1926</v>
      </c>
      <c r="D187" s="292" t="s">
        <v>2131</v>
      </c>
      <c r="E187" s="292" t="s">
        <v>1928</v>
      </c>
      <c r="F187" s="292" t="s">
        <v>58</v>
      </c>
      <c r="G187" s="292" t="s">
        <v>1929</v>
      </c>
      <c r="H187" s="292" t="s">
        <v>1930</v>
      </c>
    </row>
    <row r="188" customFormat="false" ht="54.75" hidden="false" customHeight="true" outlineLevel="0" collapsed="false">
      <c r="A188" s="83"/>
      <c r="B188" s="293"/>
      <c r="C188" s="294" t="s">
        <v>1931</v>
      </c>
      <c r="D188" s="295" t="s">
        <v>2127</v>
      </c>
      <c r="E188" s="295" t="s">
        <v>1933</v>
      </c>
      <c r="F188" s="295" t="s">
        <v>1934</v>
      </c>
      <c r="G188" s="295" t="s">
        <v>1935</v>
      </c>
      <c r="H188" s="295" t="s">
        <v>1936</v>
      </c>
    </row>
    <row r="189" customFormat="false" ht="54.75" hidden="false" customHeight="true" outlineLevel="0" collapsed="false">
      <c r="A189" s="83"/>
      <c r="B189" s="293"/>
      <c r="C189" s="296" t="s">
        <v>1937</v>
      </c>
      <c r="D189" s="292" t="s">
        <v>2132</v>
      </c>
      <c r="E189" s="292" t="s">
        <v>1939</v>
      </c>
      <c r="F189" s="292" t="s">
        <v>1940</v>
      </c>
      <c r="G189" s="292" t="s">
        <v>1941</v>
      </c>
      <c r="H189" s="292" t="s">
        <v>1942</v>
      </c>
    </row>
    <row r="190" customFormat="false" ht="54.75" hidden="false" customHeight="true" outlineLevel="0" collapsed="false">
      <c r="A190" s="83"/>
      <c r="B190" s="293"/>
      <c r="C190" s="297" t="s">
        <v>1943</v>
      </c>
      <c r="D190" s="295" t="s">
        <v>2133</v>
      </c>
      <c r="E190" s="295" t="s">
        <v>1945</v>
      </c>
      <c r="F190" s="295" t="s">
        <v>1946</v>
      </c>
      <c r="G190" s="295" t="s">
        <v>1947</v>
      </c>
      <c r="H190" s="295" t="s">
        <v>1948</v>
      </c>
    </row>
    <row r="191" customFormat="false" ht="54.75" hidden="false" customHeight="true" outlineLevel="0" collapsed="false">
      <c r="A191" s="83"/>
      <c r="B191" s="293"/>
      <c r="C191" s="298" t="s">
        <v>1949</v>
      </c>
      <c r="D191" s="292" t="s">
        <v>2134</v>
      </c>
      <c r="E191" s="292" t="s">
        <v>1951</v>
      </c>
      <c r="F191" s="292" t="s">
        <v>1952</v>
      </c>
      <c r="G191" s="292" t="s">
        <v>1953</v>
      </c>
      <c r="H191" s="292" t="s">
        <v>1954</v>
      </c>
    </row>
    <row r="192" customFormat="false" ht="54.75" hidden="false" customHeight="true" outlineLevel="0" collapsed="false">
      <c r="A192" s="83" t="n">
        <v>38</v>
      </c>
      <c r="B192" s="299" t="s">
        <v>294</v>
      </c>
      <c r="C192" s="291" t="s">
        <v>1926</v>
      </c>
      <c r="D192" s="292" t="s">
        <v>2135</v>
      </c>
      <c r="E192" s="292" t="s">
        <v>1928</v>
      </c>
      <c r="F192" s="292" t="s">
        <v>58</v>
      </c>
      <c r="G192" s="292" t="s">
        <v>1929</v>
      </c>
      <c r="H192" s="292" t="s">
        <v>1930</v>
      </c>
    </row>
    <row r="193" customFormat="false" ht="54.75" hidden="false" customHeight="true" outlineLevel="0" collapsed="false">
      <c r="A193" s="83"/>
      <c r="B193" s="300"/>
      <c r="C193" s="294" t="s">
        <v>1931</v>
      </c>
      <c r="D193" s="295" t="s">
        <v>2127</v>
      </c>
      <c r="E193" s="295" t="s">
        <v>1933</v>
      </c>
      <c r="F193" s="295" t="s">
        <v>1934</v>
      </c>
      <c r="G193" s="295" t="s">
        <v>1935</v>
      </c>
      <c r="H193" s="295" t="s">
        <v>1936</v>
      </c>
    </row>
    <row r="194" customFormat="false" ht="54.75" hidden="false" customHeight="true" outlineLevel="0" collapsed="false">
      <c r="A194" s="83"/>
      <c r="B194" s="300"/>
      <c r="C194" s="296" t="s">
        <v>1937</v>
      </c>
      <c r="D194" s="292" t="s">
        <v>2136</v>
      </c>
      <c r="E194" s="292" t="s">
        <v>1939</v>
      </c>
      <c r="F194" s="292" t="s">
        <v>1940</v>
      </c>
      <c r="G194" s="292" t="s">
        <v>1941</v>
      </c>
      <c r="H194" s="292" t="s">
        <v>1942</v>
      </c>
    </row>
    <row r="195" customFormat="false" ht="54.75" hidden="false" customHeight="true" outlineLevel="0" collapsed="false">
      <c r="A195" s="83"/>
      <c r="B195" s="300"/>
      <c r="C195" s="297" t="s">
        <v>1943</v>
      </c>
      <c r="D195" s="295" t="s">
        <v>2137</v>
      </c>
      <c r="E195" s="295" t="s">
        <v>1945</v>
      </c>
      <c r="F195" s="295" t="s">
        <v>1946</v>
      </c>
      <c r="G195" s="295" t="s">
        <v>1947</v>
      </c>
      <c r="H195" s="295" t="s">
        <v>1948</v>
      </c>
    </row>
    <row r="196" customFormat="false" ht="54.75" hidden="false" customHeight="true" outlineLevel="0" collapsed="false">
      <c r="A196" s="83"/>
      <c r="B196" s="300"/>
      <c r="C196" s="298" t="s">
        <v>1949</v>
      </c>
      <c r="D196" s="292" t="s">
        <v>2138</v>
      </c>
      <c r="E196" s="292" t="s">
        <v>1951</v>
      </c>
      <c r="F196" s="292" t="s">
        <v>1952</v>
      </c>
      <c r="G196" s="292" t="s">
        <v>1953</v>
      </c>
      <c r="H196" s="292" t="s">
        <v>1954</v>
      </c>
    </row>
    <row r="197" customFormat="false" ht="54.75" hidden="false" customHeight="true" outlineLevel="0" collapsed="false">
      <c r="A197" s="83" t="n">
        <v>39</v>
      </c>
      <c r="B197" s="290" t="s">
        <v>295</v>
      </c>
      <c r="C197" s="291" t="s">
        <v>1926</v>
      </c>
      <c r="D197" s="292" t="s">
        <v>2139</v>
      </c>
      <c r="E197" s="292" t="s">
        <v>1928</v>
      </c>
      <c r="F197" s="292" t="s">
        <v>58</v>
      </c>
      <c r="G197" s="292" t="s">
        <v>1929</v>
      </c>
      <c r="H197" s="292" t="s">
        <v>1930</v>
      </c>
    </row>
    <row r="198" customFormat="false" ht="54.75" hidden="false" customHeight="true" outlineLevel="0" collapsed="false">
      <c r="A198" s="83"/>
      <c r="B198" s="293"/>
      <c r="C198" s="294" t="s">
        <v>1931</v>
      </c>
      <c r="D198" s="295" t="s">
        <v>2127</v>
      </c>
      <c r="E198" s="295" t="s">
        <v>1933</v>
      </c>
      <c r="F198" s="295" t="s">
        <v>1934</v>
      </c>
      <c r="G198" s="295" t="s">
        <v>1935</v>
      </c>
      <c r="H198" s="295" t="s">
        <v>1936</v>
      </c>
    </row>
    <row r="199" customFormat="false" ht="54.75" hidden="false" customHeight="true" outlineLevel="0" collapsed="false">
      <c r="A199" s="83"/>
      <c r="B199" s="293"/>
      <c r="C199" s="296" t="s">
        <v>1937</v>
      </c>
      <c r="D199" s="292" t="s">
        <v>2140</v>
      </c>
      <c r="E199" s="292" t="s">
        <v>1939</v>
      </c>
      <c r="F199" s="292" t="s">
        <v>1940</v>
      </c>
      <c r="G199" s="292" t="s">
        <v>1941</v>
      </c>
      <c r="H199" s="292" t="s">
        <v>1942</v>
      </c>
    </row>
    <row r="200" customFormat="false" ht="54.75" hidden="false" customHeight="true" outlineLevel="0" collapsed="false">
      <c r="A200" s="83"/>
      <c r="B200" s="293"/>
      <c r="C200" s="297" t="s">
        <v>1943</v>
      </c>
      <c r="D200" s="295" t="s">
        <v>2141</v>
      </c>
      <c r="E200" s="295" t="s">
        <v>1945</v>
      </c>
      <c r="F200" s="295" t="s">
        <v>1946</v>
      </c>
      <c r="G200" s="295" t="s">
        <v>1947</v>
      </c>
      <c r="H200" s="295" t="s">
        <v>1948</v>
      </c>
    </row>
    <row r="201" customFormat="false" ht="54.75" hidden="false" customHeight="true" outlineLevel="0" collapsed="false">
      <c r="A201" s="83"/>
      <c r="B201" s="293"/>
      <c r="C201" s="298" t="s">
        <v>1949</v>
      </c>
      <c r="D201" s="292" t="s">
        <v>2142</v>
      </c>
      <c r="E201" s="292" t="s">
        <v>1951</v>
      </c>
      <c r="F201" s="292" t="s">
        <v>1952</v>
      </c>
      <c r="G201" s="292" t="s">
        <v>1953</v>
      </c>
      <c r="H201" s="292" t="s">
        <v>1954</v>
      </c>
    </row>
    <row r="202" customFormat="false" ht="54.75" hidden="false" customHeight="true" outlineLevel="0" collapsed="false">
      <c r="A202" s="83" t="n">
        <v>40</v>
      </c>
      <c r="B202" s="299" t="s">
        <v>296</v>
      </c>
      <c r="C202" s="291" t="s">
        <v>1926</v>
      </c>
      <c r="D202" s="292" t="s">
        <v>2143</v>
      </c>
      <c r="E202" s="292" t="s">
        <v>1928</v>
      </c>
      <c r="F202" s="292" t="s">
        <v>58</v>
      </c>
      <c r="G202" s="292" t="s">
        <v>1929</v>
      </c>
      <c r="H202" s="292" t="s">
        <v>1930</v>
      </c>
    </row>
    <row r="203" customFormat="false" ht="54.75" hidden="false" customHeight="true" outlineLevel="0" collapsed="false">
      <c r="A203" s="83"/>
      <c r="B203" s="300"/>
      <c r="C203" s="294" t="s">
        <v>1931</v>
      </c>
      <c r="D203" s="295" t="s">
        <v>2127</v>
      </c>
      <c r="E203" s="295" t="s">
        <v>1933</v>
      </c>
      <c r="F203" s="295" t="s">
        <v>1934</v>
      </c>
      <c r="G203" s="295" t="s">
        <v>1935</v>
      </c>
      <c r="H203" s="295" t="s">
        <v>1936</v>
      </c>
    </row>
    <row r="204" customFormat="false" ht="54.75" hidden="false" customHeight="true" outlineLevel="0" collapsed="false">
      <c r="A204" s="83"/>
      <c r="B204" s="300"/>
      <c r="C204" s="296" t="s">
        <v>1937</v>
      </c>
      <c r="D204" s="292" t="s">
        <v>2144</v>
      </c>
      <c r="E204" s="292" t="s">
        <v>1939</v>
      </c>
      <c r="F204" s="292" t="s">
        <v>1940</v>
      </c>
      <c r="G204" s="292" t="s">
        <v>1941</v>
      </c>
      <c r="H204" s="292" t="s">
        <v>1942</v>
      </c>
    </row>
    <row r="205" customFormat="false" ht="54.75" hidden="false" customHeight="true" outlineLevel="0" collapsed="false">
      <c r="A205" s="83"/>
      <c r="B205" s="300"/>
      <c r="C205" s="297" t="s">
        <v>1943</v>
      </c>
      <c r="D205" s="295" t="s">
        <v>2145</v>
      </c>
      <c r="E205" s="295" t="s">
        <v>1945</v>
      </c>
      <c r="F205" s="295" t="s">
        <v>1946</v>
      </c>
      <c r="G205" s="295" t="s">
        <v>1947</v>
      </c>
      <c r="H205" s="295" t="s">
        <v>1948</v>
      </c>
    </row>
    <row r="206" customFormat="false" ht="54.75" hidden="false" customHeight="true" outlineLevel="0" collapsed="false">
      <c r="A206" s="83"/>
      <c r="B206" s="300"/>
      <c r="C206" s="298" t="s">
        <v>1949</v>
      </c>
      <c r="D206" s="292" t="s">
        <v>2146</v>
      </c>
      <c r="E206" s="292" t="s">
        <v>1951</v>
      </c>
      <c r="F206" s="292" t="s">
        <v>1952</v>
      </c>
      <c r="G206" s="292" t="s">
        <v>1953</v>
      </c>
      <c r="H206" s="292" t="s">
        <v>1954</v>
      </c>
    </row>
    <row r="207" customFormat="false" ht="54.75" hidden="false" customHeight="true" outlineLevel="0" collapsed="false">
      <c r="A207" s="83" t="n">
        <v>41</v>
      </c>
      <c r="B207" s="290" t="s">
        <v>297</v>
      </c>
      <c r="C207" s="291" t="s">
        <v>1926</v>
      </c>
      <c r="D207" s="292" t="s">
        <v>2147</v>
      </c>
      <c r="E207" s="292" t="s">
        <v>1928</v>
      </c>
      <c r="F207" s="292" t="s">
        <v>58</v>
      </c>
      <c r="G207" s="292" t="s">
        <v>1929</v>
      </c>
      <c r="H207" s="292" t="s">
        <v>1930</v>
      </c>
    </row>
    <row r="208" customFormat="false" ht="54.75" hidden="false" customHeight="true" outlineLevel="0" collapsed="false">
      <c r="A208" s="83"/>
      <c r="B208" s="293"/>
      <c r="C208" s="294" t="s">
        <v>1931</v>
      </c>
      <c r="D208" s="295" t="s">
        <v>2148</v>
      </c>
      <c r="E208" s="295" t="s">
        <v>1933</v>
      </c>
      <c r="F208" s="295" t="s">
        <v>1934</v>
      </c>
      <c r="G208" s="295" t="s">
        <v>1935</v>
      </c>
      <c r="H208" s="295" t="s">
        <v>1936</v>
      </c>
    </row>
    <row r="209" customFormat="false" ht="54.75" hidden="false" customHeight="true" outlineLevel="0" collapsed="false">
      <c r="A209" s="83"/>
      <c r="B209" s="293"/>
      <c r="C209" s="296" t="s">
        <v>1937</v>
      </c>
      <c r="D209" s="292" t="s">
        <v>2149</v>
      </c>
      <c r="E209" s="292" t="s">
        <v>1939</v>
      </c>
      <c r="F209" s="292" t="s">
        <v>1940</v>
      </c>
      <c r="G209" s="292" t="s">
        <v>1941</v>
      </c>
      <c r="H209" s="292" t="s">
        <v>1942</v>
      </c>
    </row>
    <row r="210" customFormat="false" ht="54.75" hidden="false" customHeight="true" outlineLevel="0" collapsed="false">
      <c r="A210" s="83"/>
      <c r="B210" s="293"/>
      <c r="C210" s="297" t="s">
        <v>1943</v>
      </c>
      <c r="D210" s="295" t="s">
        <v>2150</v>
      </c>
      <c r="E210" s="295" t="s">
        <v>1945</v>
      </c>
      <c r="F210" s="295" t="s">
        <v>1946</v>
      </c>
      <c r="G210" s="295" t="s">
        <v>1947</v>
      </c>
      <c r="H210" s="295" t="s">
        <v>1948</v>
      </c>
    </row>
    <row r="211" customFormat="false" ht="54.75" hidden="false" customHeight="true" outlineLevel="0" collapsed="false">
      <c r="A211" s="83"/>
      <c r="B211" s="293"/>
      <c r="C211" s="298" t="s">
        <v>1949</v>
      </c>
      <c r="D211" s="292" t="s">
        <v>2151</v>
      </c>
      <c r="E211" s="292" t="s">
        <v>1951</v>
      </c>
      <c r="F211" s="292" t="s">
        <v>1952</v>
      </c>
      <c r="G211" s="292" t="s">
        <v>1953</v>
      </c>
      <c r="H211" s="292" t="s">
        <v>1954</v>
      </c>
    </row>
    <row r="212" customFormat="false" ht="54.75" hidden="false" customHeight="true" outlineLevel="0" collapsed="false">
      <c r="A212" s="83" t="n">
        <v>42</v>
      </c>
      <c r="B212" s="299" t="s">
        <v>298</v>
      </c>
      <c r="C212" s="291" t="s">
        <v>1926</v>
      </c>
      <c r="D212" s="292" t="s">
        <v>2152</v>
      </c>
      <c r="E212" s="292" t="s">
        <v>1928</v>
      </c>
      <c r="F212" s="292" t="s">
        <v>58</v>
      </c>
      <c r="G212" s="292" t="s">
        <v>1929</v>
      </c>
      <c r="H212" s="292" t="s">
        <v>1930</v>
      </c>
    </row>
    <row r="213" customFormat="false" ht="54.75" hidden="false" customHeight="true" outlineLevel="0" collapsed="false">
      <c r="A213" s="83"/>
      <c r="B213" s="300"/>
      <c r="C213" s="294" t="s">
        <v>1931</v>
      </c>
      <c r="D213" s="295" t="s">
        <v>2153</v>
      </c>
      <c r="E213" s="295" t="s">
        <v>1933</v>
      </c>
      <c r="F213" s="295" t="s">
        <v>1934</v>
      </c>
      <c r="G213" s="295" t="s">
        <v>1935</v>
      </c>
      <c r="H213" s="295" t="s">
        <v>1936</v>
      </c>
    </row>
    <row r="214" customFormat="false" ht="54.75" hidden="false" customHeight="true" outlineLevel="0" collapsed="false">
      <c r="A214" s="83"/>
      <c r="B214" s="300"/>
      <c r="C214" s="296" t="s">
        <v>1937</v>
      </c>
      <c r="D214" s="292" t="s">
        <v>2154</v>
      </c>
      <c r="E214" s="292" t="s">
        <v>1939</v>
      </c>
      <c r="F214" s="292" t="s">
        <v>1940</v>
      </c>
      <c r="G214" s="292" t="s">
        <v>1941</v>
      </c>
      <c r="H214" s="292" t="s">
        <v>1942</v>
      </c>
    </row>
    <row r="215" customFormat="false" ht="54.75" hidden="false" customHeight="true" outlineLevel="0" collapsed="false">
      <c r="A215" s="83"/>
      <c r="B215" s="300"/>
      <c r="C215" s="297" t="s">
        <v>1943</v>
      </c>
      <c r="D215" s="295" t="s">
        <v>2155</v>
      </c>
      <c r="E215" s="295" t="s">
        <v>1945</v>
      </c>
      <c r="F215" s="295" t="s">
        <v>1946</v>
      </c>
      <c r="G215" s="295" t="s">
        <v>1947</v>
      </c>
      <c r="H215" s="295" t="s">
        <v>1948</v>
      </c>
    </row>
    <row r="216" customFormat="false" ht="54.75" hidden="false" customHeight="true" outlineLevel="0" collapsed="false">
      <c r="A216" s="83"/>
      <c r="B216" s="300"/>
      <c r="C216" s="298" t="s">
        <v>1949</v>
      </c>
      <c r="D216" s="292" t="s">
        <v>2156</v>
      </c>
      <c r="E216" s="292" t="s">
        <v>1951</v>
      </c>
      <c r="F216" s="292" t="s">
        <v>1952</v>
      </c>
      <c r="G216" s="292" t="s">
        <v>1953</v>
      </c>
      <c r="H216" s="292" t="s">
        <v>1954</v>
      </c>
    </row>
    <row r="217" customFormat="false" ht="54.75" hidden="false" customHeight="true" outlineLevel="0" collapsed="false">
      <c r="A217" s="83" t="n">
        <v>43</v>
      </c>
      <c r="B217" s="290" t="s">
        <v>300</v>
      </c>
      <c r="C217" s="291" t="s">
        <v>1926</v>
      </c>
      <c r="D217" s="292" t="s">
        <v>2157</v>
      </c>
      <c r="E217" s="292" t="s">
        <v>1928</v>
      </c>
      <c r="F217" s="292" t="s">
        <v>58</v>
      </c>
      <c r="G217" s="292" t="s">
        <v>1929</v>
      </c>
      <c r="H217" s="292" t="s">
        <v>1930</v>
      </c>
    </row>
    <row r="218" customFormat="false" ht="54.75" hidden="false" customHeight="true" outlineLevel="0" collapsed="false">
      <c r="A218" s="83"/>
      <c r="B218" s="293"/>
      <c r="C218" s="294" t="s">
        <v>1931</v>
      </c>
      <c r="D218" s="295" t="s">
        <v>2158</v>
      </c>
      <c r="E218" s="295" t="s">
        <v>1933</v>
      </c>
      <c r="F218" s="295" t="s">
        <v>1934</v>
      </c>
      <c r="G218" s="295" t="s">
        <v>1935</v>
      </c>
      <c r="H218" s="295" t="s">
        <v>1936</v>
      </c>
    </row>
    <row r="219" customFormat="false" ht="54.75" hidden="false" customHeight="true" outlineLevel="0" collapsed="false">
      <c r="A219" s="83"/>
      <c r="B219" s="293"/>
      <c r="C219" s="296" t="s">
        <v>1937</v>
      </c>
      <c r="D219" s="292" t="s">
        <v>2159</v>
      </c>
      <c r="E219" s="292" t="s">
        <v>1939</v>
      </c>
      <c r="F219" s="292" t="s">
        <v>1940</v>
      </c>
      <c r="G219" s="292" t="s">
        <v>1941</v>
      </c>
      <c r="H219" s="292" t="s">
        <v>1942</v>
      </c>
    </row>
    <row r="220" customFormat="false" ht="54.75" hidden="false" customHeight="true" outlineLevel="0" collapsed="false">
      <c r="A220" s="83"/>
      <c r="B220" s="293"/>
      <c r="C220" s="297" t="s">
        <v>1943</v>
      </c>
      <c r="D220" s="295" t="s">
        <v>2160</v>
      </c>
      <c r="E220" s="295" t="s">
        <v>1945</v>
      </c>
      <c r="F220" s="295" t="s">
        <v>1946</v>
      </c>
      <c r="G220" s="295" t="s">
        <v>1947</v>
      </c>
      <c r="H220" s="295" t="s">
        <v>1948</v>
      </c>
    </row>
    <row r="221" customFormat="false" ht="54.75" hidden="false" customHeight="true" outlineLevel="0" collapsed="false">
      <c r="A221" s="83"/>
      <c r="B221" s="293"/>
      <c r="C221" s="298" t="s">
        <v>1949</v>
      </c>
      <c r="D221" s="292" t="s">
        <v>2161</v>
      </c>
      <c r="E221" s="292" t="s">
        <v>1951</v>
      </c>
      <c r="F221" s="292" t="s">
        <v>1952</v>
      </c>
      <c r="G221" s="292" t="s">
        <v>1953</v>
      </c>
      <c r="H221" s="292" t="s">
        <v>1954</v>
      </c>
    </row>
    <row r="222" customFormat="false" ht="54.75" hidden="false" customHeight="true" outlineLevel="0" collapsed="false">
      <c r="A222" s="83" t="n">
        <v>44</v>
      </c>
      <c r="B222" s="299" t="s">
        <v>301</v>
      </c>
      <c r="C222" s="291" t="s">
        <v>1926</v>
      </c>
      <c r="D222" s="292" t="s">
        <v>2162</v>
      </c>
      <c r="E222" s="292" t="s">
        <v>1928</v>
      </c>
      <c r="F222" s="292" t="s">
        <v>58</v>
      </c>
      <c r="G222" s="292" t="s">
        <v>1929</v>
      </c>
      <c r="H222" s="292" t="s">
        <v>1930</v>
      </c>
    </row>
    <row r="223" customFormat="false" ht="54.75" hidden="false" customHeight="true" outlineLevel="0" collapsed="false">
      <c r="A223" s="83"/>
      <c r="B223" s="300"/>
      <c r="C223" s="294" t="s">
        <v>1931</v>
      </c>
      <c r="D223" s="295" t="s">
        <v>2163</v>
      </c>
      <c r="E223" s="295" t="s">
        <v>1933</v>
      </c>
      <c r="F223" s="295" t="s">
        <v>1934</v>
      </c>
      <c r="G223" s="295" t="s">
        <v>1935</v>
      </c>
      <c r="H223" s="295" t="s">
        <v>1936</v>
      </c>
    </row>
    <row r="224" customFormat="false" ht="54.75" hidden="false" customHeight="true" outlineLevel="0" collapsed="false">
      <c r="A224" s="83"/>
      <c r="B224" s="300"/>
      <c r="C224" s="296" t="s">
        <v>1937</v>
      </c>
      <c r="D224" s="292" t="s">
        <v>2164</v>
      </c>
      <c r="E224" s="292" t="s">
        <v>1939</v>
      </c>
      <c r="F224" s="292" t="s">
        <v>1940</v>
      </c>
      <c r="G224" s="292" t="s">
        <v>1941</v>
      </c>
      <c r="H224" s="292" t="s">
        <v>1942</v>
      </c>
    </row>
    <row r="225" customFormat="false" ht="54.75" hidden="false" customHeight="true" outlineLevel="0" collapsed="false">
      <c r="A225" s="83"/>
      <c r="B225" s="300"/>
      <c r="C225" s="297" t="s">
        <v>1943</v>
      </c>
      <c r="D225" s="295" t="s">
        <v>2165</v>
      </c>
      <c r="E225" s="295" t="s">
        <v>1945</v>
      </c>
      <c r="F225" s="295" t="s">
        <v>1946</v>
      </c>
      <c r="G225" s="295" t="s">
        <v>1947</v>
      </c>
      <c r="H225" s="295" t="s">
        <v>1948</v>
      </c>
    </row>
    <row r="226" customFormat="false" ht="54.75" hidden="false" customHeight="true" outlineLevel="0" collapsed="false">
      <c r="A226" s="83"/>
      <c r="B226" s="300"/>
      <c r="C226" s="298" t="s">
        <v>1949</v>
      </c>
      <c r="D226" s="292" t="s">
        <v>2166</v>
      </c>
      <c r="E226" s="292" t="s">
        <v>1951</v>
      </c>
      <c r="F226" s="292" t="s">
        <v>1952</v>
      </c>
      <c r="G226" s="292" t="s">
        <v>1953</v>
      </c>
      <c r="H226" s="292" t="s">
        <v>1954</v>
      </c>
    </row>
    <row r="227" customFormat="false" ht="54.75" hidden="false" customHeight="true" outlineLevel="0" collapsed="false">
      <c r="A227" s="83" t="n">
        <v>45</v>
      </c>
      <c r="B227" s="290" t="s">
        <v>302</v>
      </c>
      <c r="C227" s="291" t="s">
        <v>1926</v>
      </c>
      <c r="D227" s="292" t="s">
        <v>2167</v>
      </c>
      <c r="E227" s="292" t="s">
        <v>1928</v>
      </c>
      <c r="F227" s="292" t="s">
        <v>58</v>
      </c>
      <c r="G227" s="292" t="s">
        <v>1929</v>
      </c>
      <c r="H227" s="292" t="s">
        <v>1930</v>
      </c>
    </row>
    <row r="228" customFormat="false" ht="54.75" hidden="false" customHeight="true" outlineLevel="0" collapsed="false">
      <c r="A228" s="83"/>
      <c r="B228" s="293"/>
      <c r="C228" s="294" t="s">
        <v>1931</v>
      </c>
      <c r="D228" s="295" t="s">
        <v>2168</v>
      </c>
      <c r="E228" s="295" t="s">
        <v>1933</v>
      </c>
      <c r="F228" s="295" t="s">
        <v>1934</v>
      </c>
      <c r="G228" s="295" t="s">
        <v>1935</v>
      </c>
      <c r="H228" s="295" t="s">
        <v>1936</v>
      </c>
    </row>
    <row r="229" customFormat="false" ht="54.75" hidden="false" customHeight="true" outlineLevel="0" collapsed="false">
      <c r="A229" s="83"/>
      <c r="B229" s="293"/>
      <c r="C229" s="296" t="s">
        <v>1937</v>
      </c>
      <c r="D229" s="292" t="s">
        <v>2169</v>
      </c>
      <c r="E229" s="292" t="s">
        <v>1939</v>
      </c>
      <c r="F229" s="292" t="s">
        <v>1940</v>
      </c>
      <c r="G229" s="292" t="s">
        <v>1941</v>
      </c>
      <c r="H229" s="292" t="s">
        <v>1942</v>
      </c>
    </row>
    <row r="230" customFormat="false" ht="54.75" hidden="false" customHeight="true" outlineLevel="0" collapsed="false">
      <c r="A230" s="83"/>
      <c r="B230" s="293"/>
      <c r="C230" s="297" t="s">
        <v>1943</v>
      </c>
      <c r="D230" s="295" t="s">
        <v>2170</v>
      </c>
      <c r="E230" s="295" t="s">
        <v>1945</v>
      </c>
      <c r="F230" s="295" t="s">
        <v>1946</v>
      </c>
      <c r="G230" s="295" t="s">
        <v>1947</v>
      </c>
      <c r="H230" s="295" t="s">
        <v>1948</v>
      </c>
    </row>
    <row r="231" customFormat="false" ht="54.75" hidden="false" customHeight="true" outlineLevel="0" collapsed="false">
      <c r="A231" s="83"/>
      <c r="B231" s="293"/>
      <c r="C231" s="298" t="s">
        <v>1949</v>
      </c>
      <c r="D231" s="292" t="s">
        <v>2171</v>
      </c>
      <c r="E231" s="292" t="s">
        <v>1951</v>
      </c>
      <c r="F231" s="292" t="s">
        <v>1952</v>
      </c>
      <c r="G231" s="292" t="s">
        <v>1953</v>
      </c>
      <c r="H231" s="292" t="s">
        <v>1954</v>
      </c>
    </row>
    <row r="232" customFormat="false" ht="54.75" hidden="false" customHeight="true" outlineLevel="0" collapsed="false">
      <c r="A232" s="83" t="n">
        <v>46</v>
      </c>
      <c r="B232" s="299" t="s">
        <v>303</v>
      </c>
      <c r="C232" s="291" t="s">
        <v>1926</v>
      </c>
      <c r="D232" s="292" t="s">
        <v>2172</v>
      </c>
      <c r="E232" s="292" t="s">
        <v>1928</v>
      </c>
      <c r="F232" s="292" t="s">
        <v>58</v>
      </c>
      <c r="G232" s="292" t="s">
        <v>1929</v>
      </c>
      <c r="H232" s="292" t="s">
        <v>1930</v>
      </c>
    </row>
    <row r="233" customFormat="false" ht="54.75" hidden="false" customHeight="true" outlineLevel="0" collapsed="false">
      <c r="A233" s="83"/>
      <c r="B233" s="300"/>
      <c r="C233" s="294" t="s">
        <v>1931</v>
      </c>
      <c r="D233" s="295" t="s">
        <v>2173</v>
      </c>
      <c r="E233" s="295" t="s">
        <v>1933</v>
      </c>
      <c r="F233" s="295" t="s">
        <v>1934</v>
      </c>
      <c r="G233" s="295" t="s">
        <v>1935</v>
      </c>
      <c r="H233" s="295" t="s">
        <v>1936</v>
      </c>
    </row>
    <row r="234" customFormat="false" ht="54.75" hidden="false" customHeight="true" outlineLevel="0" collapsed="false">
      <c r="A234" s="83"/>
      <c r="B234" s="300"/>
      <c r="C234" s="296" t="s">
        <v>1937</v>
      </c>
      <c r="D234" s="292" t="s">
        <v>2174</v>
      </c>
      <c r="E234" s="292" t="s">
        <v>1939</v>
      </c>
      <c r="F234" s="292" t="s">
        <v>1940</v>
      </c>
      <c r="G234" s="292" t="s">
        <v>1941</v>
      </c>
      <c r="H234" s="292" t="s">
        <v>1942</v>
      </c>
    </row>
    <row r="235" customFormat="false" ht="54.75" hidden="false" customHeight="true" outlineLevel="0" collapsed="false">
      <c r="A235" s="83"/>
      <c r="B235" s="300"/>
      <c r="C235" s="297" t="s">
        <v>1943</v>
      </c>
      <c r="D235" s="295" t="s">
        <v>2175</v>
      </c>
      <c r="E235" s="295" t="s">
        <v>1945</v>
      </c>
      <c r="F235" s="295" t="s">
        <v>1946</v>
      </c>
      <c r="G235" s="295" t="s">
        <v>1947</v>
      </c>
      <c r="H235" s="295" t="s">
        <v>1948</v>
      </c>
    </row>
    <row r="236" customFormat="false" ht="54.75" hidden="false" customHeight="true" outlineLevel="0" collapsed="false">
      <c r="A236" s="83"/>
      <c r="B236" s="300"/>
      <c r="C236" s="298" t="s">
        <v>1949</v>
      </c>
      <c r="D236" s="292" t="s">
        <v>2176</v>
      </c>
      <c r="E236" s="292" t="s">
        <v>1951</v>
      </c>
      <c r="F236" s="292" t="s">
        <v>1952</v>
      </c>
      <c r="G236" s="292" t="s">
        <v>1953</v>
      </c>
      <c r="H236" s="292" t="s">
        <v>1954</v>
      </c>
    </row>
    <row r="237" customFormat="false" ht="54.75" hidden="false" customHeight="true" outlineLevel="0" collapsed="false">
      <c r="A237" s="83" t="n">
        <v>47</v>
      </c>
      <c r="B237" s="290" t="s">
        <v>304</v>
      </c>
      <c r="C237" s="291" t="s">
        <v>1926</v>
      </c>
      <c r="D237" s="292" t="s">
        <v>2177</v>
      </c>
      <c r="E237" s="292" t="s">
        <v>1928</v>
      </c>
      <c r="F237" s="292" t="s">
        <v>58</v>
      </c>
      <c r="G237" s="292" t="s">
        <v>1929</v>
      </c>
      <c r="H237" s="292" t="s">
        <v>1930</v>
      </c>
    </row>
    <row r="238" customFormat="false" ht="54.75" hidden="false" customHeight="true" outlineLevel="0" collapsed="false">
      <c r="A238" s="83"/>
      <c r="B238" s="293"/>
      <c r="C238" s="294" t="s">
        <v>1931</v>
      </c>
      <c r="D238" s="295" t="s">
        <v>2178</v>
      </c>
      <c r="E238" s="295" t="s">
        <v>1933</v>
      </c>
      <c r="F238" s="295" t="s">
        <v>1934</v>
      </c>
      <c r="G238" s="295" t="s">
        <v>1935</v>
      </c>
      <c r="H238" s="295" t="s">
        <v>1936</v>
      </c>
    </row>
    <row r="239" customFormat="false" ht="54.75" hidden="false" customHeight="true" outlineLevel="0" collapsed="false">
      <c r="A239" s="83"/>
      <c r="B239" s="293"/>
      <c r="C239" s="296" t="s">
        <v>1937</v>
      </c>
      <c r="D239" s="292" t="s">
        <v>2179</v>
      </c>
      <c r="E239" s="292" t="s">
        <v>1939</v>
      </c>
      <c r="F239" s="292" t="s">
        <v>1940</v>
      </c>
      <c r="G239" s="292" t="s">
        <v>1941</v>
      </c>
      <c r="H239" s="292" t="s">
        <v>1942</v>
      </c>
    </row>
    <row r="240" customFormat="false" ht="54.75" hidden="false" customHeight="true" outlineLevel="0" collapsed="false">
      <c r="A240" s="83"/>
      <c r="B240" s="293"/>
      <c r="C240" s="297" t="s">
        <v>1943</v>
      </c>
      <c r="D240" s="295" t="s">
        <v>2180</v>
      </c>
      <c r="E240" s="295" t="s">
        <v>1945</v>
      </c>
      <c r="F240" s="295" t="s">
        <v>1946</v>
      </c>
      <c r="G240" s="295" t="s">
        <v>1947</v>
      </c>
      <c r="H240" s="295" t="s">
        <v>1948</v>
      </c>
    </row>
    <row r="241" customFormat="false" ht="54.75" hidden="false" customHeight="true" outlineLevel="0" collapsed="false">
      <c r="A241" s="83"/>
      <c r="B241" s="293"/>
      <c r="C241" s="298" t="s">
        <v>1949</v>
      </c>
      <c r="D241" s="292" t="s">
        <v>2181</v>
      </c>
      <c r="E241" s="292" t="s">
        <v>1951</v>
      </c>
      <c r="F241" s="292" t="s">
        <v>1952</v>
      </c>
      <c r="G241" s="292" t="s">
        <v>1953</v>
      </c>
      <c r="H241" s="292" t="s">
        <v>1954</v>
      </c>
    </row>
    <row r="242" customFormat="false" ht="54.75" hidden="false" customHeight="true" outlineLevel="0" collapsed="false">
      <c r="A242" s="83" t="n">
        <v>48</v>
      </c>
      <c r="B242" s="299" t="s">
        <v>305</v>
      </c>
      <c r="C242" s="291" t="s">
        <v>1926</v>
      </c>
      <c r="D242" s="292" t="s">
        <v>2182</v>
      </c>
      <c r="E242" s="292" t="s">
        <v>1928</v>
      </c>
      <c r="F242" s="292" t="s">
        <v>58</v>
      </c>
      <c r="G242" s="292" t="s">
        <v>1929</v>
      </c>
      <c r="H242" s="292" t="s">
        <v>1930</v>
      </c>
    </row>
    <row r="243" customFormat="false" ht="54.75" hidden="false" customHeight="true" outlineLevel="0" collapsed="false">
      <c r="A243" s="83"/>
      <c r="B243" s="300"/>
      <c r="C243" s="294" t="s">
        <v>1931</v>
      </c>
      <c r="D243" s="295" t="s">
        <v>2183</v>
      </c>
      <c r="E243" s="295" t="s">
        <v>1933</v>
      </c>
      <c r="F243" s="295" t="s">
        <v>1934</v>
      </c>
      <c r="G243" s="295" t="s">
        <v>1935</v>
      </c>
      <c r="H243" s="295" t="s">
        <v>1936</v>
      </c>
    </row>
    <row r="244" customFormat="false" ht="54.75" hidden="false" customHeight="true" outlineLevel="0" collapsed="false">
      <c r="A244" s="83"/>
      <c r="B244" s="300"/>
      <c r="C244" s="296" t="s">
        <v>1937</v>
      </c>
      <c r="D244" s="292" t="s">
        <v>2184</v>
      </c>
      <c r="E244" s="292" t="s">
        <v>1939</v>
      </c>
      <c r="F244" s="292" t="s">
        <v>1940</v>
      </c>
      <c r="G244" s="292" t="s">
        <v>1941</v>
      </c>
      <c r="H244" s="292" t="s">
        <v>1942</v>
      </c>
    </row>
    <row r="245" customFormat="false" ht="54.75" hidden="false" customHeight="true" outlineLevel="0" collapsed="false">
      <c r="A245" s="83"/>
      <c r="B245" s="300"/>
      <c r="C245" s="297" t="s">
        <v>1943</v>
      </c>
      <c r="D245" s="295" t="s">
        <v>2185</v>
      </c>
      <c r="E245" s="295" t="s">
        <v>1945</v>
      </c>
      <c r="F245" s="295" t="s">
        <v>1946</v>
      </c>
      <c r="G245" s="295" t="s">
        <v>1947</v>
      </c>
      <c r="H245" s="295" t="s">
        <v>1948</v>
      </c>
    </row>
    <row r="246" customFormat="false" ht="54.75" hidden="false" customHeight="true" outlineLevel="0" collapsed="false">
      <c r="A246" s="83"/>
      <c r="B246" s="300"/>
      <c r="C246" s="298" t="s">
        <v>1949</v>
      </c>
      <c r="D246" s="292" t="s">
        <v>2186</v>
      </c>
      <c r="E246" s="292" t="s">
        <v>1951</v>
      </c>
      <c r="F246" s="292" t="s">
        <v>1952</v>
      </c>
      <c r="G246" s="292" t="s">
        <v>1953</v>
      </c>
      <c r="H246" s="292" t="s">
        <v>1954</v>
      </c>
    </row>
    <row r="247" customFormat="false" ht="54.75" hidden="false" customHeight="true" outlineLevel="0" collapsed="false">
      <c r="A247" s="83" t="n">
        <v>49</v>
      </c>
      <c r="B247" s="290" t="s">
        <v>306</v>
      </c>
      <c r="C247" s="291" t="s">
        <v>1926</v>
      </c>
      <c r="D247" s="292" t="s">
        <v>2187</v>
      </c>
      <c r="E247" s="292" t="s">
        <v>1928</v>
      </c>
      <c r="F247" s="292" t="s">
        <v>58</v>
      </c>
      <c r="G247" s="292" t="s">
        <v>1929</v>
      </c>
      <c r="H247" s="292" t="s">
        <v>1930</v>
      </c>
    </row>
    <row r="248" customFormat="false" ht="54.75" hidden="false" customHeight="true" outlineLevel="0" collapsed="false">
      <c r="A248" s="83"/>
      <c r="B248" s="293"/>
      <c r="C248" s="294" t="s">
        <v>1931</v>
      </c>
      <c r="D248" s="295" t="s">
        <v>2188</v>
      </c>
      <c r="E248" s="295" t="s">
        <v>1933</v>
      </c>
      <c r="F248" s="295" t="s">
        <v>1934</v>
      </c>
      <c r="G248" s="295" t="s">
        <v>1935</v>
      </c>
      <c r="H248" s="295" t="s">
        <v>1936</v>
      </c>
    </row>
    <row r="249" customFormat="false" ht="54.75" hidden="false" customHeight="true" outlineLevel="0" collapsed="false">
      <c r="A249" s="83"/>
      <c r="B249" s="293"/>
      <c r="C249" s="296" t="s">
        <v>1937</v>
      </c>
      <c r="D249" s="292" t="s">
        <v>2189</v>
      </c>
      <c r="E249" s="292" t="s">
        <v>1939</v>
      </c>
      <c r="F249" s="292" t="s">
        <v>1940</v>
      </c>
      <c r="G249" s="292" t="s">
        <v>1941</v>
      </c>
      <c r="H249" s="292" t="s">
        <v>1942</v>
      </c>
    </row>
    <row r="250" customFormat="false" ht="54.75" hidden="false" customHeight="true" outlineLevel="0" collapsed="false">
      <c r="A250" s="83"/>
      <c r="B250" s="293"/>
      <c r="C250" s="297" t="s">
        <v>1943</v>
      </c>
      <c r="D250" s="295" t="s">
        <v>2190</v>
      </c>
      <c r="E250" s="295" t="s">
        <v>1945</v>
      </c>
      <c r="F250" s="295" t="s">
        <v>1946</v>
      </c>
      <c r="G250" s="295" t="s">
        <v>1947</v>
      </c>
      <c r="H250" s="295" t="s">
        <v>1948</v>
      </c>
    </row>
    <row r="251" customFormat="false" ht="54.75" hidden="false" customHeight="true" outlineLevel="0" collapsed="false">
      <c r="A251" s="83"/>
      <c r="B251" s="293"/>
      <c r="C251" s="298" t="s">
        <v>1949</v>
      </c>
      <c r="D251" s="292" t="s">
        <v>2191</v>
      </c>
      <c r="E251" s="292" t="s">
        <v>1951</v>
      </c>
      <c r="F251" s="292" t="s">
        <v>1952</v>
      </c>
      <c r="G251" s="292" t="s">
        <v>1953</v>
      </c>
      <c r="H251" s="292" t="s">
        <v>1954</v>
      </c>
    </row>
    <row r="252" customFormat="false" ht="54.75" hidden="false" customHeight="true" outlineLevel="0" collapsed="false">
      <c r="A252" s="83" t="n">
        <v>50</v>
      </c>
      <c r="B252" s="299" t="s">
        <v>307</v>
      </c>
      <c r="C252" s="291" t="s">
        <v>1926</v>
      </c>
      <c r="D252" s="292" t="s">
        <v>2192</v>
      </c>
      <c r="E252" s="292" t="s">
        <v>1928</v>
      </c>
      <c r="F252" s="292" t="s">
        <v>58</v>
      </c>
      <c r="G252" s="292" t="s">
        <v>1929</v>
      </c>
      <c r="H252" s="292" t="s">
        <v>1930</v>
      </c>
    </row>
    <row r="253" customFormat="false" ht="54.75" hidden="false" customHeight="true" outlineLevel="0" collapsed="false">
      <c r="A253" s="83"/>
      <c r="B253" s="300"/>
      <c r="C253" s="294" t="s">
        <v>1931</v>
      </c>
      <c r="D253" s="295" t="s">
        <v>2193</v>
      </c>
      <c r="E253" s="295" t="s">
        <v>1933</v>
      </c>
      <c r="F253" s="295" t="s">
        <v>1934</v>
      </c>
      <c r="G253" s="295" t="s">
        <v>1935</v>
      </c>
      <c r="H253" s="295" t="s">
        <v>1936</v>
      </c>
    </row>
    <row r="254" customFormat="false" ht="54.75" hidden="false" customHeight="true" outlineLevel="0" collapsed="false">
      <c r="A254" s="83"/>
      <c r="B254" s="300"/>
      <c r="C254" s="296" t="s">
        <v>1937</v>
      </c>
      <c r="D254" s="292" t="s">
        <v>2194</v>
      </c>
      <c r="E254" s="292" t="s">
        <v>1939</v>
      </c>
      <c r="F254" s="292" t="s">
        <v>1940</v>
      </c>
      <c r="G254" s="292" t="s">
        <v>1941</v>
      </c>
      <c r="H254" s="292" t="s">
        <v>1942</v>
      </c>
    </row>
    <row r="255" customFormat="false" ht="54.75" hidden="false" customHeight="true" outlineLevel="0" collapsed="false">
      <c r="A255" s="83"/>
      <c r="B255" s="300"/>
      <c r="C255" s="297" t="s">
        <v>1943</v>
      </c>
      <c r="D255" s="295" t="s">
        <v>2195</v>
      </c>
      <c r="E255" s="295" t="s">
        <v>1945</v>
      </c>
      <c r="F255" s="295" t="s">
        <v>1946</v>
      </c>
      <c r="G255" s="295" t="s">
        <v>1947</v>
      </c>
      <c r="H255" s="295" t="s">
        <v>1948</v>
      </c>
    </row>
    <row r="256" customFormat="false" ht="54.75" hidden="false" customHeight="true" outlineLevel="0" collapsed="false">
      <c r="A256" s="83"/>
      <c r="B256" s="300"/>
      <c r="C256" s="298" t="s">
        <v>1949</v>
      </c>
      <c r="D256" s="292" t="s">
        <v>2196</v>
      </c>
      <c r="E256" s="292" t="s">
        <v>1951</v>
      </c>
      <c r="F256" s="292" t="s">
        <v>1952</v>
      </c>
      <c r="G256" s="292" t="s">
        <v>1953</v>
      </c>
      <c r="H256" s="292" t="s">
        <v>1954</v>
      </c>
    </row>
    <row r="257" customFormat="false" ht="39.75" hidden="false" customHeight="true" outlineLevel="0" collapsed="false">
      <c r="A257" s="289" t="s">
        <v>2197</v>
      </c>
      <c r="B257" s="289"/>
      <c r="C257" s="289"/>
      <c r="D257" s="289"/>
      <c r="E257" s="289"/>
      <c r="F257" s="289"/>
      <c r="G257" s="289"/>
      <c r="H257" s="289"/>
    </row>
    <row r="258" customFormat="false" ht="54.75" hidden="false" customHeight="true" outlineLevel="0" collapsed="false">
      <c r="A258" s="83" t="n">
        <v>51</v>
      </c>
      <c r="B258" s="290" t="s">
        <v>309</v>
      </c>
      <c r="C258" s="291" t="s">
        <v>1926</v>
      </c>
      <c r="D258" s="292" t="s">
        <v>2198</v>
      </c>
      <c r="E258" s="292" t="s">
        <v>1928</v>
      </c>
      <c r="F258" s="292" t="s">
        <v>58</v>
      </c>
      <c r="G258" s="292" t="s">
        <v>1929</v>
      </c>
      <c r="H258" s="292" t="s">
        <v>1930</v>
      </c>
    </row>
    <row r="259" customFormat="false" ht="54.75" hidden="false" customHeight="true" outlineLevel="0" collapsed="false">
      <c r="A259" s="83"/>
      <c r="B259" s="293"/>
      <c r="C259" s="294" t="s">
        <v>1931</v>
      </c>
      <c r="D259" s="295" t="s">
        <v>2199</v>
      </c>
      <c r="E259" s="295" t="s">
        <v>1933</v>
      </c>
      <c r="F259" s="295" t="s">
        <v>1934</v>
      </c>
      <c r="G259" s="295" t="s">
        <v>1935</v>
      </c>
      <c r="H259" s="295" t="s">
        <v>1936</v>
      </c>
    </row>
    <row r="260" customFormat="false" ht="54.75" hidden="false" customHeight="true" outlineLevel="0" collapsed="false">
      <c r="A260" s="83"/>
      <c r="B260" s="293"/>
      <c r="C260" s="296" t="s">
        <v>1937</v>
      </c>
      <c r="D260" s="292" t="s">
        <v>2200</v>
      </c>
      <c r="E260" s="292" t="s">
        <v>1939</v>
      </c>
      <c r="F260" s="292" t="s">
        <v>1940</v>
      </c>
      <c r="G260" s="292" t="s">
        <v>1941</v>
      </c>
      <c r="H260" s="292" t="s">
        <v>1942</v>
      </c>
    </row>
    <row r="261" customFormat="false" ht="54.75" hidden="false" customHeight="true" outlineLevel="0" collapsed="false">
      <c r="A261" s="83"/>
      <c r="B261" s="293"/>
      <c r="C261" s="297" t="s">
        <v>1943</v>
      </c>
      <c r="D261" s="295" t="s">
        <v>2201</v>
      </c>
      <c r="E261" s="295" t="s">
        <v>1945</v>
      </c>
      <c r="F261" s="295" t="s">
        <v>1946</v>
      </c>
      <c r="G261" s="295" t="s">
        <v>1947</v>
      </c>
      <c r="H261" s="295" t="s">
        <v>1948</v>
      </c>
    </row>
    <row r="262" customFormat="false" ht="54.75" hidden="false" customHeight="true" outlineLevel="0" collapsed="false">
      <c r="A262" s="83"/>
      <c r="B262" s="293"/>
      <c r="C262" s="298" t="s">
        <v>1949</v>
      </c>
      <c r="D262" s="292" t="s">
        <v>2202</v>
      </c>
      <c r="E262" s="292" t="s">
        <v>1951</v>
      </c>
      <c r="F262" s="292" t="s">
        <v>1952</v>
      </c>
      <c r="G262" s="292" t="s">
        <v>1953</v>
      </c>
      <c r="H262" s="292" t="s">
        <v>1954</v>
      </c>
    </row>
    <row r="263" customFormat="false" ht="54.75" hidden="false" customHeight="true" outlineLevel="0" collapsed="false">
      <c r="A263" s="83" t="n">
        <v>52</v>
      </c>
      <c r="B263" s="299" t="s">
        <v>311</v>
      </c>
      <c r="C263" s="291" t="s">
        <v>1926</v>
      </c>
      <c r="D263" s="292" t="s">
        <v>2203</v>
      </c>
      <c r="E263" s="292" t="s">
        <v>1928</v>
      </c>
      <c r="F263" s="292" t="s">
        <v>58</v>
      </c>
      <c r="G263" s="292" t="s">
        <v>1929</v>
      </c>
      <c r="H263" s="292" t="s">
        <v>1930</v>
      </c>
    </row>
    <row r="264" customFormat="false" ht="54.75" hidden="false" customHeight="true" outlineLevel="0" collapsed="false">
      <c r="A264" s="83"/>
      <c r="B264" s="300"/>
      <c r="C264" s="294" t="s">
        <v>1931</v>
      </c>
      <c r="D264" s="295" t="s">
        <v>2204</v>
      </c>
      <c r="E264" s="295" t="s">
        <v>1933</v>
      </c>
      <c r="F264" s="295" t="s">
        <v>1934</v>
      </c>
      <c r="G264" s="295" t="s">
        <v>1935</v>
      </c>
      <c r="H264" s="295" t="s">
        <v>1936</v>
      </c>
    </row>
    <row r="265" customFormat="false" ht="54.75" hidden="false" customHeight="true" outlineLevel="0" collapsed="false">
      <c r="A265" s="83"/>
      <c r="B265" s="300"/>
      <c r="C265" s="296" t="s">
        <v>1937</v>
      </c>
      <c r="D265" s="292" t="s">
        <v>2205</v>
      </c>
      <c r="E265" s="292" t="s">
        <v>1939</v>
      </c>
      <c r="F265" s="292" t="s">
        <v>1940</v>
      </c>
      <c r="G265" s="292" t="s">
        <v>1941</v>
      </c>
      <c r="H265" s="292" t="s">
        <v>1942</v>
      </c>
    </row>
    <row r="266" customFormat="false" ht="54.75" hidden="false" customHeight="true" outlineLevel="0" collapsed="false">
      <c r="A266" s="83"/>
      <c r="B266" s="300"/>
      <c r="C266" s="297" t="s">
        <v>1943</v>
      </c>
      <c r="D266" s="295" t="s">
        <v>2206</v>
      </c>
      <c r="E266" s="295" t="s">
        <v>1945</v>
      </c>
      <c r="F266" s="295" t="s">
        <v>1946</v>
      </c>
      <c r="G266" s="295" t="s">
        <v>1947</v>
      </c>
      <c r="H266" s="295" t="s">
        <v>1948</v>
      </c>
    </row>
    <row r="267" customFormat="false" ht="54.75" hidden="false" customHeight="true" outlineLevel="0" collapsed="false">
      <c r="A267" s="83"/>
      <c r="B267" s="300"/>
      <c r="C267" s="298" t="s">
        <v>1949</v>
      </c>
      <c r="D267" s="292" t="s">
        <v>2207</v>
      </c>
      <c r="E267" s="292" t="s">
        <v>1951</v>
      </c>
      <c r="F267" s="292" t="s">
        <v>1952</v>
      </c>
      <c r="G267" s="292" t="s">
        <v>1953</v>
      </c>
      <c r="H267" s="292" t="s">
        <v>1954</v>
      </c>
    </row>
    <row r="268" customFormat="false" ht="54.75" hidden="false" customHeight="true" outlineLevel="0" collapsed="false">
      <c r="A268" s="83" t="n">
        <v>53</v>
      </c>
      <c r="B268" s="290" t="s">
        <v>312</v>
      </c>
      <c r="C268" s="291" t="s">
        <v>1926</v>
      </c>
      <c r="D268" s="292" t="s">
        <v>2208</v>
      </c>
      <c r="E268" s="292" t="s">
        <v>1928</v>
      </c>
      <c r="F268" s="292" t="s">
        <v>58</v>
      </c>
      <c r="G268" s="292" t="s">
        <v>1929</v>
      </c>
      <c r="H268" s="292" t="s">
        <v>1930</v>
      </c>
    </row>
    <row r="269" customFormat="false" ht="54.75" hidden="false" customHeight="true" outlineLevel="0" collapsed="false">
      <c r="A269" s="83"/>
      <c r="B269" s="293"/>
      <c r="C269" s="294" t="s">
        <v>1931</v>
      </c>
      <c r="D269" s="295" t="s">
        <v>2209</v>
      </c>
      <c r="E269" s="295" t="s">
        <v>1933</v>
      </c>
      <c r="F269" s="295" t="s">
        <v>1934</v>
      </c>
      <c r="G269" s="295" t="s">
        <v>1935</v>
      </c>
      <c r="H269" s="295" t="s">
        <v>1936</v>
      </c>
    </row>
    <row r="270" customFormat="false" ht="54.75" hidden="false" customHeight="true" outlineLevel="0" collapsed="false">
      <c r="A270" s="83"/>
      <c r="B270" s="293"/>
      <c r="C270" s="296" t="s">
        <v>1937</v>
      </c>
      <c r="D270" s="292" t="s">
        <v>2210</v>
      </c>
      <c r="E270" s="292" t="s">
        <v>1939</v>
      </c>
      <c r="F270" s="292" t="s">
        <v>1940</v>
      </c>
      <c r="G270" s="292" t="s">
        <v>1941</v>
      </c>
      <c r="H270" s="292" t="s">
        <v>1942</v>
      </c>
    </row>
    <row r="271" customFormat="false" ht="54.75" hidden="false" customHeight="true" outlineLevel="0" collapsed="false">
      <c r="A271" s="83"/>
      <c r="B271" s="293"/>
      <c r="C271" s="297" t="s">
        <v>1943</v>
      </c>
      <c r="D271" s="295" t="s">
        <v>2211</v>
      </c>
      <c r="E271" s="295" t="s">
        <v>1945</v>
      </c>
      <c r="F271" s="295" t="s">
        <v>1946</v>
      </c>
      <c r="G271" s="295" t="s">
        <v>1947</v>
      </c>
      <c r="H271" s="295" t="s">
        <v>1948</v>
      </c>
    </row>
    <row r="272" customFormat="false" ht="54.75" hidden="false" customHeight="true" outlineLevel="0" collapsed="false">
      <c r="A272" s="83"/>
      <c r="B272" s="293"/>
      <c r="C272" s="298" t="s">
        <v>1949</v>
      </c>
      <c r="D272" s="292" t="s">
        <v>2212</v>
      </c>
      <c r="E272" s="292" t="s">
        <v>1951</v>
      </c>
      <c r="F272" s="292" t="s">
        <v>1952</v>
      </c>
      <c r="G272" s="292" t="s">
        <v>1953</v>
      </c>
      <c r="H272" s="292" t="s">
        <v>1954</v>
      </c>
    </row>
    <row r="273" customFormat="false" ht="54.75" hidden="false" customHeight="true" outlineLevel="0" collapsed="false">
      <c r="A273" s="83" t="n">
        <v>54</v>
      </c>
      <c r="B273" s="299" t="s">
        <v>313</v>
      </c>
      <c r="C273" s="291" t="s">
        <v>1926</v>
      </c>
      <c r="D273" s="292" t="s">
        <v>2213</v>
      </c>
      <c r="E273" s="292" t="s">
        <v>1928</v>
      </c>
      <c r="F273" s="292" t="s">
        <v>58</v>
      </c>
      <c r="G273" s="292" t="s">
        <v>1929</v>
      </c>
      <c r="H273" s="292" t="s">
        <v>1930</v>
      </c>
    </row>
    <row r="274" customFormat="false" ht="54.75" hidden="false" customHeight="true" outlineLevel="0" collapsed="false">
      <c r="A274" s="83"/>
      <c r="B274" s="300"/>
      <c r="C274" s="294" t="s">
        <v>1931</v>
      </c>
      <c r="D274" s="295" t="s">
        <v>2214</v>
      </c>
      <c r="E274" s="295" t="s">
        <v>1933</v>
      </c>
      <c r="F274" s="295" t="s">
        <v>1934</v>
      </c>
      <c r="G274" s="295" t="s">
        <v>1935</v>
      </c>
      <c r="H274" s="295" t="s">
        <v>1936</v>
      </c>
    </row>
    <row r="275" customFormat="false" ht="54.75" hidden="false" customHeight="true" outlineLevel="0" collapsed="false">
      <c r="A275" s="83"/>
      <c r="B275" s="300"/>
      <c r="C275" s="296" t="s">
        <v>1937</v>
      </c>
      <c r="D275" s="292" t="s">
        <v>2215</v>
      </c>
      <c r="E275" s="292" t="s">
        <v>1939</v>
      </c>
      <c r="F275" s="292" t="s">
        <v>1940</v>
      </c>
      <c r="G275" s="292" t="s">
        <v>1941</v>
      </c>
      <c r="H275" s="292" t="s">
        <v>1942</v>
      </c>
    </row>
    <row r="276" customFormat="false" ht="54.75" hidden="false" customHeight="true" outlineLevel="0" collapsed="false">
      <c r="A276" s="83"/>
      <c r="B276" s="300"/>
      <c r="C276" s="297" t="s">
        <v>1943</v>
      </c>
      <c r="D276" s="295" t="s">
        <v>2216</v>
      </c>
      <c r="E276" s="295" t="s">
        <v>1945</v>
      </c>
      <c r="F276" s="295" t="s">
        <v>1946</v>
      </c>
      <c r="G276" s="295" t="s">
        <v>1947</v>
      </c>
      <c r="H276" s="295" t="s">
        <v>1948</v>
      </c>
    </row>
    <row r="277" customFormat="false" ht="54.75" hidden="false" customHeight="true" outlineLevel="0" collapsed="false">
      <c r="A277" s="83"/>
      <c r="B277" s="300"/>
      <c r="C277" s="298" t="s">
        <v>1949</v>
      </c>
      <c r="D277" s="292" t="s">
        <v>2217</v>
      </c>
      <c r="E277" s="292" t="s">
        <v>1951</v>
      </c>
      <c r="F277" s="292" t="s">
        <v>1952</v>
      </c>
      <c r="G277" s="292" t="s">
        <v>1953</v>
      </c>
      <c r="H277" s="292" t="s">
        <v>1954</v>
      </c>
    </row>
    <row r="278" customFormat="false" ht="54.75" hidden="false" customHeight="true" outlineLevel="0" collapsed="false">
      <c r="A278" s="83" t="n">
        <v>55</v>
      </c>
      <c r="B278" s="290" t="s">
        <v>314</v>
      </c>
      <c r="C278" s="291" t="s">
        <v>1926</v>
      </c>
      <c r="D278" s="292" t="s">
        <v>2218</v>
      </c>
      <c r="E278" s="292" t="s">
        <v>1928</v>
      </c>
      <c r="F278" s="292" t="s">
        <v>58</v>
      </c>
      <c r="G278" s="292" t="s">
        <v>1929</v>
      </c>
      <c r="H278" s="292" t="s">
        <v>1930</v>
      </c>
    </row>
    <row r="279" customFormat="false" ht="54.75" hidden="false" customHeight="true" outlineLevel="0" collapsed="false">
      <c r="A279" s="83"/>
      <c r="B279" s="293"/>
      <c r="C279" s="294" t="s">
        <v>1931</v>
      </c>
      <c r="D279" s="295" t="s">
        <v>2219</v>
      </c>
      <c r="E279" s="295" t="s">
        <v>1933</v>
      </c>
      <c r="F279" s="295" t="s">
        <v>1934</v>
      </c>
      <c r="G279" s="295" t="s">
        <v>1935</v>
      </c>
      <c r="H279" s="295" t="s">
        <v>1936</v>
      </c>
    </row>
    <row r="280" customFormat="false" ht="54.75" hidden="false" customHeight="true" outlineLevel="0" collapsed="false">
      <c r="A280" s="83"/>
      <c r="B280" s="293"/>
      <c r="C280" s="296" t="s">
        <v>1937</v>
      </c>
      <c r="D280" s="292" t="s">
        <v>2220</v>
      </c>
      <c r="E280" s="292" t="s">
        <v>1939</v>
      </c>
      <c r="F280" s="292" t="s">
        <v>1940</v>
      </c>
      <c r="G280" s="292" t="s">
        <v>1941</v>
      </c>
      <c r="H280" s="292" t="s">
        <v>1942</v>
      </c>
    </row>
    <row r="281" customFormat="false" ht="54.75" hidden="false" customHeight="true" outlineLevel="0" collapsed="false">
      <c r="A281" s="83"/>
      <c r="B281" s="293"/>
      <c r="C281" s="297" t="s">
        <v>1943</v>
      </c>
      <c r="D281" s="295" t="s">
        <v>2221</v>
      </c>
      <c r="E281" s="295" t="s">
        <v>1945</v>
      </c>
      <c r="F281" s="295" t="s">
        <v>1946</v>
      </c>
      <c r="G281" s="295" t="s">
        <v>1947</v>
      </c>
      <c r="H281" s="295" t="s">
        <v>1948</v>
      </c>
    </row>
    <row r="282" customFormat="false" ht="54.75" hidden="false" customHeight="true" outlineLevel="0" collapsed="false">
      <c r="A282" s="83"/>
      <c r="B282" s="293"/>
      <c r="C282" s="298" t="s">
        <v>1949</v>
      </c>
      <c r="D282" s="292" t="s">
        <v>2222</v>
      </c>
      <c r="E282" s="292" t="s">
        <v>1951</v>
      </c>
      <c r="F282" s="292" t="s">
        <v>1952</v>
      </c>
      <c r="G282" s="292" t="s">
        <v>1953</v>
      </c>
      <c r="H282" s="292" t="s">
        <v>1954</v>
      </c>
    </row>
    <row r="283" customFormat="false" ht="54.75" hidden="false" customHeight="true" outlineLevel="0" collapsed="false">
      <c r="A283" s="83" t="n">
        <v>56</v>
      </c>
      <c r="B283" s="299" t="s">
        <v>315</v>
      </c>
      <c r="C283" s="291" t="s">
        <v>1926</v>
      </c>
      <c r="D283" s="292" t="s">
        <v>2223</v>
      </c>
      <c r="E283" s="292" t="s">
        <v>1928</v>
      </c>
      <c r="F283" s="292" t="s">
        <v>58</v>
      </c>
      <c r="G283" s="292" t="s">
        <v>1929</v>
      </c>
      <c r="H283" s="292" t="s">
        <v>1930</v>
      </c>
    </row>
    <row r="284" customFormat="false" ht="54.75" hidden="false" customHeight="true" outlineLevel="0" collapsed="false">
      <c r="A284" s="83"/>
      <c r="B284" s="300"/>
      <c r="C284" s="294" t="s">
        <v>1931</v>
      </c>
      <c r="D284" s="295" t="s">
        <v>2224</v>
      </c>
      <c r="E284" s="295" t="s">
        <v>1933</v>
      </c>
      <c r="F284" s="295" t="s">
        <v>1934</v>
      </c>
      <c r="G284" s="295" t="s">
        <v>1935</v>
      </c>
      <c r="H284" s="295" t="s">
        <v>1936</v>
      </c>
    </row>
    <row r="285" customFormat="false" ht="54.75" hidden="false" customHeight="true" outlineLevel="0" collapsed="false">
      <c r="A285" s="83"/>
      <c r="B285" s="300"/>
      <c r="C285" s="296" t="s">
        <v>1937</v>
      </c>
      <c r="D285" s="292" t="s">
        <v>2225</v>
      </c>
      <c r="E285" s="292" t="s">
        <v>1939</v>
      </c>
      <c r="F285" s="292" t="s">
        <v>1940</v>
      </c>
      <c r="G285" s="292" t="s">
        <v>1941</v>
      </c>
      <c r="H285" s="292" t="s">
        <v>1942</v>
      </c>
    </row>
    <row r="286" customFormat="false" ht="54.75" hidden="false" customHeight="true" outlineLevel="0" collapsed="false">
      <c r="A286" s="83"/>
      <c r="B286" s="300"/>
      <c r="C286" s="297" t="s">
        <v>1943</v>
      </c>
      <c r="D286" s="295" t="s">
        <v>2226</v>
      </c>
      <c r="E286" s="295" t="s">
        <v>1945</v>
      </c>
      <c r="F286" s="295" t="s">
        <v>1946</v>
      </c>
      <c r="G286" s="295" t="s">
        <v>1947</v>
      </c>
      <c r="H286" s="295" t="s">
        <v>1948</v>
      </c>
    </row>
    <row r="287" customFormat="false" ht="54.75" hidden="false" customHeight="true" outlineLevel="0" collapsed="false">
      <c r="A287" s="83"/>
      <c r="B287" s="300"/>
      <c r="C287" s="298" t="s">
        <v>1949</v>
      </c>
      <c r="D287" s="292" t="s">
        <v>2227</v>
      </c>
      <c r="E287" s="292" t="s">
        <v>1951</v>
      </c>
      <c r="F287" s="292" t="s">
        <v>1952</v>
      </c>
      <c r="G287" s="292" t="s">
        <v>1953</v>
      </c>
      <c r="H287" s="292" t="s">
        <v>1954</v>
      </c>
    </row>
    <row r="288" customFormat="false" ht="54.75" hidden="false" customHeight="true" outlineLevel="0" collapsed="false">
      <c r="A288" s="83" t="n">
        <v>57</v>
      </c>
      <c r="B288" s="290" t="s">
        <v>316</v>
      </c>
      <c r="C288" s="291" t="s">
        <v>1926</v>
      </c>
      <c r="D288" s="292" t="s">
        <v>2228</v>
      </c>
      <c r="E288" s="292" t="s">
        <v>1928</v>
      </c>
      <c r="F288" s="292" t="s">
        <v>58</v>
      </c>
      <c r="G288" s="292" t="s">
        <v>1929</v>
      </c>
      <c r="H288" s="292" t="s">
        <v>1930</v>
      </c>
    </row>
    <row r="289" customFormat="false" ht="54.75" hidden="false" customHeight="true" outlineLevel="0" collapsed="false">
      <c r="A289" s="83"/>
      <c r="B289" s="293"/>
      <c r="C289" s="294" t="s">
        <v>1931</v>
      </c>
      <c r="D289" s="295" t="s">
        <v>2229</v>
      </c>
      <c r="E289" s="295" t="s">
        <v>1933</v>
      </c>
      <c r="F289" s="295" t="s">
        <v>1934</v>
      </c>
      <c r="G289" s="295" t="s">
        <v>1935</v>
      </c>
      <c r="H289" s="295" t="s">
        <v>1936</v>
      </c>
    </row>
    <row r="290" customFormat="false" ht="54.75" hidden="false" customHeight="true" outlineLevel="0" collapsed="false">
      <c r="A290" s="83"/>
      <c r="B290" s="293"/>
      <c r="C290" s="296" t="s">
        <v>1937</v>
      </c>
      <c r="D290" s="292" t="s">
        <v>2230</v>
      </c>
      <c r="E290" s="292" t="s">
        <v>1939</v>
      </c>
      <c r="F290" s="292" t="s">
        <v>1940</v>
      </c>
      <c r="G290" s="292" t="s">
        <v>1941</v>
      </c>
      <c r="H290" s="292" t="s">
        <v>1942</v>
      </c>
    </row>
    <row r="291" customFormat="false" ht="54.75" hidden="false" customHeight="true" outlineLevel="0" collapsed="false">
      <c r="A291" s="83"/>
      <c r="B291" s="293"/>
      <c r="C291" s="297" t="s">
        <v>1943</v>
      </c>
      <c r="D291" s="295" t="s">
        <v>2231</v>
      </c>
      <c r="E291" s="295" t="s">
        <v>1945</v>
      </c>
      <c r="F291" s="295" t="s">
        <v>1946</v>
      </c>
      <c r="G291" s="295" t="s">
        <v>1947</v>
      </c>
      <c r="H291" s="295" t="s">
        <v>1948</v>
      </c>
    </row>
    <row r="292" customFormat="false" ht="54.75" hidden="false" customHeight="true" outlineLevel="0" collapsed="false">
      <c r="A292" s="83"/>
      <c r="B292" s="293"/>
      <c r="C292" s="298" t="s">
        <v>1949</v>
      </c>
      <c r="D292" s="292" t="s">
        <v>2232</v>
      </c>
      <c r="E292" s="292" t="s">
        <v>1951</v>
      </c>
      <c r="F292" s="292" t="s">
        <v>1952</v>
      </c>
      <c r="G292" s="292" t="s">
        <v>1953</v>
      </c>
      <c r="H292" s="292" t="s">
        <v>1954</v>
      </c>
    </row>
    <row r="293" customFormat="false" ht="54.75" hidden="false" customHeight="true" outlineLevel="0" collapsed="false">
      <c r="A293" s="83" t="n">
        <v>58</v>
      </c>
      <c r="B293" s="299" t="s">
        <v>317</v>
      </c>
      <c r="C293" s="291" t="s">
        <v>1926</v>
      </c>
      <c r="D293" s="292" t="s">
        <v>2233</v>
      </c>
      <c r="E293" s="292" t="s">
        <v>1928</v>
      </c>
      <c r="F293" s="292" t="s">
        <v>58</v>
      </c>
      <c r="G293" s="292" t="s">
        <v>1929</v>
      </c>
      <c r="H293" s="292" t="s">
        <v>1930</v>
      </c>
    </row>
    <row r="294" customFormat="false" ht="54.75" hidden="false" customHeight="true" outlineLevel="0" collapsed="false">
      <c r="A294" s="83"/>
      <c r="B294" s="300"/>
      <c r="C294" s="294" t="s">
        <v>1931</v>
      </c>
      <c r="D294" s="295" t="s">
        <v>2234</v>
      </c>
      <c r="E294" s="295" t="s">
        <v>1933</v>
      </c>
      <c r="F294" s="295" t="s">
        <v>1934</v>
      </c>
      <c r="G294" s="295" t="s">
        <v>1935</v>
      </c>
      <c r="H294" s="295" t="s">
        <v>1936</v>
      </c>
    </row>
    <row r="295" customFormat="false" ht="54.75" hidden="false" customHeight="true" outlineLevel="0" collapsed="false">
      <c r="A295" s="83"/>
      <c r="B295" s="300"/>
      <c r="C295" s="296" t="s">
        <v>1937</v>
      </c>
      <c r="D295" s="292" t="s">
        <v>2235</v>
      </c>
      <c r="E295" s="292" t="s">
        <v>1939</v>
      </c>
      <c r="F295" s="292" t="s">
        <v>1940</v>
      </c>
      <c r="G295" s="292" t="s">
        <v>1941</v>
      </c>
      <c r="H295" s="292" t="s">
        <v>1942</v>
      </c>
    </row>
    <row r="296" customFormat="false" ht="54.75" hidden="false" customHeight="true" outlineLevel="0" collapsed="false">
      <c r="A296" s="83"/>
      <c r="B296" s="300"/>
      <c r="C296" s="297" t="s">
        <v>1943</v>
      </c>
      <c r="D296" s="295" t="s">
        <v>2236</v>
      </c>
      <c r="E296" s="295" t="s">
        <v>1945</v>
      </c>
      <c r="F296" s="295" t="s">
        <v>1946</v>
      </c>
      <c r="G296" s="295" t="s">
        <v>1947</v>
      </c>
      <c r="H296" s="295" t="s">
        <v>1948</v>
      </c>
    </row>
    <row r="297" customFormat="false" ht="54.75" hidden="false" customHeight="true" outlineLevel="0" collapsed="false">
      <c r="A297" s="83"/>
      <c r="B297" s="300"/>
      <c r="C297" s="298" t="s">
        <v>1949</v>
      </c>
      <c r="D297" s="292" t="s">
        <v>2237</v>
      </c>
      <c r="E297" s="292" t="s">
        <v>1951</v>
      </c>
      <c r="F297" s="292" t="s">
        <v>1952</v>
      </c>
      <c r="G297" s="292" t="s">
        <v>1953</v>
      </c>
      <c r="H297" s="292" t="s">
        <v>1954</v>
      </c>
    </row>
    <row r="298" customFormat="false" ht="54.75" hidden="false" customHeight="true" outlineLevel="0" collapsed="false">
      <c r="A298" s="83" t="n">
        <v>59</v>
      </c>
      <c r="B298" s="290" t="s">
        <v>318</v>
      </c>
      <c r="C298" s="291" t="s">
        <v>1926</v>
      </c>
      <c r="D298" s="292" t="s">
        <v>2238</v>
      </c>
      <c r="E298" s="292" t="s">
        <v>1928</v>
      </c>
      <c r="F298" s="292" t="s">
        <v>58</v>
      </c>
      <c r="G298" s="292" t="s">
        <v>1929</v>
      </c>
      <c r="H298" s="292" t="s">
        <v>1930</v>
      </c>
    </row>
    <row r="299" customFormat="false" ht="54.75" hidden="false" customHeight="true" outlineLevel="0" collapsed="false">
      <c r="A299" s="83"/>
      <c r="B299" s="293"/>
      <c r="C299" s="294" t="s">
        <v>1931</v>
      </c>
      <c r="D299" s="295" t="s">
        <v>2239</v>
      </c>
      <c r="E299" s="295" t="s">
        <v>1933</v>
      </c>
      <c r="F299" s="295" t="s">
        <v>1934</v>
      </c>
      <c r="G299" s="295" t="s">
        <v>1935</v>
      </c>
      <c r="H299" s="295" t="s">
        <v>1936</v>
      </c>
    </row>
    <row r="300" customFormat="false" ht="54.75" hidden="false" customHeight="true" outlineLevel="0" collapsed="false">
      <c r="A300" s="83"/>
      <c r="B300" s="293"/>
      <c r="C300" s="296" t="s">
        <v>1937</v>
      </c>
      <c r="D300" s="292" t="s">
        <v>2240</v>
      </c>
      <c r="E300" s="292" t="s">
        <v>1939</v>
      </c>
      <c r="F300" s="292" t="s">
        <v>1940</v>
      </c>
      <c r="G300" s="292" t="s">
        <v>1941</v>
      </c>
      <c r="H300" s="292" t="s">
        <v>1942</v>
      </c>
    </row>
    <row r="301" customFormat="false" ht="54.75" hidden="false" customHeight="true" outlineLevel="0" collapsed="false">
      <c r="A301" s="83"/>
      <c r="B301" s="293"/>
      <c r="C301" s="297" t="s">
        <v>1943</v>
      </c>
      <c r="D301" s="295" t="s">
        <v>2241</v>
      </c>
      <c r="E301" s="295" t="s">
        <v>1945</v>
      </c>
      <c r="F301" s="295" t="s">
        <v>1946</v>
      </c>
      <c r="G301" s="295" t="s">
        <v>1947</v>
      </c>
      <c r="H301" s="295" t="s">
        <v>1948</v>
      </c>
    </row>
    <row r="302" customFormat="false" ht="54.75" hidden="false" customHeight="true" outlineLevel="0" collapsed="false">
      <c r="A302" s="83"/>
      <c r="B302" s="293"/>
      <c r="C302" s="298" t="s">
        <v>1949</v>
      </c>
      <c r="D302" s="292" t="s">
        <v>2242</v>
      </c>
      <c r="E302" s="292" t="s">
        <v>1951</v>
      </c>
      <c r="F302" s="292" t="s">
        <v>1952</v>
      </c>
      <c r="G302" s="292" t="s">
        <v>1953</v>
      </c>
      <c r="H302" s="292" t="s">
        <v>1954</v>
      </c>
    </row>
    <row r="303" customFormat="false" ht="54.75" hidden="false" customHeight="true" outlineLevel="0" collapsed="false">
      <c r="A303" s="83" t="n">
        <v>60</v>
      </c>
      <c r="B303" s="299" t="s">
        <v>319</v>
      </c>
      <c r="C303" s="291" t="s">
        <v>1926</v>
      </c>
      <c r="D303" s="292" t="s">
        <v>2243</v>
      </c>
      <c r="E303" s="292" t="s">
        <v>1928</v>
      </c>
      <c r="F303" s="292" t="s">
        <v>58</v>
      </c>
      <c r="G303" s="292" t="s">
        <v>1929</v>
      </c>
      <c r="H303" s="292" t="s">
        <v>1930</v>
      </c>
    </row>
    <row r="304" customFormat="false" ht="54.75" hidden="false" customHeight="true" outlineLevel="0" collapsed="false">
      <c r="A304" s="83"/>
      <c r="B304" s="300"/>
      <c r="C304" s="294" t="s">
        <v>1931</v>
      </c>
      <c r="D304" s="295" t="s">
        <v>2244</v>
      </c>
      <c r="E304" s="295" t="s">
        <v>1933</v>
      </c>
      <c r="F304" s="295" t="s">
        <v>1934</v>
      </c>
      <c r="G304" s="295" t="s">
        <v>1935</v>
      </c>
      <c r="H304" s="295" t="s">
        <v>1936</v>
      </c>
    </row>
    <row r="305" customFormat="false" ht="54.75" hidden="false" customHeight="true" outlineLevel="0" collapsed="false">
      <c r="A305" s="83"/>
      <c r="B305" s="300"/>
      <c r="C305" s="296" t="s">
        <v>1937</v>
      </c>
      <c r="D305" s="292" t="s">
        <v>2245</v>
      </c>
      <c r="E305" s="292" t="s">
        <v>1939</v>
      </c>
      <c r="F305" s="292" t="s">
        <v>1940</v>
      </c>
      <c r="G305" s="292" t="s">
        <v>1941</v>
      </c>
      <c r="H305" s="292" t="s">
        <v>1942</v>
      </c>
    </row>
    <row r="306" customFormat="false" ht="54.75" hidden="false" customHeight="true" outlineLevel="0" collapsed="false">
      <c r="A306" s="83"/>
      <c r="B306" s="300"/>
      <c r="C306" s="297" t="s">
        <v>1943</v>
      </c>
      <c r="D306" s="295" t="s">
        <v>2246</v>
      </c>
      <c r="E306" s="295" t="s">
        <v>1945</v>
      </c>
      <c r="F306" s="295" t="s">
        <v>1946</v>
      </c>
      <c r="G306" s="295" t="s">
        <v>1947</v>
      </c>
      <c r="H306" s="295" t="s">
        <v>1948</v>
      </c>
    </row>
    <row r="307" customFormat="false" ht="54.75" hidden="false" customHeight="true" outlineLevel="0" collapsed="false">
      <c r="A307" s="83"/>
      <c r="B307" s="300"/>
      <c r="C307" s="298" t="s">
        <v>1949</v>
      </c>
      <c r="D307" s="292" t="s">
        <v>2247</v>
      </c>
      <c r="E307" s="292" t="s">
        <v>1951</v>
      </c>
      <c r="F307" s="292" t="s">
        <v>1952</v>
      </c>
      <c r="G307" s="292" t="s">
        <v>1953</v>
      </c>
      <c r="H307" s="292" t="s">
        <v>1954</v>
      </c>
    </row>
    <row r="308" customFormat="false" ht="54.75" hidden="false" customHeight="true" outlineLevel="0" collapsed="false">
      <c r="A308" s="83" t="n">
        <v>61</v>
      </c>
      <c r="B308" s="290" t="s">
        <v>320</v>
      </c>
      <c r="C308" s="291" t="s">
        <v>1926</v>
      </c>
      <c r="D308" s="292" t="s">
        <v>2248</v>
      </c>
      <c r="E308" s="292" t="s">
        <v>1928</v>
      </c>
      <c r="F308" s="292" t="s">
        <v>58</v>
      </c>
      <c r="G308" s="292" t="s">
        <v>1929</v>
      </c>
      <c r="H308" s="292" t="s">
        <v>1930</v>
      </c>
    </row>
    <row r="309" customFormat="false" ht="54.75" hidden="false" customHeight="true" outlineLevel="0" collapsed="false">
      <c r="A309" s="83"/>
      <c r="B309" s="293"/>
      <c r="C309" s="294" t="s">
        <v>1931</v>
      </c>
      <c r="D309" s="295" t="s">
        <v>2249</v>
      </c>
      <c r="E309" s="295" t="s">
        <v>1933</v>
      </c>
      <c r="F309" s="295" t="s">
        <v>1934</v>
      </c>
      <c r="G309" s="295" t="s">
        <v>1935</v>
      </c>
      <c r="H309" s="295" t="s">
        <v>1936</v>
      </c>
    </row>
    <row r="310" customFormat="false" ht="54.75" hidden="false" customHeight="true" outlineLevel="0" collapsed="false">
      <c r="A310" s="83"/>
      <c r="B310" s="293"/>
      <c r="C310" s="296" t="s">
        <v>1937</v>
      </c>
      <c r="D310" s="292" t="s">
        <v>2250</v>
      </c>
      <c r="E310" s="292" t="s">
        <v>1939</v>
      </c>
      <c r="F310" s="292" t="s">
        <v>1940</v>
      </c>
      <c r="G310" s="292" t="s">
        <v>1941</v>
      </c>
      <c r="H310" s="292" t="s">
        <v>1942</v>
      </c>
    </row>
    <row r="311" customFormat="false" ht="54.75" hidden="false" customHeight="true" outlineLevel="0" collapsed="false">
      <c r="A311" s="83"/>
      <c r="B311" s="293"/>
      <c r="C311" s="297" t="s">
        <v>1943</v>
      </c>
      <c r="D311" s="295" t="s">
        <v>2251</v>
      </c>
      <c r="E311" s="295" t="s">
        <v>1945</v>
      </c>
      <c r="F311" s="295" t="s">
        <v>1946</v>
      </c>
      <c r="G311" s="295" t="s">
        <v>1947</v>
      </c>
      <c r="H311" s="295" t="s">
        <v>1948</v>
      </c>
    </row>
    <row r="312" customFormat="false" ht="54.75" hidden="false" customHeight="true" outlineLevel="0" collapsed="false">
      <c r="A312" s="83"/>
      <c r="B312" s="293"/>
      <c r="C312" s="298" t="s">
        <v>1949</v>
      </c>
      <c r="D312" s="292" t="s">
        <v>2252</v>
      </c>
      <c r="E312" s="292" t="s">
        <v>1951</v>
      </c>
      <c r="F312" s="292" t="s">
        <v>1952</v>
      </c>
      <c r="G312" s="292" t="s">
        <v>1953</v>
      </c>
      <c r="H312" s="292" t="s">
        <v>1954</v>
      </c>
    </row>
    <row r="313" customFormat="false" ht="54.75" hidden="false" customHeight="true" outlineLevel="0" collapsed="false">
      <c r="A313" s="83" t="n">
        <v>62</v>
      </c>
      <c r="B313" s="299" t="s">
        <v>321</v>
      </c>
      <c r="C313" s="291" t="s">
        <v>1926</v>
      </c>
      <c r="D313" s="292" t="s">
        <v>2253</v>
      </c>
      <c r="E313" s="292" t="s">
        <v>1928</v>
      </c>
      <c r="F313" s="292" t="s">
        <v>58</v>
      </c>
      <c r="G313" s="292" t="s">
        <v>1929</v>
      </c>
      <c r="H313" s="292" t="s">
        <v>1930</v>
      </c>
    </row>
    <row r="314" customFormat="false" ht="54.75" hidden="false" customHeight="true" outlineLevel="0" collapsed="false">
      <c r="A314" s="83"/>
      <c r="B314" s="300"/>
      <c r="C314" s="294" t="s">
        <v>1931</v>
      </c>
      <c r="D314" s="295" t="s">
        <v>2254</v>
      </c>
      <c r="E314" s="295" t="s">
        <v>1933</v>
      </c>
      <c r="F314" s="295" t="s">
        <v>1934</v>
      </c>
      <c r="G314" s="295" t="s">
        <v>1935</v>
      </c>
      <c r="H314" s="295" t="s">
        <v>1936</v>
      </c>
    </row>
    <row r="315" customFormat="false" ht="54.75" hidden="false" customHeight="true" outlineLevel="0" collapsed="false">
      <c r="A315" s="83"/>
      <c r="B315" s="300"/>
      <c r="C315" s="296" t="s">
        <v>1937</v>
      </c>
      <c r="D315" s="292" t="s">
        <v>2255</v>
      </c>
      <c r="E315" s="292" t="s">
        <v>1939</v>
      </c>
      <c r="F315" s="292" t="s">
        <v>1940</v>
      </c>
      <c r="G315" s="292" t="s">
        <v>1941</v>
      </c>
      <c r="H315" s="292" t="s">
        <v>1942</v>
      </c>
    </row>
    <row r="316" customFormat="false" ht="54.75" hidden="false" customHeight="true" outlineLevel="0" collapsed="false">
      <c r="A316" s="83"/>
      <c r="B316" s="300"/>
      <c r="C316" s="297" t="s">
        <v>1943</v>
      </c>
      <c r="D316" s="295" t="s">
        <v>2256</v>
      </c>
      <c r="E316" s="295" t="s">
        <v>1945</v>
      </c>
      <c r="F316" s="295" t="s">
        <v>1946</v>
      </c>
      <c r="G316" s="295" t="s">
        <v>1947</v>
      </c>
      <c r="H316" s="295" t="s">
        <v>1948</v>
      </c>
    </row>
    <row r="317" customFormat="false" ht="54.75" hidden="false" customHeight="true" outlineLevel="0" collapsed="false">
      <c r="A317" s="83"/>
      <c r="B317" s="300"/>
      <c r="C317" s="298" t="s">
        <v>1949</v>
      </c>
      <c r="D317" s="292" t="s">
        <v>2257</v>
      </c>
      <c r="E317" s="292" t="s">
        <v>1951</v>
      </c>
      <c r="F317" s="292" t="s">
        <v>1952</v>
      </c>
      <c r="G317" s="292" t="s">
        <v>1953</v>
      </c>
      <c r="H317" s="292" t="s">
        <v>1954</v>
      </c>
    </row>
    <row r="318" customFormat="false" ht="54.75" hidden="false" customHeight="true" outlineLevel="0" collapsed="false">
      <c r="A318" s="83" t="n">
        <v>63</v>
      </c>
      <c r="B318" s="290" t="s">
        <v>322</v>
      </c>
      <c r="C318" s="291" t="s">
        <v>1926</v>
      </c>
      <c r="D318" s="292" t="s">
        <v>2258</v>
      </c>
      <c r="E318" s="292" t="s">
        <v>1928</v>
      </c>
      <c r="F318" s="292" t="s">
        <v>58</v>
      </c>
      <c r="G318" s="292" t="s">
        <v>1929</v>
      </c>
      <c r="H318" s="292" t="s">
        <v>1930</v>
      </c>
    </row>
    <row r="319" customFormat="false" ht="54.75" hidden="false" customHeight="true" outlineLevel="0" collapsed="false">
      <c r="A319" s="83"/>
      <c r="B319" s="293"/>
      <c r="C319" s="294" t="s">
        <v>1931</v>
      </c>
      <c r="D319" s="295" t="s">
        <v>2259</v>
      </c>
      <c r="E319" s="295" t="s">
        <v>1933</v>
      </c>
      <c r="F319" s="295" t="s">
        <v>1934</v>
      </c>
      <c r="G319" s="295" t="s">
        <v>1935</v>
      </c>
      <c r="H319" s="295" t="s">
        <v>1936</v>
      </c>
    </row>
    <row r="320" customFormat="false" ht="54.75" hidden="false" customHeight="true" outlineLevel="0" collapsed="false">
      <c r="A320" s="83"/>
      <c r="B320" s="293"/>
      <c r="C320" s="296" t="s">
        <v>1937</v>
      </c>
      <c r="D320" s="292" t="s">
        <v>2260</v>
      </c>
      <c r="E320" s="292" t="s">
        <v>1939</v>
      </c>
      <c r="F320" s="292" t="s">
        <v>1940</v>
      </c>
      <c r="G320" s="292" t="s">
        <v>1941</v>
      </c>
      <c r="H320" s="292" t="s">
        <v>1942</v>
      </c>
    </row>
    <row r="321" customFormat="false" ht="54.75" hidden="false" customHeight="true" outlineLevel="0" collapsed="false">
      <c r="A321" s="83"/>
      <c r="B321" s="293"/>
      <c r="C321" s="297" t="s">
        <v>1943</v>
      </c>
      <c r="D321" s="295" t="s">
        <v>2261</v>
      </c>
      <c r="E321" s="295" t="s">
        <v>1945</v>
      </c>
      <c r="F321" s="295" t="s">
        <v>1946</v>
      </c>
      <c r="G321" s="295" t="s">
        <v>1947</v>
      </c>
      <c r="H321" s="295" t="s">
        <v>1948</v>
      </c>
    </row>
    <row r="322" customFormat="false" ht="54.75" hidden="false" customHeight="true" outlineLevel="0" collapsed="false">
      <c r="A322" s="83"/>
      <c r="B322" s="293"/>
      <c r="C322" s="298" t="s">
        <v>1949</v>
      </c>
      <c r="D322" s="292" t="s">
        <v>2262</v>
      </c>
      <c r="E322" s="292" t="s">
        <v>1951</v>
      </c>
      <c r="F322" s="292" t="s">
        <v>1952</v>
      </c>
      <c r="G322" s="292" t="s">
        <v>1953</v>
      </c>
      <c r="H322" s="292" t="s">
        <v>1954</v>
      </c>
    </row>
    <row r="323" customFormat="false" ht="54.75" hidden="false" customHeight="true" outlineLevel="0" collapsed="false">
      <c r="A323" s="83" t="n">
        <v>64</v>
      </c>
      <c r="B323" s="299" t="s">
        <v>323</v>
      </c>
      <c r="C323" s="291" t="s">
        <v>1926</v>
      </c>
      <c r="D323" s="292" t="s">
        <v>2263</v>
      </c>
      <c r="E323" s="292" t="s">
        <v>1928</v>
      </c>
      <c r="F323" s="292" t="s">
        <v>58</v>
      </c>
      <c r="G323" s="292" t="s">
        <v>1929</v>
      </c>
      <c r="H323" s="292" t="s">
        <v>1930</v>
      </c>
    </row>
    <row r="324" customFormat="false" ht="54.75" hidden="false" customHeight="true" outlineLevel="0" collapsed="false">
      <c r="A324" s="83"/>
      <c r="B324" s="300"/>
      <c r="C324" s="294" t="s">
        <v>1931</v>
      </c>
      <c r="D324" s="295" t="s">
        <v>2264</v>
      </c>
      <c r="E324" s="295" t="s">
        <v>1933</v>
      </c>
      <c r="F324" s="295" t="s">
        <v>1934</v>
      </c>
      <c r="G324" s="295" t="s">
        <v>1935</v>
      </c>
      <c r="H324" s="295" t="s">
        <v>1936</v>
      </c>
    </row>
    <row r="325" customFormat="false" ht="54.75" hidden="false" customHeight="true" outlineLevel="0" collapsed="false">
      <c r="A325" s="83"/>
      <c r="B325" s="300"/>
      <c r="C325" s="296" t="s">
        <v>1937</v>
      </c>
      <c r="D325" s="292" t="s">
        <v>2265</v>
      </c>
      <c r="E325" s="292" t="s">
        <v>1939</v>
      </c>
      <c r="F325" s="292" t="s">
        <v>1940</v>
      </c>
      <c r="G325" s="292" t="s">
        <v>1941</v>
      </c>
      <c r="H325" s="292" t="s">
        <v>1942</v>
      </c>
    </row>
    <row r="326" customFormat="false" ht="54.75" hidden="false" customHeight="true" outlineLevel="0" collapsed="false">
      <c r="A326" s="83"/>
      <c r="B326" s="300"/>
      <c r="C326" s="297" t="s">
        <v>1943</v>
      </c>
      <c r="D326" s="295" t="s">
        <v>2266</v>
      </c>
      <c r="E326" s="295" t="s">
        <v>1945</v>
      </c>
      <c r="F326" s="295" t="s">
        <v>1946</v>
      </c>
      <c r="G326" s="295" t="s">
        <v>1947</v>
      </c>
      <c r="H326" s="295" t="s">
        <v>1948</v>
      </c>
    </row>
    <row r="327" customFormat="false" ht="54.75" hidden="false" customHeight="true" outlineLevel="0" collapsed="false">
      <c r="A327" s="83"/>
      <c r="B327" s="300"/>
      <c r="C327" s="298" t="s">
        <v>1949</v>
      </c>
      <c r="D327" s="292" t="s">
        <v>2267</v>
      </c>
      <c r="E327" s="292" t="s">
        <v>1951</v>
      </c>
      <c r="F327" s="292" t="s">
        <v>1952</v>
      </c>
      <c r="G327" s="292" t="s">
        <v>1953</v>
      </c>
      <c r="H327" s="292" t="s">
        <v>1954</v>
      </c>
    </row>
    <row r="328" customFormat="false" ht="54.75" hidden="false" customHeight="true" outlineLevel="0" collapsed="false">
      <c r="A328" s="83" t="n">
        <v>65</v>
      </c>
      <c r="B328" s="290" t="s">
        <v>324</v>
      </c>
      <c r="C328" s="291" t="s">
        <v>1926</v>
      </c>
      <c r="D328" s="292" t="s">
        <v>2268</v>
      </c>
      <c r="E328" s="292" t="s">
        <v>1928</v>
      </c>
      <c r="F328" s="292" t="s">
        <v>58</v>
      </c>
      <c r="G328" s="292" t="s">
        <v>1929</v>
      </c>
      <c r="H328" s="292" t="s">
        <v>1930</v>
      </c>
    </row>
    <row r="329" customFormat="false" ht="54.75" hidden="false" customHeight="true" outlineLevel="0" collapsed="false">
      <c r="A329" s="83"/>
      <c r="B329" s="293"/>
      <c r="C329" s="294" t="s">
        <v>1931</v>
      </c>
      <c r="D329" s="295" t="s">
        <v>2269</v>
      </c>
      <c r="E329" s="295" t="s">
        <v>1933</v>
      </c>
      <c r="F329" s="295" t="s">
        <v>1934</v>
      </c>
      <c r="G329" s="295" t="s">
        <v>1935</v>
      </c>
      <c r="H329" s="295" t="s">
        <v>1936</v>
      </c>
    </row>
    <row r="330" customFormat="false" ht="54.75" hidden="false" customHeight="true" outlineLevel="0" collapsed="false">
      <c r="A330" s="83"/>
      <c r="B330" s="293"/>
      <c r="C330" s="296" t="s">
        <v>1937</v>
      </c>
      <c r="D330" s="292" t="s">
        <v>2270</v>
      </c>
      <c r="E330" s="292" t="s">
        <v>1939</v>
      </c>
      <c r="F330" s="292" t="s">
        <v>1940</v>
      </c>
      <c r="G330" s="292" t="s">
        <v>1941</v>
      </c>
      <c r="H330" s="292" t="s">
        <v>1942</v>
      </c>
    </row>
    <row r="331" customFormat="false" ht="54.75" hidden="false" customHeight="true" outlineLevel="0" collapsed="false">
      <c r="A331" s="83"/>
      <c r="B331" s="293"/>
      <c r="C331" s="297" t="s">
        <v>1943</v>
      </c>
      <c r="D331" s="295" t="s">
        <v>2271</v>
      </c>
      <c r="E331" s="295" t="s">
        <v>1945</v>
      </c>
      <c r="F331" s="295" t="s">
        <v>1946</v>
      </c>
      <c r="G331" s="295" t="s">
        <v>1947</v>
      </c>
      <c r="H331" s="295" t="s">
        <v>1948</v>
      </c>
    </row>
    <row r="332" customFormat="false" ht="54.75" hidden="false" customHeight="true" outlineLevel="0" collapsed="false">
      <c r="A332" s="83"/>
      <c r="B332" s="293"/>
      <c r="C332" s="298" t="s">
        <v>1949</v>
      </c>
      <c r="D332" s="292" t="s">
        <v>2272</v>
      </c>
      <c r="E332" s="292" t="s">
        <v>1951</v>
      </c>
      <c r="F332" s="292" t="s">
        <v>1952</v>
      </c>
      <c r="G332" s="292" t="s">
        <v>1953</v>
      </c>
      <c r="H332" s="292" t="s">
        <v>1954</v>
      </c>
    </row>
    <row r="333" customFormat="false" ht="54.75" hidden="false" customHeight="true" outlineLevel="0" collapsed="false">
      <c r="A333" s="83" t="n">
        <v>66</v>
      </c>
      <c r="B333" s="299" t="s">
        <v>325</v>
      </c>
      <c r="C333" s="291" t="s">
        <v>1926</v>
      </c>
      <c r="D333" s="292" t="s">
        <v>2273</v>
      </c>
      <c r="E333" s="292" t="s">
        <v>1928</v>
      </c>
      <c r="F333" s="292" t="s">
        <v>58</v>
      </c>
      <c r="G333" s="292" t="s">
        <v>1929</v>
      </c>
      <c r="H333" s="292" t="s">
        <v>1930</v>
      </c>
    </row>
    <row r="334" customFormat="false" ht="54.75" hidden="false" customHeight="true" outlineLevel="0" collapsed="false">
      <c r="A334" s="83"/>
      <c r="B334" s="300"/>
      <c r="C334" s="294" t="s">
        <v>1931</v>
      </c>
      <c r="D334" s="295" t="s">
        <v>2274</v>
      </c>
      <c r="E334" s="295" t="s">
        <v>1933</v>
      </c>
      <c r="F334" s="295" t="s">
        <v>1934</v>
      </c>
      <c r="G334" s="295" t="s">
        <v>1935</v>
      </c>
      <c r="H334" s="295" t="s">
        <v>1936</v>
      </c>
    </row>
    <row r="335" customFormat="false" ht="54.75" hidden="false" customHeight="true" outlineLevel="0" collapsed="false">
      <c r="A335" s="83"/>
      <c r="B335" s="300"/>
      <c r="C335" s="296" t="s">
        <v>1937</v>
      </c>
      <c r="D335" s="292" t="s">
        <v>2275</v>
      </c>
      <c r="E335" s="292" t="s">
        <v>1939</v>
      </c>
      <c r="F335" s="292" t="s">
        <v>1940</v>
      </c>
      <c r="G335" s="292" t="s">
        <v>1941</v>
      </c>
      <c r="H335" s="292" t="s">
        <v>1942</v>
      </c>
    </row>
    <row r="336" customFormat="false" ht="54.75" hidden="false" customHeight="true" outlineLevel="0" collapsed="false">
      <c r="A336" s="83"/>
      <c r="B336" s="300"/>
      <c r="C336" s="297" t="s">
        <v>1943</v>
      </c>
      <c r="D336" s="295" t="s">
        <v>2276</v>
      </c>
      <c r="E336" s="295" t="s">
        <v>1945</v>
      </c>
      <c r="F336" s="295" t="s">
        <v>1946</v>
      </c>
      <c r="G336" s="295" t="s">
        <v>1947</v>
      </c>
      <c r="H336" s="295" t="s">
        <v>1948</v>
      </c>
    </row>
    <row r="337" customFormat="false" ht="54.75" hidden="false" customHeight="true" outlineLevel="0" collapsed="false">
      <c r="A337" s="83"/>
      <c r="B337" s="300"/>
      <c r="C337" s="298" t="s">
        <v>1949</v>
      </c>
      <c r="D337" s="292" t="s">
        <v>2277</v>
      </c>
      <c r="E337" s="292" t="s">
        <v>1951</v>
      </c>
      <c r="F337" s="292" t="s">
        <v>1952</v>
      </c>
      <c r="G337" s="292" t="s">
        <v>1953</v>
      </c>
      <c r="H337" s="292" t="s">
        <v>1954</v>
      </c>
    </row>
    <row r="338" customFormat="false" ht="54.75" hidden="false" customHeight="true" outlineLevel="0" collapsed="false">
      <c r="A338" s="83" t="n">
        <v>67</v>
      </c>
      <c r="B338" s="290" t="s">
        <v>326</v>
      </c>
      <c r="C338" s="291" t="s">
        <v>1926</v>
      </c>
      <c r="D338" s="292" t="s">
        <v>2278</v>
      </c>
      <c r="E338" s="292" t="s">
        <v>1928</v>
      </c>
      <c r="F338" s="292" t="s">
        <v>58</v>
      </c>
      <c r="G338" s="292" t="s">
        <v>1929</v>
      </c>
      <c r="H338" s="292" t="s">
        <v>1930</v>
      </c>
    </row>
    <row r="339" customFormat="false" ht="54.75" hidden="false" customHeight="true" outlineLevel="0" collapsed="false">
      <c r="A339" s="83"/>
      <c r="B339" s="293"/>
      <c r="C339" s="294" t="s">
        <v>1931</v>
      </c>
      <c r="D339" s="295" t="s">
        <v>2279</v>
      </c>
      <c r="E339" s="295" t="s">
        <v>1933</v>
      </c>
      <c r="F339" s="295" t="s">
        <v>1934</v>
      </c>
      <c r="G339" s="295" t="s">
        <v>1935</v>
      </c>
      <c r="H339" s="295" t="s">
        <v>1936</v>
      </c>
    </row>
    <row r="340" customFormat="false" ht="54.75" hidden="false" customHeight="true" outlineLevel="0" collapsed="false">
      <c r="A340" s="83"/>
      <c r="B340" s="293"/>
      <c r="C340" s="296" t="s">
        <v>1937</v>
      </c>
      <c r="D340" s="292" t="s">
        <v>2280</v>
      </c>
      <c r="E340" s="292" t="s">
        <v>1939</v>
      </c>
      <c r="F340" s="292" t="s">
        <v>1940</v>
      </c>
      <c r="G340" s="292" t="s">
        <v>1941</v>
      </c>
      <c r="H340" s="292" t="s">
        <v>1942</v>
      </c>
    </row>
    <row r="341" customFormat="false" ht="54.75" hidden="false" customHeight="true" outlineLevel="0" collapsed="false">
      <c r="A341" s="83"/>
      <c r="B341" s="293"/>
      <c r="C341" s="297" t="s">
        <v>1943</v>
      </c>
      <c r="D341" s="295" t="s">
        <v>2281</v>
      </c>
      <c r="E341" s="295" t="s">
        <v>1945</v>
      </c>
      <c r="F341" s="295" t="s">
        <v>1946</v>
      </c>
      <c r="G341" s="295" t="s">
        <v>1947</v>
      </c>
      <c r="H341" s="295" t="s">
        <v>1948</v>
      </c>
    </row>
    <row r="342" customFormat="false" ht="54.75" hidden="false" customHeight="true" outlineLevel="0" collapsed="false">
      <c r="A342" s="83"/>
      <c r="B342" s="293"/>
      <c r="C342" s="298" t="s">
        <v>1949</v>
      </c>
      <c r="D342" s="292" t="s">
        <v>2282</v>
      </c>
      <c r="E342" s="292" t="s">
        <v>1951</v>
      </c>
      <c r="F342" s="292" t="s">
        <v>1952</v>
      </c>
      <c r="G342" s="292" t="s">
        <v>1953</v>
      </c>
      <c r="H342" s="292" t="s">
        <v>1954</v>
      </c>
    </row>
    <row r="343" customFormat="false" ht="54.75" hidden="false" customHeight="true" outlineLevel="0" collapsed="false">
      <c r="A343" s="83" t="n">
        <v>68</v>
      </c>
      <c r="B343" s="299" t="s">
        <v>327</v>
      </c>
      <c r="C343" s="291" t="s">
        <v>1926</v>
      </c>
      <c r="D343" s="292" t="s">
        <v>2283</v>
      </c>
      <c r="E343" s="292" t="s">
        <v>1928</v>
      </c>
      <c r="F343" s="292" t="s">
        <v>58</v>
      </c>
      <c r="G343" s="292" t="s">
        <v>1929</v>
      </c>
      <c r="H343" s="292" t="s">
        <v>1930</v>
      </c>
    </row>
    <row r="344" customFormat="false" ht="54.75" hidden="false" customHeight="true" outlineLevel="0" collapsed="false">
      <c r="A344" s="83"/>
      <c r="B344" s="300"/>
      <c r="C344" s="294" t="s">
        <v>1931</v>
      </c>
      <c r="D344" s="295" t="s">
        <v>2284</v>
      </c>
      <c r="E344" s="295" t="s">
        <v>1933</v>
      </c>
      <c r="F344" s="295" t="s">
        <v>1934</v>
      </c>
      <c r="G344" s="295" t="s">
        <v>1935</v>
      </c>
      <c r="H344" s="295" t="s">
        <v>1936</v>
      </c>
    </row>
    <row r="345" customFormat="false" ht="54.75" hidden="false" customHeight="true" outlineLevel="0" collapsed="false">
      <c r="A345" s="83"/>
      <c r="B345" s="300"/>
      <c r="C345" s="296" t="s">
        <v>1937</v>
      </c>
      <c r="D345" s="292" t="s">
        <v>2285</v>
      </c>
      <c r="E345" s="292" t="s">
        <v>1939</v>
      </c>
      <c r="F345" s="292" t="s">
        <v>1940</v>
      </c>
      <c r="G345" s="292" t="s">
        <v>1941</v>
      </c>
      <c r="H345" s="292" t="s">
        <v>1942</v>
      </c>
    </row>
    <row r="346" customFormat="false" ht="54.75" hidden="false" customHeight="true" outlineLevel="0" collapsed="false">
      <c r="A346" s="83"/>
      <c r="B346" s="300"/>
      <c r="C346" s="297" t="s">
        <v>1943</v>
      </c>
      <c r="D346" s="295" t="s">
        <v>2286</v>
      </c>
      <c r="E346" s="295" t="s">
        <v>1945</v>
      </c>
      <c r="F346" s="295" t="s">
        <v>1946</v>
      </c>
      <c r="G346" s="295" t="s">
        <v>1947</v>
      </c>
      <c r="H346" s="295" t="s">
        <v>1948</v>
      </c>
    </row>
    <row r="347" customFormat="false" ht="54.75" hidden="false" customHeight="true" outlineLevel="0" collapsed="false">
      <c r="A347" s="83"/>
      <c r="B347" s="300"/>
      <c r="C347" s="298" t="s">
        <v>1949</v>
      </c>
      <c r="D347" s="292" t="s">
        <v>2287</v>
      </c>
      <c r="E347" s="292" t="s">
        <v>1951</v>
      </c>
      <c r="F347" s="292" t="s">
        <v>1952</v>
      </c>
      <c r="G347" s="292" t="s">
        <v>1953</v>
      </c>
      <c r="H347" s="292" t="s">
        <v>1954</v>
      </c>
    </row>
    <row r="348" customFormat="false" ht="54.75" hidden="false" customHeight="true" outlineLevel="0" collapsed="false">
      <c r="A348" s="83" t="n">
        <v>69</v>
      </c>
      <c r="B348" s="290" t="s">
        <v>328</v>
      </c>
      <c r="C348" s="291" t="s">
        <v>1926</v>
      </c>
      <c r="D348" s="292" t="s">
        <v>2288</v>
      </c>
      <c r="E348" s="292" t="s">
        <v>1928</v>
      </c>
      <c r="F348" s="292" t="s">
        <v>58</v>
      </c>
      <c r="G348" s="292" t="s">
        <v>1929</v>
      </c>
      <c r="H348" s="292" t="s">
        <v>1930</v>
      </c>
    </row>
    <row r="349" customFormat="false" ht="54.75" hidden="false" customHeight="true" outlineLevel="0" collapsed="false">
      <c r="A349" s="83"/>
      <c r="B349" s="293"/>
      <c r="C349" s="294" t="s">
        <v>1931</v>
      </c>
      <c r="D349" s="295" t="s">
        <v>2289</v>
      </c>
      <c r="E349" s="295" t="s">
        <v>1933</v>
      </c>
      <c r="F349" s="295" t="s">
        <v>1934</v>
      </c>
      <c r="G349" s="295" t="s">
        <v>1935</v>
      </c>
      <c r="H349" s="295" t="s">
        <v>1936</v>
      </c>
    </row>
    <row r="350" customFormat="false" ht="54.75" hidden="false" customHeight="true" outlineLevel="0" collapsed="false">
      <c r="A350" s="83"/>
      <c r="B350" s="293"/>
      <c r="C350" s="296" t="s">
        <v>1937</v>
      </c>
      <c r="D350" s="292" t="s">
        <v>2290</v>
      </c>
      <c r="E350" s="292" t="s">
        <v>1939</v>
      </c>
      <c r="F350" s="292" t="s">
        <v>1940</v>
      </c>
      <c r="G350" s="292" t="s">
        <v>1941</v>
      </c>
      <c r="H350" s="292" t="s">
        <v>1942</v>
      </c>
    </row>
    <row r="351" customFormat="false" ht="54.75" hidden="false" customHeight="true" outlineLevel="0" collapsed="false">
      <c r="A351" s="83"/>
      <c r="B351" s="293"/>
      <c r="C351" s="297" t="s">
        <v>1943</v>
      </c>
      <c r="D351" s="295" t="s">
        <v>2291</v>
      </c>
      <c r="E351" s="295" t="s">
        <v>1945</v>
      </c>
      <c r="F351" s="295" t="s">
        <v>1946</v>
      </c>
      <c r="G351" s="295" t="s">
        <v>1947</v>
      </c>
      <c r="H351" s="295" t="s">
        <v>1948</v>
      </c>
    </row>
    <row r="352" customFormat="false" ht="54.75" hidden="false" customHeight="true" outlineLevel="0" collapsed="false">
      <c r="A352" s="83"/>
      <c r="B352" s="293"/>
      <c r="C352" s="298" t="s">
        <v>1949</v>
      </c>
      <c r="D352" s="292" t="s">
        <v>2292</v>
      </c>
      <c r="E352" s="292" t="s">
        <v>1951</v>
      </c>
      <c r="F352" s="292" t="s">
        <v>1952</v>
      </c>
      <c r="G352" s="292" t="s">
        <v>1953</v>
      </c>
      <c r="H352" s="292" t="s">
        <v>1954</v>
      </c>
    </row>
    <row r="353" customFormat="false" ht="54.75" hidden="false" customHeight="true" outlineLevel="0" collapsed="false">
      <c r="A353" s="83" t="n">
        <v>70</v>
      </c>
      <c r="B353" s="299" t="s">
        <v>329</v>
      </c>
      <c r="C353" s="291" t="s">
        <v>1926</v>
      </c>
      <c r="D353" s="292" t="s">
        <v>2293</v>
      </c>
      <c r="E353" s="292" t="s">
        <v>1928</v>
      </c>
      <c r="F353" s="292" t="s">
        <v>58</v>
      </c>
      <c r="G353" s="292" t="s">
        <v>1929</v>
      </c>
      <c r="H353" s="292" t="s">
        <v>1930</v>
      </c>
    </row>
    <row r="354" customFormat="false" ht="54.75" hidden="false" customHeight="true" outlineLevel="0" collapsed="false">
      <c r="A354" s="83"/>
      <c r="B354" s="300"/>
      <c r="C354" s="294" t="s">
        <v>1931</v>
      </c>
      <c r="D354" s="295" t="s">
        <v>2294</v>
      </c>
      <c r="E354" s="295" t="s">
        <v>1933</v>
      </c>
      <c r="F354" s="295" t="s">
        <v>1934</v>
      </c>
      <c r="G354" s="295" t="s">
        <v>1935</v>
      </c>
      <c r="H354" s="295" t="s">
        <v>1936</v>
      </c>
    </row>
    <row r="355" customFormat="false" ht="54.75" hidden="false" customHeight="true" outlineLevel="0" collapsed="false">
      <c r="A355" s="83"/>
      <c r="B355" s="300"/>
      <c r="C355" s="296" t="s">
        <v>1937</v>
      </c>
      <c r="D355" s="292" t="s">
        <v>2295</v>
      </c>
      <c r="E355" s="292" t="s">
        <v>1939</v>
      </c>
      <c r="F355" s="292" t="s">
        <v>1940</v>
      </c>
      <c r="G355" s="292" t="s">
        <v>1941</v>
      </c>
      <c r="H355" s="292" t="s">
        <v>1942</v>
      </c>
    </row>
    <row r="356" customFormat="false" ht="54.75" hidden="false" customHeight="true" outlineLevel="0" collapsed="false">
      <c r="A356" s="83"/>
      <c r="B356" s="300"/>
      <c r="C356" s="297" t="s">
        <v>1943</v>
      </c>
      <c r="D356" s="295" t="s">
        <v>2296</v>
      </c>
      <c r="E356" s="295" t="s">
        <v>1945</v>
      </c>
      <c r="F356" s="295" t="s">
        <v>1946</v>
      </c>
      <c r="G356" s="295" t="s">
        <v>1947</v>
      </c>
      <c r="H356" s="295" t="s">
        <v>1948</v>
      </c>
    </row>
    <row r="357" customFormat="false" ht="54.75" hidden="false" customHeight="true" outlineLevel="0" collapsed="false">
      <c r="A357" s="83"/>
      <c r="B357" s="300"/>
      <c r="C357" s="298" t="s">
        <v>1949</v>
      </c>
      <c r="D357" s="292" t="s">
        <v>2297</v>
      </c>
      <c r="E357" s="292" t="s">
        <v>1951</v>
      </c>
      <c r="F357" s="292" t="s">
        <v>1952</v>
      </c>
      <c r="G357" s="292" t="s">
        <v>1953</v>
      </c>
      <c r="H357" s="292" t="s">
        <v>1954</v>
      </c>
    </row>
    <row r="358" customFormat="false" ht="54.75" hidden="false" customHeight="true" outlineLevel="0" collapsed="false">
      <c r="A358" s="83" t="n">
        <v>71</v>
      </c>
      <c r="B358" s="290" t="s">
        <v>330</v>
      </c>
      <c r="C358" s="291" t="s">
        <v>1926</v>
      </c>
      <c r="D358" s="292" t="s">
        <v>2298</v>
      </c>
      <c r="E358" s="292" t="s">
        <v>1928</v>
      </c>
      <c r="F358" s="292" t="s">
        <v>58</v>
      </c>
      <c r="G358" s="292" t="s">
        <v>1929</v>
      </c>
      <c r="H358" s="292" t="s">
        <v>1930</v>
      </c>
    </row>
    <row r="359" customFormat="false" ht="54.75" hidden="false" customHeight="true" outlineLevel="0" collapsed="false">
      <c r="A359" s="83"/>
      <c r="B359" s="293"/>
      <c r="C359" s="294" t="s">
        <v>1931</v>
      </c>
      <c r="D359" s="295" t="s">
        <v>2299</v>
      </c>
      <c r="E359" s="295" t="s">
        <v>1933</v>
      </c>
      <c r="F359" s="295" t="s">
        <v>1934</v>
      </c>
      <c r="G359" s="295" t="s">
        <v>1935</v>
      </c>
      <c r="H359" s="295" t="s">
        <v>1936</v>
      </c>
    </row>
    <row r="360" customFormat="false" ht="54.75" hidden="false" customHeight="true" outlineLevel="0" collapsed="false">
      <c r="A360" s="83"/>
      <c r="B360" s="293"/>
      <c r="C360" s="296" t="s">
        <v>1937</v>
      </c>
      <c r="D360" s="292" t="s">
        <v>2300</v>
      </c>
      <c r="E360" s="292" t="s">
        <v>1939</v>
      </c>
      <c r="F360" s="292" t="s">
        <v>1940</v>
      </c>
      <c r="G360" s="292" t="s">
        <v>1941</v>
      </c>
      <c r="H360" s="292" t="s">
        <v>1942</v>
      </c>
    </row>
    <row r="361" customFormat="false" ht="54.75" hidden="false" customHeight="true" outlineLevel="0" collapsed="false">
      <c r="A361" s="83"/>
      <c r="B361" s="293"/>
      <c r="C361" s="297" t="s">
        <v>1943</v>
      </c>
      <c r="D361" s="295" t="s">
        <v>2301</v>
      </c>
      <c r="E361" s="295" t="s">
        <v>1945</v>
      </c>
      <c r="F361" s="295" t="s">
        <v>1946</v>
      </c>
      <c r="G361" s="295" t="s">
        <v>1947</v>
      </c>
      <c r="H361" s="295" t="s">
        <v>1948</v>
      </c>
    </row>
    <row r="362" customFormat="false" ht="54.75" hidden="false" customHeight="true" outlineLevel="0" collapsed="false">
      <c r="A362" s="83"/>
      <c r="B362" s="293"/>
      <c r="C362" s="298" t="s">
        <v>1949</v>
      </c>
      <c r="D362" s="292" t="s">
        <v>2302</v>
      </c>
      <c r="E362" s="292" t="s">
        <v>1951</v>
      </c>
      <c r="F362" s="292" t="s">
        <v>1952</v>
      </c>
      <c r="G362" s="292" t="s">
        <v>1953</v>
      </c>
      <c r="H362" s="292" t="s">
        <v>1954</v>
      </c>
    </row>
    <row r="363" customFormat="false" ht="54.75" hidden="false" customHeight="true" outlineLevel="0" collapsed="false">
      <c r="A363" s="83" t="n">
        <v>72</v>
      </c>
      <c r="B363" s="299" t="s">
        <v>331</v>
      </c>
      <c r="C363" s="291" t="s">
        <v>1926</v>
      </c>
      <c r="D363" s="292" t="s">
        <v>2303</v>
      </c>
      <c r="E363" s="292" t="s">
        <v>1928</v>
      </c>
      <c r="F363" s="292" t="s">
        <v>58</v>
      </c>
      <c r="G363" s="292" t="s">
        <v>1929</v>
      </c>
      <c r="H363" s="292" t="s">
        <v>1930</v>
      </c>
    </row>
    <row r="364" customFormat="false" ht="54.75" hidden="false" customHeight="true" outlineLevel="0" collapsed="false">
      <c r="A364" s="83"/>
      <c r="B364" s="300"/>
      <c r="C364" s="294" t="s">
        <v>1931</v>
      </c>
      <c r="D364" s="295" t="s">
        <v>2304</v>
      </c>
      <c r="E364" s="295" t="s">
        <v>1933</v>
      </c>
      <c r="F364" s="295" t="s">
        <v>1934</v>
      </c>
      <c r="G364" s="295" t="s">
        <v>1935</v>
      </c>
      <c r="H364" s="295" t="s">
        <v>1936</v>
      </c>
    </row>
    <row r="365" customFormat="false" ht="54.75" hidden="false" customHeight="true" outlineLevel="0" collapsed="false">
      <c r="A365" s="83"/>
      <c r="B365" s="300"/>
      <c r="C365" s="296" t="s">
        <v>1937</v>
      </c>
      <c r="D365" s="292" t="s">
        <v>2305</v>
      </c>
      <c r="E365" s="292" t="s">
        <v>1939</v>
      </c>
      <c r="F365" s="292" t="s">
        <v>1940</v>
      </c>
      <c r="G365" s="292" t="s">
        <v>1941</v>
      </c>
      <c r="H365" s="292" t="s">
        <v>1942</v>
      </c>
    </row>
    <row r="366" customFormat="false" ht="54.75" hidden="false" customHeight="true" outlineLevel="0" collapsed="false">
      <c r="A366" s="83"/>
      <c r="B366" s="300"/>
      <c r="C366" s="297" t="s">
        <v>1943</v>
      </c>
      <c r="D366" s="295" t="s">
        <v>2306</v>
      </c>
      <c r="E366" s="295" t="s">
        <v>1945</v>
      </c>
      <c r="F366" s="295" t="s">
        <v>1946</v>
      </c>
      <c r="G366" s="295" t="s">
        <v>1947</v>
      </c>
      <c r="H366" s="295" t="s">
        <v>1948</v>
      </c>
    </row>
    <row r="367" customFormat="false" ht="54.75" hidden="false" customHeight="true" outlineLevel="0" collapsed="false">
      <c r="A367" s="83"/>
      <c r="B367" s="300"/>
      <c r="C367" s="298" t="s">
        <v>1949</v>
      </c>
      <c r="D367" s="292" t="s">
        <v>2307</v>
      </c>
      <c r="E367" s="292" t="s">
        <v>1951</v>
      </c>
      <c r="F367" s="292" t="s">
        <v>1952</v>
      </c>
      <c r="G367" s="292" t="s">
        <v>1953</v>
      </c>
      <c r="H367" s="292" t="s">
        <v>1954</v>
      </c>
    </row>
    <row r="368" customFormat="false" ht="54.75" hidden="false" customHeight="true" outlineLevel="0" collapsed="false">
      <c r="A368" s="83" t="n">
        <v>73</v>
      </c>
      <c r="B368" s="290" t="s">
        <v>332</v>
      </c>
      <c r="C368" s="291" t="s">
        <v>1926</v>
      </c>
      <c r="D368" s="292" t="s">
        <v>2308</v>
      </c>
      <c r="E368" s="292" t="s">
        <v>1928</v>
      </c>
      <c r="F368" s="292" t="s">
        <v>58</v>
      </c>
      <c r="G368" s="292" t="s">
        <v>1929</v>
      </c>
      <c r="H368" s="292" t="s">
        <v>1930</v>
      </c>
    </row>
    <row r="369" customFormat="false" ht="54.75" hidden="false" customHeight="true" outlineLevel="0" collapsed="false">
      <c r="A369" s="83"/>
      <c r="B369" s="293"/>
      <c r="C369" s="294" t="s">
        <v>1931</v>
      </c>
      <c r="D369" s="295" t="s">
        <v>2309</v>
      </c>
      <c r="E369" s="295" t="s">
        <v>1933</v>
      </c>
      <c r="F369" s="295" t="s">
        <v>1934</v>
      </c>
      <c r="G369" s="295" t="s">
        <v>1935</v>
      </c>
      <c r="H369" s="295" t="s">
        <v>1936</v>
      </c>
    </row>
    <row r="370" customFormat="false" ht="54.75" hidden="false" customHeight="true" outlineLevel="0" collapsed="false">
      <c r="A370" s="83"/>
      <c r="B370" s="293"/>
      <c r="C370" s="296" t="s">
        <v>1937</v>
      </c>
      <c r="D370" s="292" t="s">
        <v>2310</v>
      </c>
      <c r="E370" s="292" t="s">
        <v>1939</v>
      </c>
      <c r="F370" s="292" t="s">
        <v>1940</v>
      </c>
      <c r="G370" s="292" t="s">
        <v>1941</v>
      </c>
      <c r="H370" s="292" t="s">
        <v>1942</v>
      </c>
    </row>
    <row r="371" customFormat="false" ht="54.75" hidden="false" customHeight="true" outlineLevel="0" collapsed="false">
      <c r="A371" s="83"/>
      <c r="B371" s="293"/>
      <c r="C371" s="297" t="s">
        <v>1943</v>
      </c>
      <c r="D371" s="295" t="s">
        <v>2311</v>
      </c>
      <c r="E371" s="295" t="s">
        <v>1945</v>
      </c>
      <c r="F371" s="295" t="s">
        <v>1946</v>
      </c>
      <c r="G371" s="295" t="s">
        <v>1947</v>
      </c>
      <c r="H371" s="295" t="s">
        <v>1948</v>
      </c>
    </row>
    <row r="372" customFormat="false" ht="54.75" hidden="false" customHeight="true" outlineLevel="0" collapsed="false">
      <c r="A372" s="83"/>
      <c r="B372" s="293"/>
      <c r="C372" s="298" t="s">
        <v>1949</v>
      </c>
      <c r="D372" s="292" t="s">
        <v>2312</v>
      </c>
      <c r="E372" s="292" t="s">
        <v>1951</v>
      </c>
      <c r="F372" s="292" t="s">
        <v>1952</v>
      </c>
      <c r="G372" s="292" t="s">
        <v>1953</v>
      </c>
      <c r="H372" s="292" t="s">
        <v>1954</v>
      </c>
    </row>
    <row r="373" customFormat="false" ht="54.75" hidden="false" customHeight="true" outlineLevel="0" collapsed="false">
      <c r="A373" s="83" t="n">
        <v>74</v>
      </c>
      <c r="B373" s="299" t="s">
        <v>333</v>
      </c>
      <c r="C373" s="291" t="s">
        <v>1926</v>
      </c>
      <c r="D373" s="292" t="s">
        <v>2313</v>
      </c>
      <c r="E373" s="292" t="s">
        <v>1928</v>
      </c>
      <c r="F373" s="292" t="s">
        <v>58</v>
      </c>
      <c r="G373" s="292" t="s">
        <v>1929</v>
      </c>
      <c r="H373" s="292" t="s">
        <v>1930</v>
      </c>
    </row>
    <row r="374" customFormat="false" ht="54.75" hidden="false" customHeight="true" outlineLevel="0" collapsed="false">
      <c r="A374" s="83"/>
      <c r="B374" s="300"/>
      <c r="C374" s="294" t="s">
        <v>1931</v>
      </c>
      <c r="D374" s="295" t="s">
        <v>2314</v>
      </c>
      <c r="E374" s="295" t="s">
        <v>1933</v>
      </c>
      <c r="F374" s="295" t="s">
        <v>1934</v>
      </c>
      <c r="G374" s="295" t="s">
        <v>1935</v>
      </c>
      <c r="H374" s="295" t="s">
        <v>1936</v>
      </c>
    </row>
    <row r="375" customFormat="false" ht="54.75" hidden="false" customHeight="true" outlineLevel="0" collapsed="false">
      <c r="A375" s="83"/>
      <c r="B375" s="300"/>
      <c r="C375" s="296" t="s">
        <v>1937</v>
      </c>
      <c r="D375" s="292" t="s">
        <v>2315</v>
      </c>
      <c r="E375" s="292" t="s">
        <v>1939</v>
      </c>
      <c r="F375" s="292" t="s">
        <v>1940</v>
      </c>
      <c r="G375" s="292" t="s">
        <v>1941</v>
      </c>
      <c r="H375" s="292" t="s">
        <v>1942</v>
      </c>
    </row>
    <row r="376" customFormat="false" ht="54.75" hidden="false" customHeight="true" outlineLevel="0" collapsed="false">
      <c r="A376" s="83"/>
      <c r="B376" s="300"/>
      <c r="C376" s="297" t="s">
        <v>1943</v>
      </c>
      <c r="D376" s="295" t="s">
        <v>2316</v>
      </c>
      <c r="E376" s="295" t="s">
        <v>1945</v>
      </c>
      <c r="F376" s="295" t="s">
        <v>1946</v>
      </c>
      <c r="G376" s="295" t="s">
        <v>1947</v>
      </c>
      <c r="H376" s="295" t="s">
        <v>1948</v>
      </c>
    </row>
    <row r="377" customFormat="false" ht="54.75" hidden="false" customHeight="true" outlineLevel="0" collapsed="false">
      <c r="A377" s="83"/>
      <c r="B377" s="300"/>
      <c r="C377" s="298" t="s">
        <v>1949</v>
      </c>
      <c r="D377" s="292" t="s">
        <v>2317</v>
      </c>
      <c r="E377" s="292" t="s">
        <v>1951</v>
      </c>
      <c r="F377" s="292" t="s">
        <v>1952</v>
      </c>
      <c r="G377" s="292" t="s">
        <v>1953</v>
      </c>
      <c r="H377" s="292" t="s">
        <v>1954</v>
      </c>
    </row>
    <row r="378" customFormat="false" ht="54.75" hidden="false" customHeight="true" outlineLevel="0" collapsed="false">
      <c r="A378" s="83" t="n">
        <v>75</v>
      </c>
      <c r="B378" s="290" t="s">
        <v>334</v>
      </c>
      <c r="C378" s="291" t="s">
        <v>1926</v>
      </c>
      <c r="D378" s="292" t="s">
        <v>2318</v>
      </c>
      <c r="E378" s="292" t="s">
        <v>1928</v>
      </c>
      <c r="F378" s="292" t="s">
        <v>58</v>
      </c>
      <c r="G378" s="292" t="s">
        <v>1929</v>
      </c>
      <c r="H378" s="292" t="s">
        <v>1930</v>
      </c>
    </row>
    <row r="379" customFormat="false" ht="54.75" hidden="false" customHeight="true" outlineLevel="0" collapsed="false">
      <c r="A379" s="83"/>
      <c r="B379" s="293"/>
      <c r="C379" s="294" t="s">
        <v>1931</v>
      </c>
      <c r="D379" s="295" t="s">
        <v>2319</v>
      </c>
      <c r="E379" s="295" t="s">
        <v>1933</v>
      </c>
      <c r="F379" s="295" t="s">
        <v>1934</v>
      </c>
      <c r="G379" s="295" t="s">
        <v>1935</v>
      </c>
      <c r="H379" s="295" t="s">
        <v>1936</v>
      </c>
    </row>
    <row r="380" customFormat="false" ht="54.75" hidden="false" customHeight="true" outlineLevel="0" collapsed="false">
      <c r="A380" s="83"/>
      <c r="B380" s="293"/>
      <c r="C380" s="296" t="s">
        <v>1937</v>
      </c>
      <c r="D380" s="292" t="s">
        <v>2320</v>
      </c>
      <c r="E380" s="292" t="s">
        <v>1939</v>
      </c>
      <c r="F380" s="292" t="s">
        <v>1940</v>
      </c>
      <c r="G380" s="292" t="s">
        <v>1941</v>
      </c>
      <c r="H380" s="292" t="s">
        <v>1942</v>
      </c>
    </row>
    <row r="381" customFormat="false" ht="54.75" hidden="false" customHeight="true" outlineLevel="0" collapsed="false">
      <c r="A381" s="83"/>
      <c r="B381" s="293"/>
      <c r="C381" s="297" t="s">
        <v>1943</v>
      </c>
      <c r="D381" s="295" t="s">
        <v>2321</v>
      </c>
      <c r="E381" s="295" t="s">
        <v>1945</v>
      </c>
      <c r="F381" s="295" t="s">
        <v>1946</v>
      </c>
      <c r="G381" s="295" t="s">
        <v>1947</v>
      </c>
      <c r="H381" s="295" t="s">
        <v>1948</v>
      </c>
    </row>
    <row r="382" customFormat="false" ht="54.75" hidden="false" customHeight="true" outlineLevel="0" collapsed="false">
      <c r="A382" s="83"/>
      <c r="B382" s="293"/>
      <c r="C382" s="298" t="s">
        <v>1949</v>
      </c>
      <c r="D382" s="292" t="s">
        <v>2322</v>
      </c>
      <c r="E382" s="292" t="s">
        <v>1951</v>
      </c>
      <c r="F382" s="292" t="s">
        <v>1952</v>
      </c>
      <c r="G382" s="292" t="s">
        <v>1953</v>
      </c>
      <c r="H382" s="292" t="s">
        <v>1954</v>
      </c>
    </row>
    <row r="383" customFormat="false" ht="54.75" hidden="false" customHeight="true" outlineLevel="0" collapsed="false">
      <c r="A383" s="83" t="n">
        <v>76</v>
      </c>
      <c r="B383" s="299" t="s">
        <v>335</v>
      </c>
      <c r="C383" s="291" t="s">
        <v>1926</v>
      </c>
      <c r="D383" s="292" t="s">
        <v>2323</v>
      </c>
      <c r="E383" s="292" t="s">
        <v>1928</v>
      </c>
      <c r="F383" s="292" t="s">
        <v>58</v>
      </c>
      <c r="G383" s="292" t="s">
        <v>1929</v>
      </c>
      <c r="H383" s="292" t="s">
        <v>1930</v>
      </c>
    </row>
    <row r="384" customFormat="false" ht="54.75" hidden="false" customHeight="true" outlineLevel="0" collapsed="false">
      <c r="A384" s="83"/>
      <c r="B384" s="300"/>
      <c r="C384" s="294" t="s">
        <v>1931</v>
      </c>
      <c r="D384" s="295" t="s">
        <v>2324</v>
      </c>
      <c r="E384" s="295" t="s">
        <v>1933</v>
      </c>
      <c r="F384" s="295" t="s">
        <v>1934</v>
      </c>
      <c r="G384" s="295" t="s">
        <v>1935</v>
      </c>
      <c r="H384" s="295" t="s">
        <v>1936</v>
      </c>
    </row>
    <row r="385" customFormat="false" ht="54.75" hidden="false" customHeight="true" outlineLevel="0" collapsed="false">
      <c r="A385" s="83"/>
      <c r="B385" s="300"/>
      <c r="C385" s="296" t="s">
        <v>1937</v>
      </c>
      <c r="D385" s="292" t="s">
        <v>2325</v>
      </c>
      <c r="E385" s="292" t="s">
        <v>1939</v>
      </c>
      <c r="F385" s="292" t="s">
        <v>1940</v>
      </c>
      <c r="G385" s="292" t="s">
        <v>1941</v>
      </c>
      <c r="H385" s="292" t="s">
        <v>1942</v>
      </c>
    </row>
    <row r="386" customFormat="false" ht="54.75" hidden="false" customHeight="true" outlineLevel="0" collapsed="false">
      <c r="A386" s="83"/>
      <c r="B386" s="300"/>
      <c r="C386" s="297" t="s">
        <v>1943</v>
      </c>
      <c r="D386" s="295" t="s">
        <v>2326</v>
      </c>
      <c r="E386" s="295" t="s">
        <v>1945</v>
      </c>
      <c r="F386" s="295" t="s">
        <v>1946</v>
      </c>
      <c r="G386" s="295" t="s">
        <v>1947</v>
      </c>
      <c r="H386" s="295" t="s">
        <v>1948</v>
      </c>
    </row>
    <row r="387" customFormat="false" ht="54.75" hidden="false" customHeight="true" outlineLevel="0" collapsed="false">
      <c r="A387" s="83"/>
      <c r="B387" s="300"/>
      <c r="C387" s="298" t="s">
        <v>1949</v>
      </c>
      <c r="D387" s="292" t="s">
        <v>2327</v>
      </c>
      <c r="E387" s="292" t="s">
        <v>1951</v>
      </c>
      <c r="F387" s="292" t="s">
        <v>1952</v>
      </c>
      <c r="G387" s="292" t="s">
        <v>1953</v>
      </c>
      <c r="H387" s="292" t="s">
        <v>1954</v>
      </c>
    </row>
    <row r="388" customFormat="false" ht="54.75" hidden="false" customHeight="true" outlineLevel="0" collapsed="false">
      <c r="A388" s="83" t="n">
        <v>77</v>
      </c>
      <c r="B388" s="290" t="s">
        <v>336</v>
      </c>
      <c r="C388" s="291" t="s">
        <v>1926</v>
      </c>
      <c r="D388" s="292" t="s">
        <v>2328</v>
      </c>
      <c r="E388" s="292" t="s">
        <v>1928</v>
      </c>
      <c r="F388" s="292" t="s">
        <v>58</v>
      </c>
      <c r="G388" s="292" t="s">
        <v>1929</v>
      </c>
      <c r="H388" s="292" t="s">
        <v>1930</v>
      </c>
    </row>
    <row r="389" customFormat="false" ht="54.75" hidden="false" customHeight="true" outlineLevel="0" collapsed="false">
      <c r="A389" s="83"/>
      <c r="B389" s="293"/>
      <c r="C389" s="294" t="s">
        <v>1931</v>
      </c>
      <c r="D389" s="295" t="s">
        <v>2329</v>
      </c>
      <c r="E389" s="295" t="s">
        <v>1933</v>
      </c>
      <c r="F389" s="295" t="s">
        <v>1934</v>
      </c>
      <c r="G389" s="295" t="s">
        <v>1935</v>
      </c>
      <c r="H389" s="295" t="s">
        <v>1936</v>
      </c>
    </row>
    <row r="390" customFormat="false" ht="54.75" hidden="false" customHeight="true" outlineLevel="0" collapsed="false">
      <c r="A390" s="83"/>
      <c r="B390" s="293"/>
      <c r="C390" s="296" t="s">
        <v>1937</v>
      </c>
      <c r="D390" s="292" t="s">
        <v>2330</v>
      </c>
      <c r="E390" s="292" t="s">
        <v>1939</v>
      </c>
      <c r="F390" s="292" t="s">
        <v>1940</v>
      </c>
      <c r="G390" s="292" t="s">
        <v>1941</v>
      </c>
      <c r="H390" s="292" t="s">
        <v>1942</v>
      </c>
    </row>
    <row r="391" customFormat="false" ht="54.75" hidden="false" customHeight="true" outlineLevel="0" collapsed="false">
      <c r="A391" s="83"/>
      <c r="B391" s="293"/>
      <c r="C391" s="297" t="s">
        <v>1943</v>
      </c>
      <c r="D391" s="295" t="s">
        <v>2331</v>
      </c>
      <c r="E391" s="295" t="s">
        <v>1945</v>
      </c>
      <c r="F391" s="295" t="s">
        <v>1946</v>
      </c>
      <c r="G391" s="295" t="s">
        <v>1947</v>
      </c>
      <c r="H391" s="295" t="s">
        <v>1948</v>
      </c>
    </row>
    <row r="392" customFormat="false" ht="54.75" hidden="false" customHeight="true" outlineLevel="0" collapsed="false">
      <c r="A392" s="83"/>
      <c r="B392" s="293"/>
      <c r="C392" s="298" t="s">
        <v>1949</v>
      </c>
      <c r="D392" s="292" t="s">
        <v>2332</v>
      </c>
      <c r="E392" s="292" t="s">
        <v>1951</v>
      </c>
      <c r="F392" s="292" t="s">
        <v>1952</v>
      </c>
      <c r="G392" s="292" t="s">
        <v>1953</v>
      </c>
      <c r="H392" s="292" t="s">
        <v>1954</v>
      </c>
    </row>
    <row r="393" customFormat="false" ht="54.75" hidden="false" customHeight="true" outlineLevel="0" collapsed="false">
      <c r="A393" s="83" t="n">
        <v>78</v>
      </c>
      <c r="B393" s="299" t="s">
        <v>337</v>
      </c>
      <c r="C393" s="291" t="s">
        <v>1926</v>
      </c>
      <c r="D393" s="292" t="s">
        <v>2333</v>
      </c>
      <c r="E393" s="292" t="s">
        <v>1928</v>
      </c>
      <c r="F393" s="292" t="s">
        <v>58</v>
      </c>
      <c r="G393" s="292" t="s">
        <v>1929</v>
      </c>
      <c r="H393" s="292" t="s">
        <v>1930</v>
      </c>
    </row>
    <row r="394" customFormat="false" ht="54.75" hidden="false" customHeight="true" outlineLevel="0" collapsed="false">
      <c r="A394" s="83"/>
      <c r="B394" s="300"/>
      <c r="C394" s="294" t="s">
        <v>1931</v>
      </c>
      <c r="D394" s="295" t="s">
        <v>2334</v>
      </c>
      <c r="E394" s="295" t="s">
        <v>1933</v>
      </c>
      <c r="F394" s="295" t="s">
        <v>1934</v>
      </c>
      <c r="G394" s="295" t="s">
        <v>1935</v>
      </c>
      <c r="H394" s="295" t="s">
        <v>1936</v>
      </c>
    </row>
    <row r="395" customFormat="false" ht="54.75" hidden="false" customHeight="true" outlineLevel="0" collapsed="false">
      <c r="A395" s="83"/>
      <c r="B395" s="300"/>
      <c r="C395" s="296" t="s">
        <v>1937</v>
      </c>
      <c r="D395" s="292" t="s">
        <v>2335</v>
      </c>
      <c r="E395" s="292" t="s">
        <v>1939</v>
      </c>
      <c r="F395" s="292" t="s">
        <v>1940</v>
      </c>
      <c r="G395" s="292" t="s">
        <v>1941</v>
      </c>
      <c r="H395" s="292" t="s">
        <v>1942</v>
      </c>
    </row>
    <row r="396" customFormat="false" ht="54.75" hidden="false" customHeight="true" outlineLevel="0" collapsed="false">
      <c r="A396" s="83"/>
      <c r="B396" s="300"/>
      <c r="C396" s="297" t="s">
        <v>1943</v>
      </c>
      <c r="D396" s="295" t="s">
        <v>2336</v>
      </c>
      <c r="E396" s="295" t="s">
        <v>1945</v>
      </c>
      <c r="F396" s="295" t="s">
        <v>1946</v>
      </c>
      <c r="G396" s="295" t="s">
        <v>1947</v>
      </c>
      <c r="H396" s="295" t="s">
        <v>1948</v>
      </c>
    </row>
    <row r="397" customFormat="false" ht="54.75" hidden="false" customHeight="true" outlineLevel="0" collapsed="false">
      <c r="A397" s="83"/>
      <c r="B397" s="300"/>
      <c r="C397" s="298" t="s">
        <v>1949</v>
      </c>
      <c r="D397" s="292" t="s">
        <v>2337</v>
      </c>
      <c r="E397" s="292" t="s">
        <v>1951</v>
      </c>
      <c r="F397" s="292" t="s">
        <v>1952</v>
      </c>
      <c r="G397" s="292" t="s">
        <v>1953</v>
      </c>
      <c r="H397" s="292" t="s">
        <v>1954</v>
      </c>
    </row>
    <row r="398" customFormat="false" ht="54.75" hidden="false" customHeight="true" outlineLevel="0" collapsed="false">
      <c r="A398" s="83" t="n">
        <v>79</v>
      </c>
      <c r="B398" s="290" t="s">
        <v>338</v>
      </c>
      <c r="C398" s="291" t="s">
        <v>1926</v>
      </c>
      <c r="D398" s="292" t="s">
        <v>2338</v>
      </c>
      <c r="E398" s="292" t="s">
        <v>1928</v>
      </c>
      <c r="F398" s="292" t="s">
        <v>58</v>
      </c>
      <c r="G398" s="292" t="s">
        <v>1929</v>
      </c>
      <c r="H398" s="292" t="s">
        <v>1930</v>
      </c>
    </row>
    <row r="399" customFormat="false" ht="54.75" hidden="false" customHeight="true" outlineLevel="0" collapsed="false">
      <c r="A399" s="83"/>
      <c r="B399" s="293"/>
      <c r="C399" s="294" t="s">
        <v>1931</v>
      </c>
      <c r="D399" s="295" t="s">
        <v>2339</v>
      </c>
      <c r="E399" s="295" t="s">
        <v>1933</v>
      </c>
      <c r="F399" s="295" t="s">
        <v>1934</v>
      </c>
      <c r="G399" s="295" t="s">
        <v>1935</v>
      </c>
      <c r="H399" s="295" t="s">
        <v>1936</v>
      </c>
    </row>
    <row r="400" customFormat="false" ht="54.75" hidden="false" customHeight="true" outlineLevel="0" collapsed="false">
      <c r="A400" s="83"/>
      <c r="B400" s="293"/>
      <c r="C400" s="296" t="s">
        <v>1937</v>
      </c>
      <c r="D400" s="292" t="s">
        <v>2340</v>
      </c>
      <c r="E400" s="292" t="s">
        <v>1939</v>
      </c>
      <c r="F400" s="292" t="s">
        <v>1940</v>
      </c>
      <c r="G400" s="292" t="s">
        <v>1941</v>
      </c>
      <c r="H400" s="292" t="s">
        <v>1942</v>
      </c>
    </row>
    <row r="401" customFormat="false" ht="54.75" hidden="false" customHeight="true" outlineLevel="0" collapsed="false">
      <c r="A401" s="83"/>
      <c r="B401" s="293"/>
      <c r="C401" s="297" t="s">
        <v>1943</v>
      </c>
      <c r="D401" s="295" t="s">
        <v>2341</v>
      </c>
      <c r="E401" s="295" t="s">
        <v>1945</v>
      </c>
      <c r="F401" s="295" t="s">
        <v>1946</v>
      </c>
      <c r="G401" s="295" t="s">
        <v>1947</v>
      </c>
      <c r="H401" s="295" t="s">
        <v>1948</v>
      </c>
    </row>
    <row r="402" customFormat="false" ht="54.75" hidden="false" customHeight="true" outlineLevel="0" collapsed="false">
      <c r="A402" s="83"/>
      <c r="B402" s="293"/>
      <c r="C402" s="298" t="s">
        <v>1949</v>
      </c>
      <c r="D402" s="292" t="s">
        <v>2342</v>
      </c>
      <c r="E402" s="292" t="s">
        <v>1951</v>
      </c>
      <c r="F402" s="292" t="s">
        <v>1952</v>
      </c>
      <c r="G402" s="292" t="s">
        <v>1953</v>
      </c>
      <c r="H402" s="292" t="s">
        <v>1954</v>
      </c>
    </row>
    <row r="403" customFormat="false" ht="54.75" hidden="false" customHeight="true" outlineLevel="0" collapsed="false">
      <c r="A403" s="83" t="n">
        <v>80</v>
      </c>
      <c r="B403" s="299" t="s">
        <v>339</v>
      </c>
      <c r="C403" s="291" t="s">
        <v>1926</v>
      </c>
      <c r="D403" s="292" t="s">
        <v>2343</v>
      </c>
      <c r="E403" s="292" t="s">
        <v>1928</v>
      </c>
      <c r="F403" s="292" t="s">
        <v>58</v>
      </c>
      <c r="G403" s="292" t="s">
        <v>1929</v>
      </c>
      <c r="H403" s="292" t="s">
        <v>1930</v>
      </c>
    </row>
    <row r="404" customFormat="false" ht="54.75" hidden="false" customHeight="true" outlineLevel="0" collapsed="false">
      <c r="A404" s="83"/>
      <c r="B404" s="300"/>
      <c r="C404" s="294" t="s">
        <v>1931</v>
      </c>
      <c r="D404" s="295" t="s">
        <v>2344</v>
      </c>
      <c r="E404" s="295" t="s">
        <v>1933</v>
      </c>
      <c r="F404" s="295" t="s">
        <v>1934</v>
      </c>
      <c r="G404" s="295" t="s">
        <v>1935</v>
      </c>
      <c r="H404" s="295" t="s">
        <v>1936</v>
      </c>
    </row>
    <row r="405" customFormat="false" ht="54.75" hidden="false" customHeight="true" outlineLevel="0" collapsed="false">
      <c r="A405" s="83"/>
      <c r="B405" s="300"/>
      <c r="C405" s="296" t="s">
        <v>1937</v>
      </c>
      <c r="D405" s="292" t="s">
        <v>2345</v>
      </c>
      <c r="E405" s="292" t="s">
        <v>1939</v>
      </c>
      <c r="F405" s="292" t="s">
        <v>1940</v>
      </c>
      <c r="G405" s="292" t="s">
        <v>1941</v>
      </c>
      <c r="H405" s="292" t="s">
        <v>1942</v>
      </c>
    </row>
    <row r="406" customFormat="false" ht="54.75" hidden="false" customHeight="true" outlineLevel="0" collapsed="false">
      <c r="A406" s="83"/>
      <c r="B406" s="300"/>
      <c r="C406" s="297" t="s">
        <v>1943</v>
      </c>
      <c r="D406" s="295" t="s">
        <v>2346</v>
      </c>
      <c r="E406" s="295" t="s">
        <v>1945</v>
      </c>
      <c r="F406" s="295" t="s">
        <v>1946</v>
      </c>
      <c r="G406" s="295" t="s">
        <v>1947</v>
      </c>
      <c r="H406" s="295" t="s">
        <v>1948</v>
      </c>
    </row>
    <row r="407" customFormat="false" ht="54.75" hidden="false" customHeight="true" outlineLevel="0" collapsed="false">
      <c r="A407" s="83"/>
      <c r="B407" s="300"/>
      <c r="C407" s="298" t="s">
        <v>1949</v>
      </c>
      <c r="D407" s="292" t="s">
        <v>2347</v>
      </c>
      <c r="E407" s="292" t="s">
        <v>1951</v>
      </c>
      <c r="F407" s="292" t="s">
        <v>1952</v>
      </c>
      <c r="G407" s="292" t="s">
        <v>1953</v>
      </c>
      <c r="H407" s="292" t="s">
        <v>1954</v>
      </c>
    </row>
    <row r="408" customFormat="false" ht="54.75" hidden="false" customHeight="true" outlineLevel="0" collapsed="false">
      <c r="A408" s="83" t="n">
        <v>81</v>
      </c>
      <c r="B408" s="290" t="s">
        <v>340</v>
      </c>
      <c r="C408" s="291" t="s">
        <v>1926</v>
      </c>
      <c r="D408" s="292" t="s">
        <v>2348</v>
      </c>
      <c r="E408" s="292" t="s">
        <v>1928</v>
      </c>
      <c r="F408" s="292" t="s">
        <v>58</v>
      </c>
      <c r="G408" s="292" t="s">
        <v>1929</v>
      </c>
      <c r="H408" s="292" t="s">
        <v>1930</v>
      </c>
    </row>
    <row r="409" customFormat="false" ht="54.75" hidden="false" customHeight="true" outlineLevel="0" collapsed="false">
      <c r="A409" s="83"/>
      <c r="B409" s="293"/>
      <c r="C409" s="294" t="s">
        <v>1931</v>
      </c>
      <c r="D409" s="295" t="s">
        <v>2349</v>
      </c>
      <c r="E409" s="295" t="s">
        <v>1933</v>
      </c>
      <c r="F409" s="295" t="s">
        <v>1934</v>
      </c>
      <c r="G409" s="295" t="s">
        <v>1935</v>
      </c>
      <c r="H409" s="295" t="s">
        <v>1936</v>
      </c>
    </row>
    <row r="410" customFormat="false" ht="54.75" hidden="false" customHeight="true" outlineLevel="0" collapsed="false">
      <c r="A410" s="83"/>
      <c r="B410" s="293"/>
      <c r="C410" s="296" t="s">
        <v>1937</v>
      </c>
      <c r="D410" s="292" t="s">
        <v>2350</v>
      </c>
      <c r="E410" s="292" t="s">
        <v>1939</v>
      </c>
      <c r="F410" s="292" t="s">
        <v>1940</v>
      </c>
      <c r="G410" s="292" t="s">
        <v>1941</v>
      </c>
      <c r="H410" s="292" t="s">
        <v>1942</v>
      </c>
    </row>
    <row r="411" customFormat="false" ht="54.75" hidden="false" customHeight="true" outlineLevel="0" collapsed="false">
      <c r="A411" s="83"/>
      <c r="B411" s="293"/>
      <c r="C411" s="297" t="s">
        <v>1943</v>
      </c>
      <c r="D411" s="295" t="s">
        <v>2351</v>
      </c>
      <c r="E411" s="295" t="s">
        <v>1945</v>
      </c>
      <c r="F411" s="295" t="s">
        <v>1946</v>
      </c>
      <c r="G411" s="295" t="s">
        <v>1947</v>
      </c>
      <c r="H411" s="295" t="s">
        <v>1948</v>
      </c>
    </row>
    <row r="412" customFormat="false" ht="54.75" hidden="false" customHeight="true" outlineLevel="0" collapsed="false">
      <c r="A412" s="83"/>
      <c r="B412" s="293"/>
      <c r="C412" s="298" t="s">
        <v>1949</v>
      </c>
      <c r="D412" s="292" t="s">
        <v>2352</v>
      </c>
      <c r="E412" s="292" t="s">
        <v>1951</v>
      </c>
      <c r="F412" s="292" t="s">
        <v>1952</v>
      </c>
      <c r="G412" s="292" t="s">
        <v>1953</v>
      </c>
      <c r="H412" s="292" t="s">
        <v>1954</v>
      </c>
    </row>
    <row r="413" customFormat="false" ht="54.75" hidden="false" customHeight="true" outlineLevel="0" collapsed="false">
      <c r="A413" s="83" t="n">
        <v>82</v>
      </c>
      <c r="B413" s="299" t="s">
        <v>341</v>
      </c>
      <c r="C413" s="291" t="s">
        <v>1926</v>
      </c>
      <c r="D413" s="292" t="s">
        <v>2353</v>
      </c>
      <c r="E413" s="292" t="s">
        <v>1928</v>
      </c>
      <c r="F413" s="292" t="s">
        <v>58</v>
      </c>
      <c r="G413" s="292" t="s">
        <v>1929</v>
      </c>
      <c r="H413" s="292" t="s">
        <v>1930</v>
      </c>
    </row>
    <row r="414" customFormat="false" ht="54.75" hidden="false" customHeight="true" outlineLevel="0" collapsed="false">
      <c r="A414" s="83"/>
      <c r="B414" s="300"/>
      <c r="C414" s="294" t="s">
        <v>1931</v>
      </c>
      <c r="D414" s="295" t="s">
        <v>2354</v>
      </c>
      <c r="E414" s="295" t="s">
        <v>1933</v>
      </c>
      <c r="F414" s="295" t="s">
        <v>1934</v>
      </c>
      <c r="G414" s="295" t="s">
        <v>1935</v>
      </c>
      <c r="H414" s="295" t="s">
        <v>1936</v>
      </c>
    </row>
    <row r="415" customFormat="false" ht="54.75" hidden="false" customHeight="true" outlineLevel="0" collapsed="false">
      <c r="A415" s="83"/>
      <c r="B415" s="300"/>
      <c r="C415" s="296" t="s">
        <v>1937</v>
      </c>
      <c r="D415" s="292" t="s">
        <v>2355</v>
      </c>
      <c r="E415" s="292" t="s">
        <v>1939</v>
      </c>
      <c r="F415" s="292" t="s">
        <v>1940</v>
      </c>
      <c r="G415" s="292" t="s">
        <v>1941</v>
      </c>
      <c r="H415" s="292" t="s">
        <v>1942</v>
      </c>
    </row>
    <row r="416" customFormat="false" ht="54.75" hidden="false" customHeight="true" outlineLevel="0" collapsed="false">
      <c r="A416" s="83"/>
      <c r="B416" s="300"/>
      <c r="C416" s="297" t="s">
        <v>1943</v>
      </c>
      <c r="D416" s="295" t="s">
        <v>2356</v>
      </c>
      <c r="E416" s="295" t="s">
        <v>1945</v>
      </c>
      <c r="F416" s="295" t="s">
        <v>1946</v>
      </c>
      <c r="G416" s="295" t="s">
        <v>1947</v>
      </c>
      <c r="H416" s="295" t="s">
        <v>1948</v>
      </c>
    </row>
    <row r="417" customFormat="false" ht="54.75" hidden="false" customHeight="true" outlineLevel="0" collapsed="false">
      <c r="A417" s="83"/>
      <c r="B417" s="300"/>
      <c r="C417" s="298" t="s">
        <v>1949</v>
      </c>
      <c r="D417" s="292" t="s">
        <v>2357</v>
      </c>
      <c r="E417" s="292" t="s">
        <v>1951</v>
      </c>
      <c r="F417" s="292" t="s">
        <v>1952</v>
      </c>
      <c r="G417" s="292" t="s">
        <v>1953</v>
      </c>
      <c r="H417" s="292" t="s">
        <v>1954</v>
      </c>
    </row>
    <row r="418" customFormat="false" ht="54.75" hidden="false" customHeight="true" outlineLevel="0" collapsed="false">
      <c r="A418" s="83" t="n">
        <v>83</v>
      </c>
      <c r="B418" s="290" t="s">
        <v>342</v>
      </c>
      <c r="C418" s="291" t="s">
        <v>1926</v>
      </c>
      <c r="D418" s="292" t="s">
        <v>2358</v>
      </c>
      <c r="E418" s="292" t="s">
        <v>1928</v>
      </c>
      <c r="F418" s="292" t="s">
        <v>58</v>
      </c>
      <c r="G418" s="292" t="s">
        <v>1929</v>
      </c>
      <c r="H418" s="292" t="s">
        <v>1930</v>
      </c>
    </row>
    <row r="419" customFormat="false" ht="54.75" hidden="false" customHeight="true" outlineLevel="0" collapsed="false">
      <c r="A419" s="83"/>
      <c r="B419" s="293"/>
      <c r="C419" s="294" t="s">
        <v>1931</v>
      </c>
      <c r="D419" s="295" t="s">
        <v>2359</v>
      </c>
      <c r="E419" s="295" t="s">
        <v>1933</v>
      </c>
      <c r="F419" s="295" t="s">
        <v>1934</v>
      </c>
      <c r="G419" s="295" t="s">
        <v>1935</v>
      </c>
      <c r="H419" s="295" t="s">
        <v>1936</v>
      </c>
    </row>
    <row r="420" customFormat="false" ht="54.75" hidden="false" customHeight="true" outlineLevel="0" collapsed="false">
      <c r="A420" s="83"/>
      <c r="B420" s="293"/>
      <c r="C420" s="296" t="s">
        <v>1937</v>
      </c>
      <c r="D420" s="292" t="s">
        <v>2360</v>
      </c>
      <c r="E420" s="292" t="s">
        <v>1939</v>
      </c>
      <c r="F420" s="292" t="s">
        <v>1940</v>
      </c>
      <c r="G420" s="292" t="s">
        <v>1941</v>
      </c>
      <c r="H420" s="292" t="s">
        <v>1942</v>
      </c>
    </row>
    <row r="421" customFormat="false" ht="54.75" hidden="false" customHeight="true" outlineLevel="0" collapsed="false">
      <c r="A421" s="83"/>
      <c r="B421" s="293"/>
      <c r="C421" s="297" t="s">
        <v>1943</v>
      </c>
      <c r="D421" s="295" t="s">
        <v>2361</v>
      </c>
      <c r="E421" s="295" t="s">
        <v>1945</v>
      </c>
      <c r="F421" s="295" t="s">
        <v>1946</v>
      </c>
      <c r="G421" s="295" t="s">
        <v>1947</v>
      </c>
      <c r="H421" s="295" t="s">
        <v>1948</v>
      </c>
    </row>
    <row r="422" customFormat="false" ht="54.75" hidden="false" customHeight="true" outlineLevel="0" collapsed="false">
      <c r="A422" s="83"/>
      <c r="B422" s="293"/>
      <c r="C422" s="298" t="s">
        <v>1949</v>
      </c>
      <c r="D422" s="292" t="s">
        <v>2362</v>
      </c>
      <c r="E422" s="292" t="s">
        <v>1951</v>
      </c>
      <c r="F422" s="292" t="s">
        <v>1952</v>
      </c>
      <c r="G422" s="292" t="s">
        <v>1953</v>
      </c>
      <c r="H422" s="292" t="s">
        <v>1954</v>
      </c>
    </row>
    <row r="423" customFormat="false" ht="54.75" hidden="false" customHeight="true" outlineLevel="0" collapsed="false">
      <c r="A423" s="83" t="n">
        <v>84</v>
      </c>
      <c r="B423" s="299" t="s">
        <v>343</v>
      </c>
      <c r="C423" s="291" t="s">
        <v>1926</v>
      </c>
      <c r="D423" s="292" t="s">
        <v>2363</v>
      </c>
      <c r="E423" s="292" t="s">
        <v>1928</v>
      </c>
      <c r="F423" s="292" t="s">
        <v>58</v>
      </c>
      <c r="G423" s="292" t="s">
        <v>1929</v>
      </c>
      <c r="H423" s="292" t="s">
        <v>1930</v>
      </c>
    </row>
    <row r="424" customFormat="false" ht="54.75" hidden="false" customHeight="true" outlineLevel="0" collapsed="false">
      <c r="A424" s="83"/>
      <c r="B424" s="300"/>
      <c r="C424" s="294" t="s">
        <v>1931</v>
      </c>
      <c r="D424" s="295" t="s">
        <v>2364</v>
      </c>
      <c r="E424" s="295" t="s">
        <v>1933</v>
      </c>
      <c r="F424" s="295" t="s">
        <v>1934</v>
      </c>
      <c r="G424" s="295" t="s">
        <v>1935</v>
      </c>
      <c r="H424" s="295" t="s">
        <v>1936</v>
      </c>
    </row>
    <row r="425" customFormat="false" ht="54.75" hidden="false" customHeight="true" outlineLevel="0" collapsed="false">
      <c r="A425" s="83"/>
      <c r="B425" s="300"/>
      <c r="C425" s="296" t="s">
        <v>1937</v>
      </c>
      <c r="D425" s="292" t="s">
        <v>2365</v>
      </c>
      <c r="E425" s="292" t="s">
        <v>1939</v>
      </c>
      <c r="F425" s="292" t="s">
        <v>1940</v>
      </c>
      <c r="G425" s="292" t="s">
        <v>1941</v>
      </c>
      <c r="H425" s="292" t="s">
        <v>1942</v>
      </c>
    </row>
    <row r="426" customFormat="false" ht="54.75" hidden="false" customHeight="true" outlineLevel="0" collapsed="false">
      <c r="A426" s="83"/>
      <c r="B426" s="300"/>
      <c r="C426" s="297" t="s">
        <v>1943</v>
      </c>
      <c r="D426" s="295" t="s">
        <v>2366</v>
      </c>
      <c r="E426" s="295" t="s">
        <v>1945</v>
      </c>
      <c r="F426" s="295" t="s">
        <v>1946</v>
      </c>
      <c r="G426" s="295" t="s">
        <v>1947</v>
      </c>
      <c r="H426" s="295" t="s">
        <v>1948</v>
      </c>
    </row>
    <row r="427" customFormat="false" ht="54.75" hidden="false" customHeight="true" outlineLevel="0" collapsed="false">
      <c r="A427" s="83"/>
      <c r="B427" s="300"/>
      <c r="C427" s="298" t="s">
        <v>1949</v>
      </c>
      <c r="D427" s="292" t="s">
        <v>2367</v>
      </c>
      <c r="E427" s="292" t="s">
        <v>1951</v>
      </c>
      <c r="F427" s="292" t="s">
        <v>1952</v>
      </c>
      <c r="G427" s="292" t="s">
        <v>1953</v>
      </c>
      <c r="H427" s="292" t="s">
        <v>1954</v>
      </c>
    </row>
    <row r="428" customFormat="false" ht="54.75" hidden="false" customHeight="true" outlineLevel="0" collapsed="false">
      <c r="A428" s="83" t="n">
        <v>85</v>
      </c>
      <c r="B428" s="290" t="s">
        <v>344</v>
      </c>
      <c r="C428" s="291" t="s">
        <v>1926</v>
      </c>
      <c r="D428" s="292" t="s">
        <v>2368</v>
      </c>
      <c r="E428" s="292" t="s">
        <v>1928</v>
      </c>
      <c r="F428" s="292" t="s">
        <v>58</v>
      </c>
      <c r="G428" s="292" t="s">
        <v>1929</v>
      </c>
      <c r="H428" s="292" t="s">
        <v>1930</v>
      </c>
    </row>
    <row r="429" customFormat="false" ht="54.75" hidden="false" customHeight="true" outlineLevel="0" collapsed="false">
      <c r="A429" s="83"/>
      <c r="B429" s="293"/>
      <c r="C429" s="294" t="s">
        <v>1931</v>
      </c>
      <c r="D429" s="295" t="s">
        <v>2364</v>
      </c>
      <c r="E429" s="295" t="s">
        <v>1933</v>
      </c>
      <c r="F429" s="295" t="s">
        <v>1934</v>
      </c>
      <c r="G429" s="295" t="s">
        <v>1935</v>
      </c>
      <c r="H429" s="295" t="s">
        <v>1936</v>
      </c>
    </row>
    <row r="430" customFormat="false" ht="54.75" hidden="false" customHeight="true" outlineLevel="0" collapsed="false">
      <c r="A430" s="83"/>
      <c r="B430" s="293"/>
      <c r="C430" s="296" t="s">
        <v>1937</v>
      </c>
      <c r="D430" s="292" t="s">
        <v>2369</v>
      </c>
      <c r="E430" s="292" t="s">
        <v>1939</v>
      </c>
      <c r="F430" s="292" t="s">
        <v>1940</v>
      </c>
      <c r="G430" s="292" t="s">
        <v>1941</v>
      </c>
      <c r="H430" s="292" t="s">
        <v>1942</v>
      </c>
    </row>
    <row r="431" customFormat="false" ht="54.75" hidden="false" customHeight="true" outlineLevel="0" collapsed="false">
      <c r="A431" s="83"/>
      <c r="B431" s="293"/>
      <c r="C431" s="297" t="s">
        <v>1943</v>
      </c>
      <c r="D431" s="295" t="s">
        <v>2370</v>
      </c>
      <c r="E431" s="295" t="s">
        <v>1945</v>
      </c>
      <c r="F431" s="295" t="s">
        <v>1946</v>
      </c>
      <c r="G431" s="295" t="s">
        <v>1947</v>
      </c>
      <c r="H431" s="295" t="s">
        <v>1948</v>
      </c>
    </row>
    <row r="432" customFormat="false" ht="54.75" hidden="false" customHeight="true" outlineLevel="0" collapsed="false">
      <c r="A432" s="83"/>
      <c r="B432" s="293"/>
      <c r="C432" s="298" t="s">
        <v>1949</v>
      </c>
      <c r="D432" s="292" t="s">
        <v>2371</v>
      </c>
      <c r="E432" s="292" t="s">
        <v>1951</v>
      </c>
      <c r="F432" s="292" t="s">
        <v>1952</v>
      </c>
      <c r="G432" s="292" t="s">
        <v>1953</v>
      </c>
      <c r="H432" s="292" t="s">
        <v>1954</v>
      </c>
    </row>
    <row r="433" customFormat="false" ht="54.75" hidden="false" customHeight="true" outlineLevel="0" collapsed="false">
      <c r="A433" s="83" t="n">
        <v>86</v>
      </c>
      <c r="B433" s="299" t="s">
        <v>345</v>
      </c>
      <c r="C433" s="291" t="s">
        <v>1926</v>
      </c>
      <c r="D433" s="292" t="s">
        <v>2372</v>
      </c>
      <c r="E433" s="292" t="s">
        <v>1928</v>
      </c>
      <c r="F433" s="292" t="s">
        <v>58</v>
      </c>
      <c r="G433" s="292" t="s">
        <v>1929</v>
      </c>
      <c r="H433" s="292" t="s">
        <v>1930</v>
      </c>
    </row>
    <row r="434" customFormat="false" ht="54.75" hidden="false" customHeight="true" outlineLevel="0" collapsed="false">
      <c r="A434" s="83"/>
      <c r="B434" s="300"/>
      <c r="C434" s="294" t="s">
        <v>1931</v>
      </c>
      <c r="D434" s="295" t="s">
        <v>2364</v>
      </c>
      <c r="E434" s="295" t="s">
        <v>1933</v>
      </c>
      <c r="F434" s="295" t="s">
        <v>1934</v>
      </c>
      <c r="G434" s="295" t="s">
        <v>1935</v>
      </c>
      <c r="H434" s="295" t="s">
        <v>1936</v>
      </c>
    </row>
    <row r="435" customFormat="false" ht="54.75" hidden="false" customHeight="true" outlineLevel="0" collapsed="false">
      <c r="A435" s="83"/>
      <c r="B435" s="300"/>
      <c r="C435" s="296" t="s">
        <v>1937</v>
      </c>
      <c r="D435" s="292" t="s">
        <v>2373</v>
      </c>
      <c r="E435" s="292" t="s">
        <v>1939</v>
      </c>
      <c r="F435" s="292" t="s">
        <v>1940</v>
      </c>
      <c r="G435" s="292" t="s">
        <v>1941</v>
      </c>
      <c r="H435" s="292" t="s">
        <v>1942</v>
      </c>
    </row>
    <row r="436" customFormat="false" ht="54.75" hidden="false" customHeight="true" outlineLevel="0" collapsed="false">
      <c r="A436" s="83"/>
      <c r="B436" s="300"/>
      <c r="C436" s="297" t="s">
        <v>1943</v>
      </c>
      <c r="D436" s="295" t="s">
        <v>2374</v>
      </c>
      <c r="E436" s="295" t="s">
        <v>1945</v>
      </c>
      <c r="F436" s="295" t="s">
        <v>1946</v>
      </c>
      <c r="G436" s="295" t="s">
        <v>1947</v>
      </c>
      <c r="H436" s="295" t="s">
        <v>1948</v>
      </c>
    </row>
    <row r="437" customFormat="false" ht="54.75" hidden="false" customHeight="true" outlineLevel="0" collapsed="false">
      <c r="A437" s="83"/>
      <c r="B437" s="300"/>
      <c r="C437" s="298" t="s">
        <v>1949</v>
      </c>
      <c r="D437" s="292" t="s">
        <v>2375</v>
      </c>
      <c r="E437" s="292" t="s">
        <v>1951</v>
      </c>
      <c r="F437" s="292" t="s">
        <v>1952</v>
      </c>
      <c r="G437" s="292" t="s">
        <v>1953</v>
      </c>
      <c r="H437" s="292" t="s">
        <v>1954</v>
      </c>
    </row>
    <row r="438" customFormat="false" ht="54.75" hidden="false" customHeight="true" outlineLevel="0" collapsed="false">
      <c r="A438" s="83" t="n">
        <v>87</v>
      </c>
      <c r="B438" s="290" t="s">
        <v>346</v>
      </c>
      <c r="C438" s="291" t="s">
        <v>1926</v>
      </c>
      <c r="D438" s="292" t="s">
        <v>2376</v>
      </c>
      <c r="E438" s="292" t="s">
        <v>1928</v>
      </c>
      <c r="F438" s="292" t="s">
        <v>58</v>
      </c>
      <c r="G438" s="292" t="s">
        <v>1929</v>
      </c>
      <c r="H438" s="292" t="s">
        <v>1930</v>
      </c>
    </row>
    <row r="439" customFormat="false" ht="54.75" hidden="false" customHeight="true" outlineLevel="0" collapsed="false">
      <c r="A439" s="83"/>
      <c r="B439" s="293"/>
      <c r="C439" s="294" t="s">
        <v>1931</v>
      </c>
      <c r="D439" s="295" t="s">
        <v>2364</v>
      </c>
      <c r="E439" s="295" t="s">
        <v>1933</v>
      </c>
      <c r="F439" s="295" t="s">
        <v>1934</v>
      </c>
      <c r="G439" s="295" t="s">
        <v>1935</v>
      </c>
      <c r="H439" s="295" t="s">
        <v>1936</v>
      </c>
    </row>
    <row r="440" customFormat="false" ht="54.75" hidden="false" customHeight="true" outlineLevel="0" collapsed="false">
      <c r="A440" s="83"/>
      <c r="B440" s="293"/>
      <c r="C440" s="296" t="s">
        <v>1937</v>
      </c>
      <c r="D440" s="292" t="s">
        <v>2377</v>
      </c>
      <c r="E440" s="292" t="s">
        <v>1939</v>
      </c>
      <c r="F440" s="292" t="s">
        <v>1940</v>
      </c>
      <c r="G440" s="292" t="s">
        <v>1941</v>
      </c>
      <c r="H440" s="292" t="s">
        <v>1942</v>
      </c>
    </row>
    <row r="441" customFormat="false" ht="54.75" hidden="false" customHeight="true" outlineLevel="0" collapsed="false">
      <c r="A441" s="83"/>
      <c r="B441" s="293"/>
      <c r="C441" s="297" t="s">
        <v>1943</v>
      </c>
      <c r="D441" s="295" t="s">
        <v>2378</v>
      </c>
      <c r="E441" s="295" t="s">
        <v>1945</v>
      </c>
      <c r="F441" s="295" t="s">
        <v>1946</v>
      </c>
      <c r="G441" s="295" t="s">
        <v>1947</v>
      </c>
      <c r="H441" s="295" t="s">
        <v>1948</v>
      </c>
    </row>
    <row r="442" customFormat="false" ht="54.75" hidden="false" customHeight="true" outlineLevel="0" collapsed="false">
      <c r="A442" s="83"/>
      <c r="B442" s="293"/>
      <c r="C442" s="298" t="s">
        <v>1949</v>
      </c>
      <c r="D442" s="292" t="s">
        <v>2379</v>
      </c>
      <c r="E442" s="292" t="s">
        <v>1951</v>
      </c>
      <c r="F442" s="292" t="s">
        <v>1952</v>
      </c>
      <c r="G442" s="292" t="s">
        <v>1953</v>
      </c>
      <c r="H442" s="292" t="s">
        <v>1954</v>
      </c>
    </row>
    <row r="443" customFormat="false" ht="54.75" hidden="false" customHeight="true" outlineLevel="0" collapsed="false">
      <c r="A443" s="83" t="n">
        <v>88</v>
      </c>
      <c r="B443" s="299" t="s">
        <v>347</v>
      </c>
      <c r="C443" s="291" t="s">
        <v>1926</v>
      </c>
      <c r="D443" s="292" t="s">
        <v>2380</v>
      </c>
      <c r="E443" s="292" t="s">
        <v>1928</v>
      </c>
      <c r="F443" s="292" t="s">
        <v>58</v>
      </c>
      <c r="G443" s="292" t="s">
        <v>1929</v>
      </c>
      <c r="H443" s="292" t="s">
        <v>1930</v>
      </c>
    </row>
    <row r="444" customFormat="false" ht="54.75" hidden="false" customHeight="true" outlineLevel="0" collapsed="false">
      <c r="A444" s="83"/>
      <c r="B444" s="300"/>
      <c r="C444" s="294" t="s">
        <v>1931</v>
      </c>
      <c r="D444" s="295" t="s">
        <v>2364</v>
      </c>
      <c r="E444" s="295" t="s">
        <v>1933</v>
      </c>
      <c r="F444" s="295" t="s">
        <v>1934</v>
      </c>
      <c r="G444" s="295" t="s">
        <v>1935</v>
      </c>
      <c r="H444" s="295" t="s">
        <v>1936</v>
      </c>
    </row>
    <row r="445" customFormat="false" ht="54.75" hidden="false" customHeight="true" outlineLevel="0" collapsed="false">
      <c r="A445" s="83"/>
      <c r="B445" s="300"/>
      <c r="C445" s="296" t="s">
        <v>1937</v>
      </c>
      <c r="D445" s="292" t="s">
        <v>2381</v>
      </c>
      <c r="E445" s="292" t="s">
        <v>1939</v>
      </c>
      <c r="F445" s="292" t="s">
        <v>1940</v>
      </c>
      <c r="G445" s="292" t="s">
        <v>1941</v>
      </c>
      <c r="H445" s="292" t="s">
        <v>1942</v>
      </c>
    </row>
    <row r="446" customFormat="false" ht="54.75" hidden="false" customHeight="true" outlineLevel="0" collapsed="false">
      <c r="A446" s="83"/>
      <c r="B446" s="300"/>
      <c r="C446" s="297" t="s">
        <v>1943</v>
      </c>
      <c r="D446" s="295" t="s">
        <v>2382</v>
      </c>
      <c r="E446" s="295" t="s">
        <v>1945</v>
      </c>
      <c r="F446" s="295" t="s">
        <v>1946</v>
      </c>
      <c r="G446" s="295" t="s">
        <v>1947</v>
      </c>
      <c r="H446" s="295" t="s">
        <v>1948</v>
      </c>
    </row>
    <row r="447" customFormat="false" ht="54.75" hidden="false" customHeight="true" outlineLevel="0" collapsed="false">
      <c r="A447" s="83"/>
      <c r="B447" s="300"/>
      <c r="C447" s="298" t="s">
        <v>1949</v>
      </c>
      <c r="D447" s="292" t="s">
        <v>2383</v>
      </c>
      <c r="E447" s="292" t="s">
        <v>1951</v>
      </c>
      <c r="F447" s="292" t="s">
        <v>1952</v>
      </c>
      <c r="G447" s="292" t="s">
        <v>1953</v>
      </c>
      <c r="H447" s="292" t="s">
        <v>1954</v>
      </c>
    </row>
    <row r="448" customFormat="false" ht="54.75" hidden="false" customHeight="true" outlineLevel="0" collapsed="false">
      <c r="A448" s="83" t="n">
        <v>89</v>
      </c>
      <c r="B448" s="290" t="s">
        <v>348</v>
      </c>
      <c r="C448" s="291" t="s">
        <v>1926</v>
      </c>
      <c r="D448" s="292" t="s">
        <v>2384</v>
      </c>
      <c r="E448" s="292" t="s">
        <v>1928</v>
      </c>
      <c r="F448" s="292" t="s">
        <v>58</v>
      </c>
      <c r="G448" s="292" t="s">
        <v>1929</v>
      </c>
      <c r="H448" s="292" t="s">
        <v>1930</v>
      </c>
    </row>
    <row r="449" customFormat="false" ht="54.75" hidden="false" customHeight="true" outlineLevel="0" collapsed="false">
      <c r="A449" s="83"/>
      <c r="B449" s="293"/>
      <c r="C449" s="294" t="s">
        <v>1931</v>
      </c>
      <c r="D449" s="295" t="s">
        <v>2364</v>
      </c>
      <c r="E449" s="295" t="s">
        <v>1933</v>
      </c>
      <c r="F449" s="295" t="s">
        <v>1934</v>
      </c>
      <c r="G449" s="295" t="s">
        <v>1935</v>
      </c>
      <c r="H449" s="295" t="s">
        <v>1936</v>
      </c>
    </row>
    <row r="450" customFormat="false" ht="54.75" hidden="false" customHeight="true" outlineLevel="0" collapsed="false">
      <c r="A450" s="83"/>
      <c r="B450" s="293"/>
      <c r="C450" s="296" t="s">
        <v>1937</v>
      </c>
      <c r="D450" s="292" t="s">
        <v>2385</v>
      </c>
      <c r="E450" s="292" t="s">
        <v>1939</v>
      </c>
      <c r="F450" s="292" t="s">
        <v>1940</v>
      </c>
      <c r="G450" s="292" t="s">
        <v>1941</v>
      </c>
      <c r="H450" s="292" t="s">
        <v>1942</v>
      </c>
    </row>
    <row r="451" customFormat="false" ht="54.75" hidden="false" customHeight="true" outlineLevel="0" collapsed="false">
      <c r="A451" s="83"/>
      <c r="B451" s="293"/>
      <c r="C451" s="297" t="s">
        <v>1943</v>
      </c>
      <c r="D451" s="295" t="s">
        <v>2386</v>
      </c>
      <c r="E451" s="295" t="s">
        <v>1945</v>
      </c>
      <c r="F451" s="295" t="s">
        <v>1946</v>
      </c>
      <c r="G451" s="295" t="s">
        <v>1947</v>
      </c>
      <c r="H451" s="295" t="s">
        <v>1948</v>
      </c>
    </row>
    <row r="452" customFormat="false" ht="54.75" hidden="false" customHeight="true" outlineLevel="0" collapsed="false">
      <c r="A452" s="83"/>
      <c r="B452" s="293"/>
      <c r="C452" s="298" t="s">
        <v>1949</v>
      </c>
      <c r="D452" s="292" t="s">
        <v>2387</v>
      </c>
      <c r="E452" s="292" t="s">
        <v>1951</v>
      </c>
      <c r="F452" s="292" t="s">
        <v>1952</v>
      </c>
      <c r="G452" s="292" t="s">
        <v>1953</v>
      </c>
      <c r="H452" s="292" t="s">
        <v>1954</v>
      </c>
    </row>
    <row r="453" customFormat="false" ht="54.75" hidden="false" customHeight="true" outlineLevel="0" collapsed="false">
      <c r="A453" s="83" t="n">
        <v>90</v>
      </c>
      <c r="B453" s="299" t="s">
        <v>349</v>
      </c>
      <c r="C453" s="291" t="s">
        <v>1926</v>
      </c>
      <c r="D453" s="292" t="s">
        <v>2388</v>
      </c>
      <c r="E453" s="292" t="s">
        <v>1928</v>
      </c>
      <c r="F453" s="292" t="s">
        <v>58</v>
      </c>
      <c r="G453" s="292" t="s">
        <v>1929</v>
      </c>
      <c r="H453" s="292" t="s">
        <v>1930</v>
      </c>
    </row>
    <row r="454" customFormat="false" ht="54.75" hidden="false" customHeight="true" outlineLevel="0" collapsed="false">
      <c r="A454" s="83"/>
      <c r="B454" s="300"/>
      <c r="C454" s="294" t="s">
        <v>1931</v>
      </c>
      <c r="D454" s="295" t="s">
        <v>2364</v>
      </c>
      <c r="E454" s="295" t="s">
        <v>1933</v>
      </c>
      <c r="F454" s="295" t="s">
        <v>1934</v>
      </c>
      <c r="G454" s="295" t="s">
        <v>1935</v>
      </c>
      <c r="H454" s="295" t="s">
        <v>1936</v>
      </c>
    </row>
    <row r="455" customFormat="false" ht="54.75" hidden="false" customHeight="true" outlineLevel="0" collapsed="false">
      <c r="A455" s="83"/>
      <c r="B455" s="300"/>
      <c r="C455" s="296" t="s">
        <v>1937</v>
      </c>
      <c r="D455" s="292" t="s">
        <v>2389</v>
      </c>
      <c r="E455" s="292" t="s">
        <v>1939</v>
      </c>
      <c r="F455" s="292" t="s">
        <v>1940</v>
      </c>
      <c r="G455" s="292" t="s">
        <v>1941</v>
      </c>
      <c r="H455" s="292" t="s">
        <v>1942</v>
      </c>
    </row>
    <row r="456" customFormat="false" ht="54.75" hidden="false" customHeight="true" outlineLevel="0" collapsed="false">
      <c r="A456" s="83"/>
      <c r="B456" s="300"/>
      <c r="C456" s="297" t="s">
        <v>1943</v>
      </c>
      <c r="D456" s="295" t="s">
        <v>2390</v>
      </c>
      <c r="E456" s="295" t="s">
        <v>1945</v>
      </c>
      <c r="F456" s="295" t="s">
        <v>1946</v>
      </c>
      <c r="G456" s="295" t="s">
        <v>1947</v>
      </c>
      <c r="H456" s="295" t="s">
        <v>1948</v>
      </c>
    </row>
    <row r="457" customFormat="false" ht="54.75" hidden="false" customHeight="true" outlineLevel="0" collapsed="false">
      <c r="A457" s="83"/>
      <c r="B457" s="300"/>
      <c r="C457" s="298" t="s">
        <v>1949</v>
      </c>
      <c r="D457" s="292" t="s">
        <v>2391</v>
      </c>
      <c r="E457" s="292" t="s">
        <v>1951</v>
      </c>
      <c r="F457" s="292" t="s">
        <v>1952</v>
      </c>
      <c r="G457" s="292" t="s">
        <v>1953</v>
      </c>
      <c r="H457" s="292" t="s">
        <v>1954</v>
      </c>
    </row>
    <row r="458" customFormat="false" ht="54.75" hidden="false" customHeight="true" outlineLevel="0" collapsed="false">
      <c r="A458" s="83" t="n">
        <v>91</v>
      </c>
      <c r="B458" s="290" t="s">
        <v>350</v>
      </c>
      <c r="C458" s="291" t="s">
        <v>1926</v>
      </c>
      <c r="D458" s="292" t="s">
        <v>2392</v>
      </c>
      <c r="E458" s="292" t="s">
        <v>1928</v>
      </c>
      <c r="F458" s="292" t="s">
        <v>58</v>
      </c>
      <c r="G458" s="292" t="s">
        <v>1929</v>
      </c>
      <c r="H458" s="292" t="s">
        <v>1930</v>
      </c>
    </row>
    <row r="459" customFormat="false" ht="54.75" hidden="false" customHeight="true" outlineLevel="0" collapsed="false">
      <c r="A459" s="83"/>
      <c r="B459" s="293"/>
      <c r="C459" s="294" t="s">
        <v>1931</v>
      </c>
      <c r="D459" s="295" t="s">
        <v>2364</v>
      </c>
      <c r="E459" s="295" t="s">
        <v>1933</v>
      </c>
      <c r="F459" s="295" t="s">
        <v>1934</v>
      </c>
      <c r="G459" s="295" t="s">
        <v>1935</v>
      </c>
      <c r="H459" s="295" t="s">
        <v>1936</v>
      </c>
    </row>
    <row r="460" customFormat="false" ht="54.75" hidden="false" customHeight="true" outlineLevel="0" collapsed="false">
      <c r="A460" s="83"/>
      <c r="B460" s="293"/>
      <c r="C460" s="296" t="s">
        <v>1937</v>
      </c>
      <c r="D460" s="292" t="s">
        <v>2393</v>
      </c>
      <c r="E460" s="292" t="s">
        <v>1939</v>
      </c>
      <c r="F460" s="292" t="s">
        <v>1940</v>
      </c>
      <c r="G460" s="292" t="s">
        <v>1941</v>
      </c>
      <c r="H460" s="292" t="s">
        <v>1942</v>
      </c>
    </row>
    <row r="461" customFormat="false" ht="54.75" hidden="false" customHeight="true" outlineLevel="0" collapsed="false">
      <c r="A461" s="83"/>
      <c r="B461" s="293"/>
      <c r="C461" s="297" t="s">
        <v>1943</v>
      </c>
      <c r="D461" s="295" t="s">
        <v>2394</v>
      </c>
      <c r="E461" s="295" t="s">
        <v>1945</v>
      </c>
      <c r="F461" s="295" t="s">
        <v>1946</v>
      </c>
      <c r="G461" s="295" t="s">
        <v>1947</v>
      </c>
      <c r="H461" s="295" t="s">
        <v>1948</v>
      </c>
    </row>
    <row r="462" customFormat="false" ht="54.75" hidden="false" customHeight="true" outlineLevel="0" collapsed="false">
      <c r="A462" s="83"/>
      <c r="B462" s="293"/>
      <c r="C462" s="298" t="s">
        <v>1949</v>
      </c>
      <c r="D462" s="292" t="s">
        <v>2395</v>
      </c>
      <c r="E462" s="292" t="s">
        <v>1951</v>
      </c>
      <c r="F462" s="292" t="s">
        <v>1952</v>
      </c>
      <c r="G462" s="292" t="s">
        <v>1953</v>
      </c>
      <c r="H462" s="292" t="s">
        <v>1954</v>
      </c>
    </row>
    <row r="463" customFormat="false" ht="54.75" hidden="false" customHeight="true" outlineLevel="0" collapsed="false">
      <c r="A463" s="83" t="n">
        <v>92</v>
      </c>
      <c r="B463" s="299" t="s">
        <v>351</v>
      </c>
      <c r="C463" s="291" t="s">
        <v>1926</v>
      </c>
      <c r="D463" s="292" t="s">
        <v>2396</v>
      </c>
      <c r="E463" s="292" t="s">
        <v>1928</v>
      </c>
      <c r="F463" s="292" t="s">
        <v>58</v>
      </c>
      <c r="G463" s="292" t="s">
        <v>1929</v>
      </c>
      <c r="H463" s="292" t="s">
        <v>1930</v>
      </c>
    </row>
    <row r="464" customFormat="false" ht="54.75" hidden="false" customHeight="true" outlineLevel="0" collapsed="false">
      <c r="A464" s="83"/>
      <c r="B464" s="300"/>
      <c r="C464" s="294" t="s">
        <v>1931</v>
      </c>
      <c r="D464" s="295" t="s">
        <v>2364</v>
      </c>
      <c r="E464" s="295" t="s">
        <v>1933</v>
      </c>
      <c r="F464" s="295" t="s">
        <v>1934</v>
      </c>
      <c r="G464" s="295" t="s">
        <v>1935</v>
      </c>
      <c r="H464" s="295" t="s">
        <v>1936</v>
      </c>
    </row>
    <row r="465" customFormat="false" ht="54.75" hidden="false" customHeight="true" outlineLevel="0" collapsed="false">
      <c r="A465" s="83"/>
      <c r="B465" s="300"/>
      <c r="C465" s="296" t="s">
        <v>1937</v>
      </c>
      <c r="D465" s="292" t="s">
        <v>2397</v>
      </c>
      <c r="E465" s="292" t="s">
        <v>1939</v>
      </c>
      <c r="F465" s="292" t="s">
        <v>1940</v>
      </c>
      <c r="G465" s="292" t="s">
        <v>1941</v>
      </c>
      <c r="H465" s="292" t="s">
        <v>1942</v>
      </c>
    </row>
    <row r="466" customFormat="false" ht="54.75" hidden="false" customHeight="true" outlineLevel="0" collapsed="false">
      <c r="A466" s="83"/>
      <c r="B466" s="300"/>
      <c r="C466" s="297" t="s">
        <v>1943</v>
      </c>
      <c r="D466" s="295" t="s">
        <v>2398</v>
      </c>
      <c r="E466" s="295" t="s">
        <v>1945</v>
      </c>
      <c r="F466" s="295" t="s">
        <v>1946</v>
      </c>
      <c r="G466" s="295" t="s">
        <v>1947</v>
      </c>
      <c r="H466" s="295" t="s">
        <v>1948</v>
      </c>
    </row>
    <row r="467" customFormat="false" ht="54.75" hidden="false" customHeight="true" outlineLevel="0" collapsed="false">
      <c r="A467" s="83"/>
      <c r="B467" s="300"/>
      <c r="C467" s="298" t="s">
        <v>1949</v>
      </c>
      <c r="D467" s="292" t="s">
        <v>2399</v>
      </c>
      <c r="E467" s="292" t="s">
        <v>1951</v>
      </c>
      <c r="F467" s="292" t="s">
        <v>1952</v>
      </c>
      <c r="G467" s="292" t="s">
        <v>1953</v>
      </c>
      <c r="H467" s="292" t="s">
        <v>1954</v>
      </c>
    </row>
    <row r="468" customFormat="false" ht="54.75" hidden="false" customHeight="true" outlineLevel="0" collapsed="false">
      <c r="A468" s="83" t="n">
        <v>93</v>
      </c>
      <c r="B468" s="290" t="s">
        <v>352</v>
      </c>
      <c r="C468" s="291" t="s">
        <v>1926</v>
      </c>
      <c r="D468" s="292" t="s">
        <v>2400</v>
      </c>
      <c r="E468" s="292" t="s">
        <v>1928</v>
      </c>
      <c r="F468" s="292" t="s">
        <v>58</v>
      </c>
      <c r="G468" s="292" t="s">
        <v>1929</v>
      </c>
      <c r="H468" s="292" t="s">
        <v>1930</v>
      </c>
    </row>
    <row r="469" customFormat="false" ht="54.75" hidden="false" customHeight="true" outlineLevel="0" collapsed="false">
      <c r="A469" s="83"/>
      <c r="B469" s="293"/>
      <c r="C469" s="294" t="s">
        <v>1931</v>
      </c>
      <c r="D469" s="295" t="s">
        <v>2364</v>
      </c>
      <c r="E469" s="295" t="s">
        <v>1933</v>
      </c>
      <c r="F469" s="295" t="s">
        <v>1934</v>
      </c>
      <c r="G469" s="295" t="s">
        <v>1935</v>
      </c>
      <c r="H469" s="295" t="s">
        <v>1936</v>
      </c>
    </row>
    <row r="470" customFormat="false" ht="54.75" hidden="false" customHeight="true" outlineLevel="0" collapsed="false">
      <c r="A470" s="83"/>
      <c r="B470" s="293"/>
      <c r="C470" s="296" t="s">
        <v>1937</v>
      </c>
      <c r="D470" s="292" t="s">
        <v>2401</v>
      </c>
      <c r="E470" s="292" t="s">
        <v>1939</v>
      </c>
      <c r="F470" s="292" t="s">
        <v>1940</v>
      </c>
      <c r="G470" s="292" t="s">
        <v>1941</v>
      </c>
      <c r="H470" s="292" t="s">
        <v>1942</v>
      </c>
    </row>
    <row r="471" customFormat="false" ht="54.75" hidden="false" customHeight="true" outlineLevel="0" collapsed="false">
      <c r="A471" s="83"/>
      <c r="B471" s="293"/>
      <c r="C471" s="297" t="s">
        <v>1943</v>
      </c>
      <c r="D471" s="295" t="s">
        <v>2402</v>
      </c>
      <c r="E471" s="295" t="s">
        <v>1945</v>
      </c>
      <c r="F471" s="295" t="s">
        <v>1946</v>
      </c>
      <c r="G471" s="295" t="s">
        <v>1947</v>
      </c>
      <c r="H471" s="295" t="s">
        <v>1948</v>
      </c>
    </row>
    <row r="472" customFormat="false" ht="54.75" hidden="false" customHeight="true" outlineLevel="0" collapsed="false">
      <c r="A472" s="83"/>
      <c r="B472" s="293"/>
      <c r="C472" s="298" t="s">
        <v>1949</v>
      </c>
      <c r="D472" s="292" t="s">
        <v>2403</v>
      </c>
      <c r="E472" s="292" t="s">
        <v>1951</v>
      </c>
      <c r="F472" s="292" t="s">
        <v>1952</v>
      </c>
      <c r="G472" s="292" t="s">
        <v>1953</v>
      </c>
      <c r="H472" s="292" t="s">
        <v>1954</v>
      </c>
    </row>
    <row r="473" customFormat="false" ht="54.75" hidden="false" customHeight="true" outlineLevel="0" collapsed="false">
      <c r="A473" s="83" t="n">
        <v>94</v>
      </c>
      <c r="B473" s="299" t="s">
        <v>353</v>
      </c>
      <c r="C473" s="291" t="s">
        <v>1926</v>
      </c>
      <c r="D473" s="292" t="s">
        <v>2404</v>
      </c>
      <c r="E473" s="292" t="s">
        <v>1928</v>
      </c>
      <c r="F473" s="292" t="s">
        <v>58</v>
      </c>
      <c r="G473" s="292" t="s">
        <v>1929</v>
      </c>
      <c r="H473" s="292" t="s">
        <v>1930</v>
      </c>
    </row>
    <row r="474" customFormat="false" ht="54.75" hidden="false" customHeight="true" outlineLevel="0" collapsed="false">
      <c r="A474" s="83"/>
      <c r="B474" s="300"/>
      <c r="C474" s="294" t="s">
        <v>1931</v>
      </c>
      <c r="D474" s="295" t="s">
        <v>2364</v>
      </c>
      <c r="E474" s="295" t="s">
        <v>1933</v>
      </c>
      <c r="F474" s="295" t="s">
        <v>1934</v>
      </c>
      <c r="G474" s="295" t="s">
        <v>1935</v>
      </c>
      <c r="H474" s="295" t="s">
        <v>1936</v>
      </c>
    </row>
    <row r="475" customFormat="false" ht="54.75" hidden="false" customHeight="true" outlineLevel="0" collapsed="false">
      <c r="A475" s="83"/>
      <c r="B475" s="300"/>
      <c r="C475" s="296" t="s">
        <v>1937</v>
      </c>
      <c r="D475" s="292" t="s">
        <v>2405</v>
      </c>
      <c r="E475" s="292" t="s">
        <v>1939</v>
      </c>
      <c r="F475" s="292" t="s">
        <v>1940</v>
      </c>
      <c r="G475" s="292" t="s">
        <v>1941</v>
      </c>
      <c r="H475" s="292" t="s">
        <v>1942</v>
      </c>
    </row>
    <row r="476" customFormat="false" ht="54.75" hidden="false" customHeight="true" outlineLevel="0" collapsed="false">
      <c r="A476" s="83"/>
      <c r="B476" s="300"/>
      <c r="C476" s="297" t="s">
        <v>1943</v>
      </c>
      <c r="D476" s="295" t="s">
        <v>2406</v>
      </c>
      <c r="E476" s="295" t="s">
        <v>1945</v>
      </c>
      <c r="F476" s="295" t="s">
        <v>1946</v>
      </c>
      <c r="G476" s="295" t="s">
        <v>1947</v>
      </c>
      <c r="H476" s="295" t="s">
        <v>1948</v>
      </c>
    </row>
    <row r="477" customFormat="false" ht="54.75" hidden="false" customHeight="true" outlineLevel="0" collapsed="false">
      <c r="A477" s="83"/>
      <c r="B477" s="300"/>
      <c r="C477" s="298" t="s">
        <v>1949</v>
      </c>
      <c r="D477" s="292" t="s">
        <v>2407</v>
      </c>
      <c r="E477" s="292" t="s">
        <v>1951</v>
      </c>
      <c r="F477" s="292" t="s">
        <v>1952</v>
      </c>
      <c r="G477" s="292" t="s">
        <v>1953</v>
      </c>
      <c r="H477" s="292" t="s">
        <v>1954</v>
      </c>
    </row>
    <row r="478" customFormat="false" ht="54.75" hidden="false" customHeight="true" outlineLevel="0" collapsed="false">
      <c r="A478" s="83" t="n">
        <v>95</v>
      </c>
      <c r="B478" s="290" t="s">
        <v>354</v>
      </c>
      <c r="C478" s="291" t="s">
        <v>1926</v>
      </c>
      <c r="D478" s="292" t="s">
        <v>2408</v>
      </c>
      <c r="E478" s="292" t="s">
        <v>1928</v>
      </c>
      <c r="F478" s="292" t="s">
        <v>58</v>
      </c>
      <c r="G478" s="292" t="s">
        <v>1929</v>
      </c>
      <c r="H478" s="292" t="s">
        <v>1930</v>
      </c>
    </row>
    <row r="479" customFormat="false" ht="54.75" hidden="false" customHeight="true" outlineLevel="0" collapsed="false">
      <c r="A479" s="83"/>
      <c r="B479" s="293"/>
      <c r="C479" s="294" t="s">
        <v>1931</v>
      </c>
      <c r="D479" s="295" t="s">
        <v>2364</v>
      </c>
      <c r="E479" s="295" t="s">
        <v>1933</v>
      </c>
      <c r="F479" s="295" t="s">
        <v>1934</v>
      </c>
      <c r="G479" s="295" t="s">
        <v>1935</v>
      </c>
      <c r="H479" s="295" t="s">
        <v>1936</v>
      </c>
    </row>
    <row r="480" customFormat="false" ht="54.75" hidden="false" customHeight="true" outlineLevel="0" collapsed="false">
      <c r="A480" s="83"/>
      <c r="B480" s="293"/>
      <c r="C480" s="296" t="s">
        <v>1937</v>
      </c>
      <c r="D480" s="292" t="s">
        <v>2409</v>
      </c>
      <c r="E480" s="292" t="s">
        <v>1939</v>
      </c>
      <c r="F480" s="292" t="s">
        <v>1940</v>
      </c>
      <c r="G480" s="292" t="s">
        <v>1941</v>
      </c>
      <c r="H480" s="292" t="s">
        <v>1942</v>
      </c>
    </row>
    <row r="481" customFormat="false" ht="54.75" hidden="false" customHeight="true" outlineLevel="0" collapsed="false">
      <c r="A481" s="83"/>
      <c r="B481" s="293"/>
      <c r="C481" s="297" t="s">
        <v>1943</v>
      </c>
      <c r="D481" s="295" t="s">
        <v>2410</v>
      </c>
      <c r="E481" s="295" t="s">
        <v>1945</v>
      </c>
      <c r="F481" s="295" t="s">
        <v>1946</v>
      </c>
      <c r="G481" s="295" t="s">
        <v>1947</v>
      </c>
      <c r="H481" s="295" t="s">
        <v>1948</v>
      </c>
    </row>
    <row r="482" customFormat="false" ht="54.75" hidden="false" customHeight="true" outlineLevel="0" collapsed="false">
      <c r="A482" s="83"/>
      <c r="B482" s="293"/>
      <c r="C482" s="298" t="s">
        <v>1949</v>
      </c>
      <c r="D482" s="292" t="s">
        <v>2411</v>
      </c>
      <c r="E482" s="292" t="s">
        <v>1951</v>
      </c>
      <c r="F482" s="292" t="s">
        <v>1952</v>
      </c>
      <c r="G482" s="292" t="s">
        <v>1953</v>
      </c>
      <c r="H482" s="292" t="s">
        <v>1954</v>
      </c>
    </row>
    <row r="483" customFormat="false" ht="54.75" hidden="false" customHeight="true" outlineLevel="0" collapsed="false">
      <c r="A483" s="83" t="n">
        <v>96</v>
      </c>
      <c r="B483" s="299" t="s">
        <v>355</v>
      </c>
      <c r="C483" s="291" t="s">
        <v>1926</v>
      </c>
      <c r="D483" s="292" t="s">
        <v>2412</v>
      </c>
      <c r="E483" s="292" t="s">
        <v>1928</v>
      </c>
      <c r="F483" s="292" t="s">
        <v>58</v>
      </c>
      <c r="G483" s="292" t="s">
        <v>1929</v>
      </c>
      <c r="H483" s="292" t="s">
        <v>1930</v>
      </c>
    </row>
    <row r="484" customFormat="false" ht="54.75" hidden="false" customHeight="true" outlineLevel="0" collapsed="false">
      <c r="A484" s="83"/>
      <c r="B484" s="300"/>
      <c r="C484" s="294" t="s">
        <v>1931</v>
      </c>
      <c r="D484" s="295" t="s">
        <v>2364</v>
      </c>
      <c r="E484" s="295" t="s">
        <v>1933</v>
      </c>
      <c r="F484" s="295" t="s">
        <v>1934</v>
      </c>
      <c r="G484" s="295" t="s">
        <v>1935</v>
      </c>
      <c r="H484" s="295" t="s">
        <v>1936</v>
      </c>
    </row>
    <row r="485" customFormat="false" ht="54.75" hidden="false" customHeight="true" outlineLevel="0" collapsed="false">
      <c r="A485" s="83"/>
      <c r="B485" s="300"/>
      <c r="C485" s="296" t="s">
        <v>1937</v>
      </c>
      <c r="D485" s="292" t="s">
        <v>2413</v>
      </c>
      <c r="E485" s="292" t="s">
        <v>1939</v>
      </c>
      <c r="F485" s="292" t="s">
        <v>1940</v>
      </c>
      <c r="G485" s="292" t="s">
        <v>1941</v>
      </c>
      <c r="H485" s="292" t="s">
        <v>1942</v>
      </c>
    </row>
    <row r="486" customFormat="false" ht="54.75" hidden="false" customHeight="true" outlineLevel="0" collapsed="false">
      <c r="A486" s="83"/>
      <c r="B486" s="300"/>
      <c r="C486" s="297" t="s">
        <v>1943</v>
      </c>
      <c r="D486" s="295" t="s">
        <v>2414</v>
      </c>
      <c r="E486" s="295" t="s">
        <v>1945</v>
      </c>
      <c r="F486" s="295" t="s">
        <v>1946</v>
      </c>
      <c r="G486" s="295" t="s">
        <v>1947</v>
      </c>
      <c r="H486" s="295" t="s">
        <v>1948</v>
      </c>
    </row>
    <row r="487" customFormat="false" ht="54.75" hidden="false" customHeight="true" outlineLevel="0" collapsed="false">
      <c r="A487" s="83"/>
      <c r="B487" s="300"/>
      <c r="C487" s="298" t="s">
        <v>1949</v>
      </c>
      <c r="D487" s="292" t="s">
        <v>2415</v>
      </c>
      <c r="E487" s="292" t="s">
        <v>1951</v>
      </c>
      <c r="F487" s="292" t="s">
        <v>1952</v>
      </c>
      <c r="G487" s="292" t="s">
        <v>1953</v>
      </c>
      <c r="H487" s="292" t="s">
        <v>1954</v>
      </c>
    </row>
    <row r="488" customFormat="false" ht="54.75" hidden="false" customHeight="true" outlineLevel="0" collapsed="false">
      <c r="A488" s="83" t="n">
        <v>97</v>
      </c>
      <c r="B488" s="290" t="s">
        <v>356</v>
      </c>
      <c r="C488" s="291" t="s">
        <v>1926</v>
      </c>
      <c r="D488" s="292" t="s">
        <v>2416</v>
      </c>
      <c r="E488" s="292" t="s">
        <v>1928</v>
      </c>
      <c r="F488" s="292" t="s">
        <v>58</v>
      </c>
      <c r="G488" s="292" t="s">
        <v>1929</v>
      </c>
      <c r="H488" s="292" t="s">
        <v>1930</v>
      </c>
    </row>
    <row r="489" customFormat="false" ht="54.75" hidden="false" customHeight="true" outlineLevel="0" collapsed="false">
      <c r="A489" s="83"/>
      <c r="B489" s="293"/>
      <c r="C489" s="294" t="s">
        <v>1931</v>
      </c>
      <c r="D489" s="295" t="s">
        <v>2417</v>
      </c>
      <c r="E489" s="295" t="s">
        <v>1933</v>
      </c>
      <c r="F489" s="295" t="s">
        <v>1934</v>
      </c>
      <c r="G489" s="295" t="s">
        <v>1935</v>
      </c>
      <c r="H489" s="295" t="s">
        <v>1936</v>
      </c>
    </row>
    <row r="490" customFormat="false" ht="54.75" hidden="false" customHeight="true" outlineLevel="0" collapsed="false">
      <c r="A490" s="83"/>
      <c r="B490" s="293"/>
      <c r="C490" s="296" t="s">
        <v>1937</v>
      </c>
      <c r="D490" s="292" t="s">
        <v>2418</v>
      </c>
      <c r="E490" s="292" t="s">
        <v>1939</v>
      </c>
      <c r="F490" s="292" t="s">
        <v>1940</v>
      </c>
      <c r="G490" s="292" t="s">
        <v>1941</v>
      </c>
      <c r="H490" s="292" t="s">
        <v>1942</v>
      </c>
    </row>
    <row r="491" customFormat="false" ht="54.75" hidden="false" customHeight="true" outlineLevel="0" collapsed="false">
      <c r="A491" s="83"/>
      <c r="B491" s="293"/>
      <c r="C491" s="297" t="s">
        <v>1943</v>
      </c>
      <c r="D491" s="295" t="s">
        <v>2419</v>
      </c>
      <c r="E491" s="295" t="s">
        <v>1945</v>
      </c>
      <c r="F491" s="295" t="s">
        <v>1946</v>
      </c>
      <c r="G491" s="295" t="s">
        <v>1947</v>
      </c>
      <c r="H491" s="295" t="s">
        <v>1948</v>
      </c>
    </row>
    <row r="492" customFormat="false" ht="54.75" hidden="false" customHeight="true" outlineLevel="0" collapsed="false">
      <c r="A492" s="83"/>
      <c r="B492" s="293"/>
      <c r="C492" s="298" t="s">
        <v>1949</v>
      </c>
      <c r="D492" s="292" t="s">
        <v>2420</v>
      </c>
      <c r="E492" s="292" t="s">
        <v>1951</v>
      </c>
      <c r="F492" s="292" t="s">
        <v>1952</v>
      </c>
      <c r="G492" s="292" t="s">
        <v>1953</v>
      </c>
      <c r="H492" s="292" t="s">
        <v>1954</v>
      </c>
    </row>
    <row r="493" customFormat="false" ht="54.75" hidden="false" customHeight="true" outlineLevel="0" collapsed="false">
      <c r="A493" s="83" t="n">
        <v>98</v>
      </c>
      <c r="B493" s="299" t="s">
        <v>357</v>
      </c>
      <c r="C493" s="291" t="s">
        <v>1926</v>
      </c>
      <c r="D493" s="292" t="s">
        <v>2421</v>
      </c>
      <c r="E493" s="292" t="s">
        <v>1928</v>
      </c>
      <c r="F493" s="292" t="s">
        <v>58</v>
      </c>
      <c r="G493" s="292" t="s">
        <v>1929</v>
      </c>
      <c r="H493" s="292" t="s">
        <v>1930</v>
      </c>
    </row>
    <row r="494" customFormat="false" ht="54.75" hidden="false" customHeight="true" outlineLevel="0" collapsed="false">
      <c r="A494" s="83"/>
      <c r="B494" s="300"/>
      <c r="C494" s="294" t="s">
        <v>1931</v>
      </c>
      <c r="D494" s="295" t="s">
        <v>2422</v>
      </c>
      <c r="E494" s="295" t="s">
        <v>1933</v>
      </c>
      <c r="F494" s="295" t="s">
        <v>1934</v>
      </c>
      <c r="G494" s="295" t="s">
        <v>1935</v>
      </c>
      <c r="H494" s="295" t="s">
        <v>1936</v>
      </c>
    </row>
    <row r="495" customFormat="false" ht="54.75" hidden="false" customHeight="true" outlineLevel="0" collapsed="false">
      <c r="A495" s="83"/>
      <c r="B495" s="300"/>
      <c r="C495" s="296" t="s">
        <v>1937</v>
      </c>
      <c r="D495" s="292" t="s">
        <v>2423</v>
      </c>
      <c r="E495" s="292" t="s">
        <v>1939</v>
      </c>
      <c r="F495" s="292" t="s">
        <v>1940</v>
      </c>
      <c r="G495" s="292" t="s">
        <v>1941</v>
      </c>
      <c r="H495" s="292" t="s">
        <v>1942</v>
      </c>
    </row>
    <row r="496" customFormat="false" ht="54.75" hidden="false" customHeight="true" outlineLevel="0" collapsed="false">
      <c r="A496" s="83"/>
      <c r="B496" s="300"/>
      <c r="C496" s="297" t="s">
        <v>1943</v>
      </c>
      <c r="D496" s="295" t="s">
        <v>2424</v>
      </c>
      <c r="E496" s="295" t="s">
        <v>1945</v>
      </c>
      <c r="F496" s="295" t="s">
        <v>1946</v>
      </c>
      <c r="G496" s="295" t="s">
        <v>1947</v>
      </c>
      <c r="H496" s="295" t="s">
        <v>1948</v>
      </c>
    </row>
    <row r="497" customFormat="false" ht="54.75" hidden="false" customHeight="true" outlineLevel="0" collapsed="false">
      <c r="A497" s="83"/>
      <c r="B497" s="300"/>
      <c r="C497" s="298" t="s">
        <v>1949</v>
      </c>
      <c r="D497" s="292" t="s">
        <v>2425</v>
      </c>
      <c r="E497" s="292" t="s">
        <v>1951</v>
      </c>
      <c r="F497" s="292" t="s">
        <v>1952</v>
      </c>
      <c r="G497" s="292" t="s">
        <v>1953</v>
      </c>
      <c r="H497" s="292" t="s">
        <v>1954</v>
      </c>
    </row>
    <row r="498" customFormat="false" ht="54.75" hidden="false" customHeight="true" outlineLevel="0" collapsed="false">
      <c r="A498" s="83" t="n">
        <v>99</v>
      </c>
      <c r="B498" s="290" t="s">
        <v>358</v>
      </c>
      <c r="C498" s="291" t="s">
        <v>1926</v>
      </c>
      <c r="D498" s="292" t="s">
        <v>2426</v>
      </c>
      <c r="E498" s="292" t="s">
        <v>1928</v>
      </c>
      <c r="F498" s="292" t="s">
        <v>58</v>
      </c>
      <c r="G498" s="292" t="s">
        <v>1929</v>
      </c>
      <c r="H498" s="292" t="s">
        <v>1930</v>
      </c>
    </row>
    <row r="499" customFormat="false" ht="54.75" hidden="false" customHeight="true" outlineLevel="0" collapsed="false">
      <c r="A499" s="83"/>
      <c r="B499" s="293"/>
      <c r="C499" s="294" t="s">
        <v>1931</v>
      </c>
      <c r="D499" s="295" t="s">
        <v>2427</v>
      </c>
      <c r="E499" s="295" t="s">
        <v>1933</v>
      </c>
      <c r="F499" s="295" t="s">
        <v>1934</v>
      </c>
      <c r="G499" s="295" t="s">
        <v>1935</v>
      </c>
      <c r="H499" s="295" t="s">
        <v>1936</v>
      </c>
    </row>
    <row r="500" customFormat="false" ht="54.75" hidden="false" customHeight="true" outlineLevel="0" collapsed="false">
      <c r="A500" s="83"/>
      <c r="B500" s="293"/>
      <c r="C500" s="296" t="s">
        <v>1937</v>
      </c>
      <c r="D500" s="292" t="s">
        <v>2428</v>
      </c>
      <c r="E500" s="292" t="s">
        <v>1939</v>
      </c>
      <c r="F500" s="292" t="s">
        <v>1940</v>
      </c>
      <c r="G500" s="292" t="s">
        <v>1941</v>
      </c>
      <c r="H500" s="292" t="s">
        <v>1942</v>
      </c>
    </row>
    <row r="501" customFormat="false" ht="54.75" hidden="false" customHeight="true" outlineLevel="0" collapsed="false">
      <c r="A501" s="83"/>
      <c r="B501" s="293"/>
      <c r="C501" s="297" t="s">
        <v>1943</v>
      </c>
      <c r="D501" s="295" t="s">
        <v>2429</v>
      </c>
      <c r="E501" s="295" t="s">
        <v>1945</v>
      </c>
      <c r="F501" s="295" t="s">
        <v>1946</v>
      </c>
      <c r="G501" s="295" t="s">
        <v>1947</v>
      </c>
      <c r="H501" s="295" t="s">
        <v>1948</v>
      </c>
    </row>
    <row r="502" customFormat="false" ht="54.75" hidden="false" customHeight="true" outlineLevel="0" collapsed="false">
      <c r="A502" s="83"/>
      <c r="B502" s="293"/>
      <c r="C502" s="298" t="s">
        <v>1949</v>
      </c>
      <c r="D502" s="292" t="s">
        <v>2430</v>
      </c>
      <c r="E502" s="292" t="s">
        <v>1951</v>
      </c>
      <c r="F502" s="292" t="s">
        <v>1952</v>
      </c>
      <c r="G502" s="292" t="s">
        <v>1953</v>
      </c>
      <c r="H502" s="292" t="s">
        <v>1954</v>
      </c>
    </row>
    <row r="503" customFormat="false" ht="54.75" hidden="false" customHeight="true" outlineLevel="0" collapsed="false">
      <c r="A503" s="83" t="n">
        <v>100</v>
      </c>
      <c r="B503" s="299" t="s">
        <v>359</v>
      </c>
      <c r="C503" s="291" t="s">
        <v>1926</v>
      </c>
      <c r="D503" s="292" t="s">
        <v>2431</v>
      </c>
      <c r="E503" s="292" t="s">
        <v>1928</v>
      </c>
      <c r="F503" s="292" t="s">
        <v>58</v>
      </c>
      <c r="G503" s="292" t="s">
        <v>1929</v>
      </c>
      <c r="H503" s="292" t="s">
        <v>1930</v>
      </c>
    </row>
    <row r="504" customFormat="false" ht="54.75" hidden="false" customHeight="true" outlineLevel="0" collapsed="false">
      <c r="A504" s="83"/>
      <c r="B504" s="300"/>
      <c r="C504" s="294" t="s">
        <v>1931</v>
      </c>
      <c r="D504" s="295" t="s">
        <v>2432</v>
      </c>
      <c r="E504" s="295" t="s">
        <v>1933</v>
      </c>
      <c r="F504" s="295" t="s">
        <v>1934</v>
      </c>
      <c r="G504" s="295" t="s">
        <v>1935</v>
      </c>
      <c r="H504" s="295" t="s">
        <v>1936</v>
      </c>
    </row>
    <row r="505" customFormat="false" ht="54.75" hidden="false" customHeight="true" outlineLevel="0" collapsed="false">
      <c r="A505" s="83"/>
      <c r="B505" s="300"/>
      <c r="C505" s="296" t="s">
        <v>1937</v>
      </c>
      <c r="D505" s="292" t="s">
        <v>2433</v>
      </c>
      <c r="E505" s="292" t="s">
        <v>1939</v>
      </c>
      <c r="F505" s="292" t="s">
        <v>1940</v>
      </c>
      <c r="G505" s="292" t="s">
        <v>1941</v>
      </c>
      <c r="H505" s="292" t="s">
        <v>1942</v>
      </c>
    </row>
    <row r="506" customFormat="false" ht="54.75" hidden="false" customHeight="true" outlineLevel="0" collapsed="false">
      <c r="A506" s="83"/>
      <c r="B506" s="300"/>
      <c r="C506" s="297" t="s">
        <v>1943</v>
      </c>
      <c r="D506" s="295" t="s">
        <v>2434</v>
      </c>
      <c r="E506" s="295" t="s">
        <v>1945</v>
      </c>
      <c r="F506" s="295" t="s">
        <v>1946</v>
      </c>
      <c r="G506" s="295" t="s">
        <v>1947</v>
      </c>
      <c r="H506" s="295" t="s">
        <v>1948</v>
      </c>
    </row>
    <row r="507" customFormat="false" ht="54.75" hidden="false" customHeight="true" outlineLevel="0" collapsed="false">
      <c r="A507" s="83"/>
      <c r="B507" s="300"/>
      <c r="C507" s="298" t="s">
        <v>1949</v>
      </c>
      <c r="D507" s="292" t="s">
        <v>2435</v>
      </c>
      <c r="E507" s="292" t="s">
        <v>1951</v>
      </c>
      <c r="F507" s="292" t="s">
        <v>1952</v>
      </c>
      <c r="G507" s="292" t="s">
        <v>1953</v>
      </c>
      <c r="H507" s="292" t="s">
        <v>1954</v>
      </c>
    </row>
    <row r="508" customFormat="false" ht="54.75" hidden="false" customHeight="true" outlineLevel="0" collapsed="false">
      <c r="A508" s="83" t="n">
        <v>101</v>
      </c>
      <c r="B508" s="290" t="s">
        <v>360</v>
      </c>
      <c r="C508" s="291" t="s">
        <v>1926</v>
      </c>
      <c r="D508" s="292" t="s">
        <v>2436</v>
      </c>
      <c r="E508" s="292" t="s">
        <v>1928</v>
      </c>
      <c r="F508" s="292" t="s">
        <v>58</v>
      </c>
      <c r="G508" s="292" t="s">
        <v>1929</v>
      </c>
      <c r="H508" s="292" t="s">
        <v>1930</v>
      </c>
    </row>
    <row r="509" customFormat="false" ht="54.75" hidden="false" customHeight="true" outlineLevel="0" collapsed="false">
      <c r="A509" s="83"/>
      <c r="B509" s="293"/>
      <c r="C509" s="294" t="s">
        <v>1931</v>
      </c>
      <c r="D509" s="295" t="s">
        <v>2437</v>
      </c>
      <c r="E509" s="295" t="s">
        <v>1933</v>
      </c>
      <c r="F509" s="295" t="s">
        <v>1934</v>
      </c>
      <c r="G509" s="295" t="s">
        <v>1935</v>
      </c>
      <c r="H509" s="295" t="s">
        <v>1936</v>
      </c>
    </row>
    <row r="510" customFormat="false" ht="54.75" hidden="false" customHeight="true" outlineLevel="0" collapsed="false">
      <c r="A510" s="83"/>
      <c r="B510" s="293"/>
      <c r="C510" s="296" t="s">
        <v>1937</v>
      </c>
      <c r="D510" s="292" t="s">
        <v>2438</v>
      </c>
      <c r="E510" s="292" t="s">
        <v>1939</v>
      </c>
      <c r="F510" s="292" t="s">
        <v>1940</v>
      </c>
      <c r="G510" s="292" t="s">
        <v>1941</v>
      </c>
      <c r="H510" s="292" t="s">
        <v>1942</v>
      </c>
    </row>
    <row r="511" customFormat="false" ht="54.75" hidden="false" customHeight="true" outlineLevel="0" collapsed="false">
      <c r="A511" s="83"/>
      <c r="B511" s="293"/>
      <c r="C511" s="297" t="s">
        <v>1943</v>
      </c>
      <c r="D511" s="295" t="s">
        <v>2439</v>
      </c>
      <c r="E511" s="295" t="s">
        <v>1945</v>
      </c>
      <c r="F511" s="295" t="s">
        <v>1946</v>
      </c>
      <c r="G511" s="295" t="s">
        <v>1947</v>
      </c>
      <c r="H511" s="295" t="s">
        <v>1948</v>
      </c>
    </row>
    <row r="512" customFormat="false" ht="54.75" hidden="false" customHeight="true" outlineLevel="0" collapsed="false">
      <c r="A512" s="83"/>
      <c r="B512" s="293"/>
      <c r="C512" s="298" t="s">
        <v>1949</v>
      </c>
      <c r="D512" s="292" t="s">
        <v>2440</v>
      </c>
      <c r="E512" s="292" t="s">
        <v>1951</v>
      </c>
      <c r="F512" s="292" t="s">
        <v>1952</v>
      </c>
      <c r="G512" s="292" t="s">
        <v>1953</v>
      </c>
      <c r="H512" s="292" t="s">
        <v>1954</v>
      </c>
    </row>
    <row r="513" customFormat="false" ht="54.75" hidden="false" customHeight="true" outlineLevel="0" collapsed="false">
      <c r="A513" s="83" t="n">
        <v>102</v>
      </c>
      <c r="B513" s="299" t="s">
        <v>361</v>
      </c>
      <c r="C513" s="291" t="s">
        <v>1926</v>
      </c>
      <c r="D513" s="292" t="s">
        <v>2441</v>
      </c>
      <c r="E513" s="292" t="s">
        <v>1928</v>
      </c>
      <c r="F513" s="292" t="s">
        <v>58</v>
      </c>
      <c r="G513" s="292" t="s">
        <v>1929</v>
      </c>
      <c r="H513" s="292" t="s">
        <v>1930</v>
      </c>
    </row>
    <row r="514" customFormat="false" ht="54.75" hidden="false" customHeight="true" outlineLevel="0" collapsed="false">
      <c r="A514" s="83"/>
      <c r="B514" s="300"/>
      <c r="C514" s="294" t="s">
        <v>1931</v>
      </c>
      <c r="D514" s="295" t="s">
        <v>2442</v>
      </c>
      <c r="E514" s="295" t="s">
        <v>1933</v>
      </c>
      <c r="F514" s="295" t="s">
        <v>1934</v>
      </c>
      <c r="G514" s="295" t="s">
        <v>1935</v>
      </c>
      <c r="H514" s="295" t="s">
        <v>1936</v>
      </c>
    </row>
    <row r="515" customFormat="false" ht="54.75" hidden="false" customHeight="true" outlineLevel="0" collapsed="false">
      <c r="A515" s="83"/>
      <c r="B515" s="300"/>
      <c r="C515" s="296" t="s">
        <v>1937</v>
      </c>
      <c r="D515" s="292" t="s">
        <v>2443</v>
      </c>
      <c r="E515" s="292" t="s">
        <v>1939</v>
      </c>
      <c r="F515" s="292" t="s">
        <v>1940</v>
      </c>
      <c r="G515" s="292" t="s">
        <v>1941</v>
      </c>
      <c r="H515" s="292" t="s">
        <v>1942</v>
      </c>
    </row>
    <row r="516" customFormat="false" ht="54.75" hidden="false" customHeight="true" outlineLevel="0" collapsed="false">
      <c r="A516" s="83"/>
      <c r="B516" s="300"/>
      <c r="C516" s="297" t="s">
        <v>1943</v>
      </c>
      <c r="D516" s="295" t="s">
        <v>2444</v>
      </c>
      <c r="E516" s="295" t="s">
        <v>1945</v>
      </c>
      <c r="F516" s="295" t="s">
        <v>1946</v>
      </c>
      <c r="G516" s="295" t="s">
        <v>1947</v>
      </c>
      <c r="H516" s="295" t="s">
        <v>1948</v>
      </c>
    </row>
    <row r="517" customFormat="false" ht="54.75" hidden="false" customHeight="true" outlineLevel="0" collapsed="false">
      <c r="A517" s="83"/>
      <c r="B517" s="300"/>
      <c r="C517" s="298" t="s">
        <v>1949</v>
      </c>
      <c r="D517" s="292" t="s">
        <v>2445</v>
      </c>
      <c r="E517" s="292" t="s">
        <v>1951</v>
      </c>
      <c r="F517" s="292" t="s">
        <v>1952</v>
      </c>
      <c r="G517" s="292" t="s">
        <v>1953</v>
      </c>
      <c r="H517" s="292" t="s">
        <v>1954</v>
      </c>
    </row>
    <row r="518" customFormat="false" ht="54.75" hidden="false" customHeight="true" outlineLevel="0" collapsed="false">
      <c r="A518" s="83" t="n">
        <v>103</v>
      </c>
      <c r="B518" s="290" t="s">
        <v>362</v>
      </c>
      <c r="C518" s="291" t="s">
        <v>1926</v>
      </c>
      <c r="D518" s="292" t="s">
        <v>2446</v>
      </c>
      <c r="E518" s="292" t="s">
        <v>1928</v>
      </c>
      <c r="F518" s="292" t="s">
        <v>58</v>
      </c>
      <c r="G518" s="292" t="s">
        <v>1929</v>
      </c>
      <c r="H518" s="292" t="s">
        <v>1930</v>
      </c>
    </row>
    <row r="519" customFormat="false" ht="54.75" hidden="false" customHeight="true" outlineLevel="0" collapsed="false">
      <c r="A519" s="83"/>
      <c r="B519" s="293"/>
      <c r="C519" s="294" t="s">
        <v>1931</v>
      </c>
      <c r="D519" s="295" t="s">
        <v>2447</v>
      </c>
      <c r="E519" s="295" t="s">
        <v>1933</v>
      </c>
      <c r="F519" s="295" t="s">
        <v>1934</v>
      </c>
      <c r="G519" s="295" t="s">
        <v>1935</v>
      </c>
      <c r="H519" s="295" t="s">
        <v>1936</v>
      </c>
    </row>
    <row r="520" customFormat="false" ht="54.75" hidden="false" customHeight="true" outlineLevel="0" collapsed="false">
      <c r="A520" s="83"/>
      <c r="B520" s="293"/>
      <c r="C520" s="296" t="s">
        <v>1937</v>
      </c>
      <c r="D520" s="292" t="s">
        <v>2448</v>
      </c>
      <c r="E520" s="292" t="s">
        <v>1939</v>
      </c>
      <c r="F520" s="292" t="s">
        <v>1940</v>
      </c>
      <c r="G520" s="292" t="s">
        <v>1941</v>
      </c>
      <c r="H520" s="292" t="s">
        <v>1942</v>
      </c>
    </row>
    <row r="521" customFormat="false" ht="54.75" hidden="false" customHeight="true" outlineLevel="0" collapsed="false">
      <c r="A521" s="83"/>
      <c r="B521" s="293"/>
      <c r="C521" s="297" t="s">
        <v>1943</v>
      </c>
      <c r="D521" s="295" t="s">
        <v>2449</v>
      </c>
      <c r="E521" s="295" t="s">
        <v>1945</v>
      </c>
      <c r="F521" s="295" t="s">
        <v>1946</v>
      </c>
      <c r="G521" s="295" t="s">
        <v>1947</v>
      </c>
      <c r="H521" s="295" t="s">
        <v>1948</v>
      </c>
    </row>
    <row r="522" customFormat="false" ht="54.75" hidden="false" customHeight="true" outlineLevel="0" collapsed="false">
      <c r="A522" s="83"/>
      <c r="B522" s="293"/>
      <c r="C522" s="298" t="s">
        <v>1949</v>
      </c>
      <c r="D522" s="292" t="s">
        <v>2450</v>
      </c>
      <c r="E522" s="292" t="s">
        <v>1951</v>
      </c>
      <c r="F522" s="292" t="s">
        <v>1952</v>
      </c>
      <c r="G522" s="292" t="s">
        <v>1953</v>
      </c>
      <c r="H522" s="292" t="s">
        <v>1954</v>
      </c>
    </row>
    <row r="523" customFormat="false" ht="54.75" hidden="false" customHeight="true" outlineLevel="0" collapsed="false">
      <c r="A523" s="83" t="n">
        <v>104</v>
      </c>
      <c r="B523" s="299" t="s">
        <v>363</v>
      </c>
      <c r="C523" s="291" t="s">
        <v>1926</v>
      </c>
      <c r="D523" s="292" t="s">
        <v>2451</v>
      </c>
      <c r="E523" s="292" t="s">
        <v>1928</v>
      </c>
      <c r="F523" s="292" t="s">
        <v>58</v>
      </c>
      <c r="G523" s="292" t="s">
        <v>1929</v>
      </c>
      <c r="H523" s="292" t="s">
        <v>1930</v>
      </c>
    </row>
    <row r="524" customFormat="false" ht="54.75" hidden="false" customHeight="true" outlineLevel="0" collapsed="false">
      <c r="A524" s="83"/>
      <c r="B524" s="300"/>
      <c r="C524" s="294" t="s">
        <v>1931</v>
      </c>
      <c r="D524" s="295" t="s">
        <v>2452</v>
      </c>
      <c r="E524" s="295" t="s">
        <v>1933</v>
      </c>
      <c r="F524" s="295" t="s">
        <v>1934</v>
      </c>
      <c r="G524" s="295" t="s">
        <v>1935</v>
      </c>
      <c r="H524" s="295" t="s">
        <v>1936</v>
      </c>
    </row>
    <row r="525" customFormat="false" ht="54.75" hidden="false" customHeight="true" outlineLevel="0" collapsed="false">
      <c r="A525" s="83"/>
      <c r="B525" s="300"/>
      <c r="C525" s="296" t="s">
        <v>1937</v>
      </c>
      <c r="D525" s="292" t="s">
        <v>2453</v>
      </c>
      <c r="E525" s="292" t="s">
        <v>1939</v>
      </c>
      <c r="F525" s="292" t="s">
        <v>1940</v>
      </c>
      <c r="G525" s="292" t="s">
        <v>1941</v>
      </c>
      <c r="H525" s="292" t="s">
        <v>1942</v>
      </c>
    </row>
    <row r="526" customFormat="false" ht="54.75" hidden="false" customHeight="true" outlineLevel="0" collapsed="false">
      <c r="A526" s="83"/>
      <c r="B526" s="300"/>
      <c r="C526" s="297" t="s">
        <v>1943</v>
      </c>
      <c r="D526" s="295" t="s">
        <v>2454</v>
      </c>
      <c r="E526" s="295" t="s">
        <v>1945</v>
      </c>
      <c r="F526" s="295" t="s">
        <v>1946</v>
      </c>
      <c r="G526" s="295" t="s">
        <v>1947</v>
      </c>
      <c r="H526" s="295" t="s">
        <v>1948</v>
      </c>
    </row>
    <row r="527" customFormat="false" ht="54.75" hidden="false" customHeight="true" outlineLevel="0" collapsed="false">
      <c r="A527" s="83"/>
      <c r="B527" s="300"/>
      <c r="C527" s="298" t="s">
        <v>1949</v>
      </c>
      <c r="D527" s="292" t="s">
        <v>2455</v>
      </c>
      <c r="E527" s="292" t="s">
        <v>1951</v>
      </c>
      <c r="F527" s="292" t="s">
        <v>1952</v>
      </c>
      <c r="G527" s="292" t="s">
        <v>1953</v>
      </c>
      <c r="H527" s="292" t="s">
        <v>1954</v>
      </c>
    </row>
    <row r="528" customFormat="false" ht="54.75" hidden="false" customHeight="true" outlineLevel="0" collapsed="false">
      <c r="A528" s="83" t="n">
        <v>105</v>
      </c>
      <c r="B528" s="290" t="s">
        <v>364</v>
      </c>
      <c r="C528" s="291" t="s">
        <v>1926</v>
      </c>
      <c r="D528" s="292" t="s">
        <v>2456</v>
      </c>
      <c r="E528" s="292" t="s">
        <v>1928</v>
      </c>
      <c r="F528" s="292" t="s">
        <v>58</v>
      </c>
      <c r="G528" s="292" t="s">
        <v>1929</v>
      </c>
      <c r="H528" s="292" t="s">
        <v>1930</v>
      </c>
    </row>
    <row r="529" customFormat="false" ht="54.75" hidden="false" customHeight="true" outlineLevel="0" collapsed="false">
      <c r="A529" s="83"/>
      <c r="B529" s="293"/>
      <c r="C529" s="294" t="s">
        <v>1931</v>
      </c>
      <c r="D529" s="295" t="s">
        <v>2457</v>
      </c>
      <c r="E529" s="295" t="s">
        <v>1933</v>
      </c>
      <c r="F529" s="295" t="s">
        <v>1934</v>
      </c>
      <c r="G529" s="295" t="s">
        <v>1935</v>
      </c>
      <c r="H529" s="295" t="s">
        <v>1936</v>
      </c>
    </row>
    <row r="530" customFormat="false" ht="54.75" hidden="false" customHeight="true" outlineLevel="0" collapsed="false">
      <c r="A530" s="83"/>
      <c r="B530" s="293"/>
      <c r="C530" s="296" t="s">
        <v>1937</v>
      </c>
      <c r="D530" s="292" t="s">
        <v>2458</v>
      </c>
      <c r="E530" s="292" t="s">
        <v>1939</v>
      </c>
      <c r="F530" s="292" t="s">
        <v>1940</v>
      </c>
      <c r="G530" s="292" t="s">
        <v>1941</v>
      </c>
      <c r="H530" s="292" t="s">
        <v>1942</v>
      </c>
    </row>
    <row r="531" customFormat="false" ht="54.75" hidden="false" customHeight="true" outlineLevel="0" collapsed="false">
      <c r="A531" s="83"/>
      <c r="B531" s="293"/>
      <c r="C531" s="297" t="s">
        <v>1943</v>
      </c>
      <c r="D531" s="295" t="s">
        <v>2459</v>
      </c>
      <c r="E531" s="295" t="s">
        <v>1945</v>
      </c>
      <c r="F531" s="295" t="s">
        <v>1946</v>
      </c>
      <c r="G531" s="295" t="s">
        <v>1947</v>
      </c>
      <c r="H531" s="295" t="s">
        <v>1948</v>
      </c>
    </row>
    <row r="532" customFormat="false" ht="54.75" hidden="false" customHeight="true" outlineLevel="0" collapsed="false">
      <c r="A532" s="83"/>
      <c r="B532" s="293"/>
      <c r="C532" s="298" t="s">
        <v>1949</v>
      </c>
      <c r="D532" s="292" t="s">
        <v>2460</v>
      </c>
      <c r="E532" s="292" t="s">
        <v>1951</v>
      </c>
      <c r="F532" s="292" t="s">
        <v>1952</v>
      </c>
      <c r="G532" s="292" t="s">
        <v>1953</v>
      </c>
      <c r="H532" s="292" t="s">
        <v>1954</v>
      </c>
    </row>
    <row r="533" customFormat="false" ht="54.75" hidden="false" customHeight="true" outlineLevel="0" collapsed="false">
      <c r="A533" s="83" t="n">
        <v>106</v>
      </c>
      <c r="B533" s="299" t="s">
        <v>365</v>
      </c>
      <c r="C533" s="291" t="s">
        <v>1926</v>
      </c>
      <c r="D533" s="292" t="s">
        <v>2461</v>
      </c>
      <c r="E533" s="292" t="s">
        <v>1928</v>
      </c>
      <c r="F533" s="292" t="s">
        <v>58</v>
      </c>
      <c r="G533" s="292" t="s">
        <v>1929</v>
      </c>
      <c r="H533" s="292" t="s">
        <v>1930</v>
      </c>
    </row>
    <row r="534" customFormat="false" ht="54.75" hidden="false" customHeight="true" outlineLevel="0" collapsed="false">
      <c r="A534" s="83"/>
      <c r="B534" s="300"/>
      <c r="C534" s="294" t="s">
        <v>1931</v>
      </c>
      <c r="D534" s="295" t="s">
        <v>2462</v>
      </c>
      <c r="E534" s="295" t="s">
        <v>1933</v>
      </c>
      <c r="F534" s="295" t="s">
        <v>1934</v>
      </c>
      <c r="G534" s="295" t="s">
        <v>1935</v>
      </c>
      <c r="H534" s="295" t="s">
        <v>1936</v>
      </c>
    </row>
    <row r="535" customFormat="false" ht="54.75" hidden="false" customHeight="true" outlineLevel="0" collapsed="false">
      <c r="A535" s="83"/>
      <c r="B535" s="300"/>
      <c r="C535" s="296" t="s">
        <v>1937</v>
      </c>
      <c r="D535" s="292" t="s">
        <v>2463</v>
      </c>
      <c r="E535" s="292" t="s">
        <v>1939</v>
      </c>
      <c r="F535" s="292" t="s">
        <v>1940</v>
      </c>
      <c r="G535" s="292" t="s">
        <v>1941</v>
      </c>
      <c r="H535" s="292" t="s">
        <v>1942</v>
      </c>
    </row>
    <row r="536" customFormat="false" ht="54.75" hidden="false" customHeight="true" outlineLevel="0" collapsed="false">
      <c r="A536" s="83"/>
      <c r="B536" s="300"/>
      <c r="C536" s="297" t="s">
        <v>1943</v>
      </c>
      <c r="D536" s="295" t="s">
        <v>2464</v>
      </c>
      <c r="E536" s="295" t="s">
        <v>1945</v>
      </c>
      <c r="F536" s="295" t="s">
        <v>1946</v>
      </c>
      <c r="G536" s="295" t="s">
        <v>1947</v>
      </c>
      <c r="H536" s="295" t="s">
        <v>1948</v>
      </c>
    </row>
    <row r="537" customFormat="false" ht="54.75" hidden="false" customHeight="true" outlineLevel="0" collapsed="false">
      <c r="A537" s="83"/>
      <c r="B537" s="300"/>
      <c r="C537" s="298" t="s">
        <v>1949</v>
      </c>
      <c r="D537" s="292" t="s">
        <v>2465</v>
      </c>
      <c r="E537" s="292" t="s">
        <v>1951</v>
      </c>
      <c r="F537" s="292" t="s">
        <v>1952</v>
      </c>
      <c r="G537" s="292" t="s">
        <v>1953</v>
      </c>
      <c r="H537" s="292" t="s">
        <v>1954</v>
      </c>
    </row>
    <row r="538" customFormat="false" ht="54.75" hidden="false" customHeight="true" outlineLevel="0" collapsed="false">
      <c r="A538" s="83" t="n">
        <v>107</v>
      </c>
      <c r="B538" s="290" t="s">
        <v>366</v>
      </c>
      <c r="C538" s="291" t="s">
        <v>1926</v>
      </c>
      <c r="D538" s="292" t="s">
        <v>2466</v>
      </c>
      <c r="E538" s="292" t="s">
        <v>1928</v>
      </c>
      <c r="F538" s="292" t="s">
        <v>58</v>
      </c>
      <c r="G538" s="292" t="s">
        <v>1929</v>
      </c>
      <c r="H538" s="292" t="s">
        <v>1930</v>
      </c>
    </row>
    <row r="539" customFormat="false" ht="54.75" hidden="false" customHeight="true" outlineLevel="0" collapsed="false">
      <c r="A539" s="83"/>
      <c r="B539" s="293"/>
      <c r="C539" s="294" t="s">
        <v>1931</v>
      </c>
      <c r="D539" s="295" t="s">
        <v>2467</v>
      </c>
      <c r="E539" s="295" t="s">
        <v>1933</v>
      </c>
      <c r="F539" s="295" t="s">
        <v>1934</v>
      </c>
      <c r="G539" s="295" t="s">
        <v>1935</v>
      </c>
      <c r="H539" s="295" t="s">
        <v>1936</v>
      </c>
    </row>
    <row r="540" customFormat="false" ht="54.75" hidden="false" customHeight="true" outlineLevel="0" collapsed="false">
      <c r="A540" s="83"/>
      <c r="B540" s="293"/>
      <c r="C540" s="296" t="s">
        <v>1937</v>
      </c>
      <c r="D540" s="292" t="s">
        <v>2468</v>
      </c>
      <c r="E540" s="292" t="s">
        <v>1939</v>
      </c>
      <c r="F540" s="292" t="s">
        <v>1940</v>
      </c>
      <c r="G540" s="292" t="s">
        <v>1941</v>
      </c>
      <c r="H540" s="292" t="s">
        <v>1942</v>
      </c>
    </row>
    <row r="541" customFormat="false" ht="54.75" hidden="false" customHeight="true" outlineLevel="0" collapsed="false">
      <c r="A541" s="83"/>
      <c r="B541" s="293"/>
      <c r="C541" s="297" t="s">
        <v>1943</v>
      </c>
      <c r="D541" s="295" t="s">
        <v>2469</v>
      </c>
      <c r="E541" s="295" t="s">
        <v>1945</v>
      </c>
      <c r="F541" s="295" t="s">
        <v>1946</v>
      </c>
      <c r="G541" s="295" t="s">
        <v>1947</v>
      </c>
      <c r="H541" s="295" t="s">
        <v>1948</v>
      </c>
    </row>
    <row r="542" customFormat="false" ht="54.75" hidden="false" customHeight="true" outlineLevel="0" collapsed="false">
      <c r="A542" s="83"/>
      <c r="B542" s="293"/>
      <c r="C542" s="298" t="s">
        <v>1949</v>
      </c>
      <c r="D542" s="292" t="s">
        <v>2470</v>
      </c>
      <c r="E542" s="292" t="s">
        <v>1951</v>
      </c>
      <c r="F542" s="292" t="s">
        <v>1952</v>
      </c>
      <c r="G542" s="292" t="s">
        <v>1953</v>
      </c>
      <c r="H542" s="292" t="s">
        <v>1954</v>
      </c>
    </row>
    <row r="543" customFormat="false" ht="54.75" hidden="false" customHeight="true" outlineLevel="0" collapsed="false">
      <c r="A543" s="83" t="n">
        <v>108</v>
      </c>
      <c r="B543" s="299" t="s">
        <v>367</v>
      </c>
      <c r="C543" s="291" t="s">
        <v>1926</v>
      </c>
      <c r="D543" s="292" t="s">
        <v>2471</v>
      </c>
      <c r="E543" s="292" t="s">
        <v>1928</v>
      </c>
      <c r="F543" s="292" t="s">
        <v>58</v>
      </c>
      <c r="G543" s="292" t="s">
        <v>1929</v>
      </c>
      <c r="H543" s="292" t="s">
        <v>1930</v>
      </c>
    </row>
    <row r="544" customFormat="false" ht="54.75" hidden="false" customHeight="true" outlineLevel="0" collapsed="false">
      <c r="A544" s="83"/>
      <c r="B544" s="300"/>
      <c r="C544" s="294" t="s">
        <v>1931</v>
      </c>
      <c r="D544" s="295" t="s">
        <v>2472</v>
      </c>
      <c r="E544" s="295" t="s">
        <v>1933</v>
      </c>
      <c r="F544" s="295" t="s">
        <v>1934</v>
      </c>
      <c r="G544" s="295" t="s">
        <v>1935</v>
      </c>
      <c r="H544" s="295" t="s">
        <v>1936</v>
      </c>
    </row>
    <row r="545" customFormat="false" ht="54.75" hidden="false" customHeight="true" outlineLevel="0" collapsed="false">
      <c r="A545" s="83"/>
      <c r="B545" s="300"/>
      <c r="C545" s="296" t="s">
        <v>1937</v>
      </c>
      <c r="D545" s="292" t="s">
        <v>2473</v>
      </c>
      <c r="E545" s="292" t="s">
        <v>1939</v>
      </c>
      <c r="F545" s="292" t="s">
        <v>1940</v>
      </c>
      <c r="G545" s="292" t="s">
        <v>1941</v>
      </c>
      <c r="H545" s="292" t="s">
        <v>1942</v>
      </c>
    </row>
    <row r="546" customFormat="false" ht="54.75" hidden="false" customHeight="true" outlineLevel="0" collapsed="false">
      <c r="A546" s="83"/>
      <c r="B546" s="300"/>
      <c r="C546" s="297" t="s">
        <v>1943</v>
      </c>
      <c r="D546" s="295" t="s">
        <v>2474</v>
      </c>
      <c r="E546" s="295" t="s">
        <v>1945</v>
      </c>
      <c r="F546" s="295" t="s">
        <v>1946</v>
      </c>
      <c r="G546" s="295" t="s">
        <v>1947</v>
      </c>
      <c r="H546" s="295" t="s">
        <v>1948</v>
      </c>
    </row>
    <row r="547" customFormat="false" ht="54.75" hidden="false" customHeight="true" outlineLevel="0" collapsed="false">
      <c r="A547" s="83"/>
      <c r="B547" s="300"/>
      <c r="C547" s="298" t="s">
        <v>1949</v>
      </c>
      <c r="D547" s="292" t="s">
        <v>2475</v>
      </c>
      <c r="E547" s="292" t="s">
        <v>1951</v>
      </c>
      <c r="F547" s="292" t="s">
        <v>1952</v>
      </c>
      <c r="G547" s="292" t="s">
        <v>1953</v>
      </c>
      <c r="H547" s="292" t="s">
        <v>1954</v>
      </c>
    </row>
    <row r="548" customFormat="false" ht="54.75" hidden="false" customHeight="true" outlineLevel="0" collapsed="false">
      <c r="A548" s="83" t="n">
        <v>109</v>
      </c>
      <c r="B548" s="290" t="s">
        <v>368</v>
      </c>
      <c r="C548" s="291" t="s">
        <v>1926</v>
      </c>
      <c r="D548" s="292" t="s">
        <v>2476</v>
      </c>
      <c r="E548" s="292" t="s">
        <v>1928</v>
      </c>
      <c r="F548" s="292" t="s">
        <v>58</v>
      </c>
      <c r="G548" s="292" t="s">
        <v>1929</v>
      </c>
      <c r="H548" s="292" t="s">
        <v>1930</v>
      </c>
    </row>
    <row r="549" customFormat="false" ht="54.75" hidden="false" customHeight="true" outlineLevel="0" collapsed="false">
      <c r="A549" s="83"/>
      <c r="B549" s="293"/>
      <c r="C549" s="294" t="s">
        <v>1931</v>
      </c>
      <c r="D549" s="295" t="s">
        <v>2477</v>
      </c>
      <c r="E549" s="295" t="s">
        <v>1933</v>
      </c>
      <c r="F549" s="295" t="s">
        <v>1934</v>
      </c>
      <c r="G549" s="295" t="s">
        <v>1935</v>
      </c>
      <c r="H549" s="295" t="s">
        <v>1936</v>
      </c>
    </row>
    <row r="550" customFormat="false" ht="54.75" hidden="false" customHeight="true" outlineLevel="0" collapsed="false">
      <c r="A550" s="83"/>
      <c r="B550" s="293"/>
      <c r="C550" s="296" t="s">
        <v>1937</v>
      </c>
      <c r="D550" s="292" t="s">
        <v>2478</v>
      </c>
      <c r="E550" s="292" t="s">
        <v>1939</v>
      </c>
      <c r="F550" s="292" t="s">
        <v>1940</v>
      </c>
      <c r="G550" s="292" t="s">
        <v>1941</v>
      </c>
      <c r="H550" s="292" t="s">
        <v>1942</v>
      </c>
    </row>
    <row r="551" customFormat="false" ht="54.75" hidden="false" customHeight="true" outlineLevel="0" collapsed="false">
      <c r="A551" s="83"/>
      <c r="B551" s="293"/>
      <c r="C551" s="297" t="s">
        <v>1943</v>
      </c>
      <c r="D551" s="295" t="s">
        <v>2479</v>
      </c>
      <c r="E551" s="295" t="s">
        <v>1945</v>
      </c>
      <c r="F551" s="295" t="s">
        <v>1946</v>
      </c>
      <c r="G551" s="295" t="s">
        <v>1947</v>
      </c>
      <c r="H551" s="295" t="s">
        <v>1948</v>
      </c>
    </row>
    <row r="552" customFormat="false" ht="54.75" hidden="false" customHeight="true" outlineLevel="0" collapsed="false">
      <c r="A552" s="83"/>
      <c r="B552" s="293"/>
      <c r="C552" s="298" t="s">
        <v>1949</v>
      </c>
      <c r="D552" s="292" t="s">
        <v>2480</v>
      </c>
      <c r="E552" s="292" t="s">
        <v>1951</v>
      </c>
      <c r="F552" s="292" t="s">
        <v>1952</v>
      </c>
      <c r="G552" s="292" t="s">
        <v>1953</v>
      </c>
      <c r="H552" s="292" t="s">
        <v>1954</v>
      </c>
    </row>
    <row r="553" customFormat="false" ht="54.75" hidden="false" customHeight="true" outlineLevel="0" collapsed="false">
      <c r="A553" s="83" t="n">
        <v>110</v>
      </c>
      <c r="B553" s="299" t="s">
        <v>369</v>
      </c>
      <c r="C553" s="291" t="s">
        <v>1926</v>
      </c>
      <c r="D553" s="292" t="s">
        <v>2481</v>
      </c>
      <c r="E553" s="292" t="s">
        <v>1928</v>
      </c>
      <c r="F553" s="292" t="s">
        <v>58</v>
      </c>
      <c r="G553" s="292" t="s">
        <v>1929</v>
      </c>
      <c r="H553" s="292" t="s">
        <v>1930</v>
      </c>
    </row>
    <row r="554" customFormat="false" ht="54.75" hidden="false" customHeight="true" outlineLevel="0" collapsed="false">
      <c r="A554" s="83"/>
      <c r="B554" s="300"/>
      <c r="C554" s="294" t="s">
        <v>1931</v>
      </c>
      <c r="D554" s="295" t="s">
        <v>2482</v>
      </c>
      <c r="E554" s="295" t="s">
        <v>1933</v>
      </c>
      <c r="F554" s="295" t="s">
        <v>1934</v>
      </c>
      <c r="G554" s="295" t="s">
        <v>1935</v>
      </c>
      <c r="H554" s="295" t="s">
        <v>1936</v>
      </c>
    </row>
    <row r="555" customFormat="false" ht="54.75" hidden="false" customHeight="true" outlineLevel="0" collapsed="false">
      <c r="A555" s="83"/>
      <c r="B555" s="300"/>
      <c r="C555" s="296" t="s">
        <v>1937</v>
      </c>
      <c r="D555" s="292" t="s">
        <v>2483</v>
      </c>
      <c r="E555" s="292" t="s">
        <v>1939</v>
      </c>
      <c r="F555" s="292" t="s">
        <v>1940</v>
      </c>
      <c r="G555" s="292" t="s">
        <v>1941</v>
      </c>
      <c r="H555" s="292" t="s">
        <v>1942</v>
      </c>
    </row>
    <row r="556" customFormat="false" ht="54.75" hidden="false" customHeight="true" outlineLevel="0" collapsed="false">
      <c r="A556" s="83"/>
      <c r="B556" s="300"/>
      <c r="C556" s="297" t="s">
        <v>1943</v>
      </c>
      <c r="D556" s="295" t="s">
        <v>2484</v>
      </c>
      <c r="E556" s="295" t="s">
        <v>1945</v>
      </c>
      <c r="F556" s="295" t="s">
        <v>1946</v>
      </c>
      <c r="G556" s="295" t="s">
        <v>1947</v>
      </c>
      <c r="H556" s="295" t="s">
        <v>1948</v>
      </c>
    </row>
    <row r="557" customFormat="false" ht="54.75" hidden="false" customHeight="true" outlineLevel="0" collapsed="false">
      <c r="A557" s="83"/>
      <c r="B557" s="300"/>
      <c r="C557" s="298" t="s">
        <v>1949</v>
      </c>
      <c r="D557" s="292" t="s">
        <v>2485</v>
      </c>
      <c r="E557" s="292" t="s">
        <v>1951</v>
      </c>
      <c r="F557" s="292" t="s">
        <v>1952</v>
      </c>
      <c r="G557" s="292" t="s">
        <v>1953</v>
      </c>
      <c r="H557" s="292" t="s">
        <v>1954</v>
      </c>
    </row>
    <row r="558" customFormat="false" ht="54.75" hidden="false" customHeight="true" outlineLevel="0" collapsed="false">
      <c r="A558" s="83" t="n">
        <v>111</v>
      </c>
      <c r="B558" s="290" t="s">
        <v>370</v>
      </c>
      <c r="C558" s="291" t="s">
        <v>1926</v>
      </c>
      <c r="D558" s="292" t="s">
        <v>2486</v>
      </c>
      <c r="E558" s="292" t="s">
        <v>1928</v>
      </c>
      <c r="F558" s="292" t="s">
        <v>58</v>
      </c>
      <c r="G558" s="292" t="s">
        <v>1929</v>
      </c>
      <c r="H558" s="292" t="s">
        <v>1930</v>
      </c>
    </row>
    <row r="559" customFormat="false" ht="54.75" hidden="false" customHeight="true" outlineLevel="0" collapsed="false">
      <c r="A559" s="83"/>
      <c r="B559" s="293"/>
      <c r="C559" s="294" t="s">
        <v>1931</v>
      </c>
      <c r="D559" s="295" t="s">
        <v>2487</v>
      </c>
      <c r="E559" s="295" t="s">
        <v>1933</v>
      </c>
      <c r="F559" s="295" t="s">
        <v>1934</v>
      </c>
      <c r="G559" s="295" t="s">
        <v>1935</v>
      </c>
      <c r="H559" s="295" t="s">
        <v>1936</v>
      </c>
    </row>
    <row r="560" customFormat="false" ht="54.75" hidden="false" customHeight="true" outlineLevel="0" collapsed="false">
      <c r="A560" s="83"/>
      <c r="B560" s="293"/>
      <c r="C560" s="296" t="s">
        <v>1937</v>
      </c>
      <c r="D560" s="292" t="s">
        <v>2488</v>
      </c>
      <c r="E560" s="292" t="s">
        <v>1939</v>
      </c>
      <c r="F560" s="292" t="s">
        <v>1940</v>
      </c>
      <c r="G560" s="292" t="s">
        <v>1941</v>
      </c>
      <c r="H560" s="292" t="s">
        <v>1942</v>
      </c>
    </row>
    <row r="561" customFormat="false" ht="54.75" hidden="false" customHeight="true" outlineLevel="0" collapsed="false">
      <c r="A561" s="83"/>
      <c r="B561" s="293"/>
      <c r="C561" s="297" t="s">
        <v>1943</v>
      </c>
      <c r="D561" s="295" t="s">
        <v>2489</v>
      </c>
      <c r="E561" s="295" t="s">
        <v>1945</v>
      </c>
      <c r="F561" s="295" t="s">
        <v>1946</v>
      </c>
      <c r="G561" s="295" t="s">
        <v>1947</v>
      </c>
      <c r="H561" s="295" t="s">
        <v>1948</v>
      </c>
    </row>
    <row r="562" customFormat="false" ht="54.75" hidden="false" customHeight="true" outlineLevel="0" collapsed="false">
      <c r="A562" s="83"/>
      <c r="B562" s="293"/>
      <c r="C562" s="298" t="s">
        <v>1949</v>
      </c>
      <c r="D562" s="292" t="s">
        <v>2490</v>
      </c>
      <c r="E562" s="292" t="s">
        <v>1951</v>
      </c>
      <c r="F562" s="292" t="s">
        <v>1952</v>
      </c>
      <c r="G562" s="292" t="s">
        <v>1953</v>
      </c>
      <c r="H562" s="292" t="s">
        <v>1954</v>
      </c>
    </row>
    <row r="563" customFormat="false" ht="54.75" hidden="false" customHeight="true" outlineLevel="0" collapsed="false">
      <c r="A563" s="83" t="n">
        <v>112</v>
      </c>
      <c r="B563" s="299" t="s">
        <v>371</v>
      </c>
      <c r="C563" s="291" t="s">
        <v>1926</v>
      </c>
      <c r="D563" s="292" t="s">
        <v>2491</v>
      </c>
      <c r="E563" s="292" t="s">
        <v>1928</v>
      </c>
      <c r="F563" s="292" t="s">
        <v>58</v>
      </c>
      <c r="G563" s="292" t="s">
        <v>1929</v>
      </c>
      <c r="H563" s="292" t="s">
        <v>1930</v>
      </c>
    </row>
    <row r="564" customFormat="false" ht="54.75" hidden="false" customHeight="true" outlineLevel="0" collapsed="false">
      <c r="A564" s="83"/>
      <c r="B564" s="300"/>
      <c r="C564" s="294" t="s">
        <v>1931</v>
      </c>
      <c r="D564" s="295" t="s">
        <v>2492</v>
      </c>
      <c r="E564" s="295" t="s">
        <v>1933</v>
      </c>
      <c r="F564" s="295" t="s">
        <v>1934</v>
      </c>
      <c r="G564" s="295" t="s">
        <v>1935</v>
      </c>
      <c r="H564" s="295" t="s">
        <v>1936</v>
      </c>
    </row>
    <row r="565" customFormat="false" ht="54.75" hidden="false" customHeight="true" outlineLevel="0" collapsed="false">
      <c r="A565" s="83"/>
      <c r="B565" s="300"/>
      <c r="C565" s="296" t="s">
        <v>1937</v>
      </c>
      <c r="D565" s="292" t="s">
        <v>2493</v>
      </c>
      <c r="E565" s="292" t="s">
        <v>1939</v>
      </c>
      <c r="F565" s="292" t="s">
        <v>1940</v>
      </c>
      <c r="G565" s="292" t="s">
        <v>1941</v>
      </c>
      <c r="H565" s="292" t="s">
        <v>1942</v>
      </c>
    </row>
    <row r="566" customFormat="false" ht="54.75" hidden="false" customHeight="true" outlineLevel="0" collapsed="false">
      <c r="A566" s="83"/>
      <c r="B566" s="300"/>
      <c r="C566" s="297" t="s">
        <v>1943</v>
      </c>
      <c r="D566" s="295" t="s">
        <v>2494</v>
      </c>
      <c r="E566" s="295" t="s">
        <v>1945</v>
      </c>
      <c r="F566" s="295" t="s">
        <v>1946</v>
      </c>
      <c r="G566" s="295" t="s">
        <v>1947</v>
      </c>
      <c r="H566" s="295" t="s">
        <v>1948</v>
      </c>
    </row>
    <row r="567" customFormat="false" ht="54.75" hidden="false" customHeight="true" outlineLevel="0" collapsed="false">
      <c r="A567" s="83"/>
      <c r="B567" s="300"/>
      <c r="C567" s="298" t="s">
        <v>1949</v>
      </c>
      <c r="D567" s="292" t="s">
        <v>2495</v>
      </c>
      <c r="E567" s="292" t="s">
        <v>1951</v>
      </c>
      <c r="F567" s="292" t="s">
        <v>1952</v>
      </c>
      <c r="G567" s="292" t="s">
        <v>1953</v>
      </c>
      <c r="H567" s="292" t="s">
        <v>1954</v>
      </c>
    </row>
    <row r="568" customFormat="false" ht="54.75" hidden="false" customHeight="true" outlineLevel="0" collapsed="false">
      <c r="A568" s="83" t="n">
        <v>113</v>
      </c>
      <c r="B568" s="290" t="s">
        <v>372</v>
      </c>
      <c r="C568" s="291" t="s">
        <v>1926</v>
      </c>
      <c r="D568" s="292" t="s">
        <v>2496</v>
      </c>
      <c r="E568" s="292" t="s">
        <v>1928</v>
      </c>
      <c r="F568" s="292" t="s">
        <v>58</v>
      </c>
      <c r="G568" s="292" t="s">
        <v>1929</v>
      </c>
      <c r="H568" s="292" t="s">
        <v>1930</v>
      </c>
    </row>
    <row r="569" customFormat="false" ht="54.75" hidden="false" customHeight="true" outlineLevel="0" collapsed="false">
      <c r="A569" s="83"/>
      <c r="B569" s="293"/>
      <c r="C569" s="294" t="s">
        <v>1931</v>
      </c>
      <c r="D569" s="295" t="s">
        <v>2497</v>
      </c>
      <c r="E569" s="295" t="s">
        <v>1933</v>
      </c>
      <c r="F569" s="295" t="s">
        <v>1934</v>
      </c>
      <c r="G569" s="295" t="s">
        <v>1935</v>
      </c>
      <c r="H569" s="295" t="s">
        <v>1936</v>
      </c>
    </row>
    <row r="570" customFormat="false" ht="54.75" hidden="false" customHeight="true" outlineLevel="0" collapsed="false">
      <c r="A570" s="83"/>
      <c r="B570" s="293"/>
      <c r="C570" s="296" t="s">
        <v>1937</v>
      </c>
      <c r="D570" s="292" t="s">
        <v>2498</v>
      </c>
      <c r="E570" s="292" t="s">
        <v>1939</v>
      </c>
      <c r="F570" s="292" t="s">
        <v>1940</v>
      </c>
      <c r="G570" s="292" t="s">
        <v>1941</v>
      </c>
      <c r="H570" s="292" t="s">
        <v>1942</v>
      </c>
    </row>
    <row r="571" customFormat="false" ht="54.75" hidden="false" customHeight="true" outlineLevel="0" collapsed="false">
      <c r="A571" s="83"/>
      <c r="B571" s="293"/>
      <c r="C571" s="297" t="s">
        <v>1943</v>
      </c>
      <c r="D571" s="295" t="s">
        <v>2499</v>
      </c>
      <c r="E571" s="295" t="s">
        <v>1945</v>
      </c>
      <c r="F571" s="295" t="s">
        <v>1946</v>
      </c>
      <c r="G571" s="295" t="s">
        <v>1947</v>
      </c>
      <c r="H571" s="295" t="s">
        <v>1948</v>
      </c>
    </row>
    <row r="572" customFormat="false" ht="54.75" hidden="false" customHeight="true" outlineLevel="0" collapsed="false">
      <c r="A572" s="83"/>
      <c r="B572" s="293"/>
      <c r="C572" s="298" t="s">
        <v>1949</v>
      </c>
      <c r="D572" s="292" t="s">
        <v>2500</v>
      </c>
      <c r="E572" s="292" t="s">
        <v>1951</v>
      </c>
      <c r="F572" s="292" t="s">
        <v>1952</v>
      </c>
      <c r="G572" s="292" t="s">
        <v>1953</v>
      </c>
      <c r="H572" s="292" t="s">
        <v>1954</v>
      </c>
    </row>
    <row r="573" customFormat="false" ht="54.75" hidden="false" customHeight="true" outlineLevel="0" collapsed="false">
      <c r="A573" s="83" t="n">
        <v>114</v>
      </c>
      <c r="B573" s="299" t="s">
        <v>373</v>
      </c>
      <c r="C573" s="291" t="s">
        <v>1926</v>
      </c>
      <c r="D573" s="292" t="s">
        <v>2501</v>
      </c>
      <c r="E573" s="292" t="s">
        <v>1928</v>
      </c>
      <c r="F573" s="292" t="s">
        <v>58</v>
      </c>
      <c r="G573" s="292" t="s">
        <v>1929</v>
      </c>
      <c r="H573" s="292" t="s">
        <v>1930</v>
      </c>
    </row>
    <row r="574" customFormat="false" ht="54.75" hidden="false" customHeight="true" outlineLevel="0" collapsed="false">
      <c r="A574" s="83"/>
      <c r="B574" s="300"/>
      <c r="C574" s="294" t="s">
        <v>1931</v>
      </c>
      <c r="D574" s="295" t="s">
        <v>2502</v>
      </c>
      <c r="E574" s="295" t="s">
        <v>1933</v>
      </c>
      <c r="F574" s="295" t="s">
        <v>1934</v>
      </c>
      <c r="G574" s="295" t="s">
        <v>1935</v>
      </c>
      <c r="H574" s="295" t="s">
        <v>1936</v>
      </c>
    </row>
    <row r="575" customFormat="false" ht="54.75" hidden="false" customHeight="true" outlineLevel="0" collapsed="false">
      <c r="A575" s="83"/>
      <c r="B575" s="300"/>
      <c r="C575" s="296" t="s">
        <v>1937</v>
      </c>
      <c r="D575" s="292" t="s">
        <v>2503</v>
      </c>
      <c r="E575" s="292" t="s">
        <v>1939</v>
      </c>
      <c r="F575" s="292" t="s">
        <v>1940</v>
      </c>
      <c r="G575" s="292" t="s">
        <v>1941</v>
      </c>
      <c r="H575" s="292" t="s">
        <v>1942</v>
      </c>
    </row>
    <row r="576" customFormat="false" ht="54.75" hidden="false" customHeight="true" outlineLevel="0" collapsed="false">
      <c r="A576" s="83"/>
      <c r="B576" s="300"/>
      <c r="C576" s="297" t="s">
        <v>1943</v>
      </c>
      <c r="D576" s="295" t="s">
        <v>2504</v>
      </c>
      <c r="E576" s="295" t="s">
        <v>1945</v>
      </c>
      <c r="F576" s="295" t="s">
        <v>1946</v>
      </c>
      <c r="G576" s="295" t="s">
        <v>1947</v>
      </c>
      <c r="H576" s="295" t="s">
        <v>1948</v>
      </c>
    </row>
    <row r="577" customFormat="false" ht="54.75" hidden="false" customHeight="true" outlineLevel="0" collapsed="false">
      <c r="A577" s="83"/>
      <c r="B577" s="300"/>
      <c r="C577" s="298" t="s">
        <v>1949</v>
      </c>
      <c r="D577" s="292" t="s">
        <v>2505</v>
      </c>
      <c r="E577" s="292" t="s">
        <v>1951</v>
      </c>
      <c r="F577" s="292" t="s">
        <v>1952</v>
      </c>
      <c r="G577" s="292" t="s">
        <v>1953</v>
      </c>
      <c r="H577" s="292" t="s">
        <v>1954</v>
      </c>
    </row>
    <row r="578" customFormat="false" ht="54.75" hidden="false" customHeight="true" outlineLevel="0" collapsed="false">
      <c r="A578" s="83" t="n">
        <v>115</v>
      </c>
      <c r="B578" s="290" t="s">
        <v>374</v>
      </c>
      <c r="C578" s="291" t="s">
        <v>1926</v>
      </c>
      <c r="D578" s="292" t="s">
        <v>2506</v>
      </c>
      <c r="E578" s="292" t="s">
        <v>1928</v>
      </c>
      <c r="F578" s="292" t="s">
        <v>58</v>
      </c>
      <c r="G578" s="292" t="s">
        <v>1929</v>
      </c>
      <c r="H578" s="292" t="s">
        <v>1930</v>
      </c>
    </row>
    <row r="579" customFormat="false" ht="54.75" hidden="false" customHeight="true" outlineLevel="0" collapsed="false">
      <c r="A579" s="83"/>
      <c r="B579" s="293"/>
      <c r="C579" s="294" t="s">
        <v>1931</v>
      </c>
      <c r="D579" s="295" t="s">
        <v>2507</v>
      </c>
      <c r="E579" s="295" t="s">
        <v>1933</v>
      </c>
      <c r="F579" s="295" t="s">
        <v>1934</v>
      </c>
      <c r="G579" s="295" t="s">
        <v>1935</v>
      </c>
      <c r="H579" s="295" t="s">
        <v>1936</v>
      </c>
    </row>
    <row r="580" customFormat="false" ht="54.75" hidden="false" customHeight="true" outlineLevel="0" collapsed="false">
      <c r="A580" s="83"/>
      <c r="B580" s="293"/>
      <c r="C580" s="296" t="s">
        <v>1937</v>
      </c>
      <c r="D580" s="292" t="s">
        <v>2508</v>
      </c>
      <c r="E580" s="292" t="s">
        <v>1939</v>
      </c>
      <c r="F580" s="292" t="s">
        <v>1940</v>
      </c>
      <c r="G580" s="292" t="s">
        <v>1941</v>
      </c>
      <c r="H580" s="292" t="s">
        <v>1942</v>
      </c>
    </row>
    <row r="581" customFormat="false" ht="54.75" hidden="false" customHeight="true" outlineLevel="0" collapsed="false">
      <c r="A581" s="83"/>
      <c r="B581" s="293"/>
      <c r="C581" s="297" t="s">
        <v>1943</v>
      </c>
      <c r="D581" s="295" t="s">
        <v>2509</v>
      </c>
      <c r="E581" s="295" t="s">
        <v>1945</v>
      </c>
      <c r="F581" s="295" t="s">
        <v>1946</v>
      </c>
      <c r="G581" s="295" t="s">
        <v>1947</v>
      </c>
      <c r="H581" s="295" t="s">
        <v>1948</v>
      </c>
    </row>
    <row r="582" customFormat="false" ht="54.75" hidden="false" customHeight="true" outlineLevel="0" collapsed="false">
      <c r="A582" s="83"/>
      <c r="B582" s="293"/>
      <c r="C582" s="298" t="s">
        <v>1949</v>
      </c>
      <c r="D582" s="292" t="s">
        <v>2510</v>
      </c>
      <c r="E582" s="292" t="s">
        <v>1951</v>
      </c>
      <c r="F582" s="292" t="s">
        <v>1952</v>
      </c>
      <c r="G582" s="292" t="s">
        <v>1953</v>
      </c>
      <c r="H582" s="292" t="s">
        <v>1954</v>
      </c>
    </row>
    <row r="583" customFormat="false" ht="54.75" hidden="false" customHeight="true" outlineLevel="0" collapsed="false">
      <c r="A583" s="83" t="n">
        <v>116</v>
      </c>
      <c r="B583" s="299" t="s">
        <v>375</v>
      </c>
      <c r="C583" s="291" t="s">
        <v>1926</v>
      </c>
      <c r="D583" s="292" t="s">
        <v>2511</v>
      </c>
      <c r="E583" s="292" t="s">
        <v>1928</v>
      </c>
      <c r="F583" s="292" t="s">
        <v>58</v>
      </c>
      <c r="G583" s="292" t="s">
        <v>1929</v>
      </c>
      <c r="H583" s="292" t="s">
        <v>1930</v>
      </c>
    </row>
    <row r="584" customFormat="false" ht="54.75" hidden="false" customHeight="true" outlineLevel="0" collapsed="false">
      <c r="A584" s="83"/>
      <c r="B584" s="300"/>
      <c r="C584" s="294" t="s">
        <v>1931</v>
      </c>
      <c r="D584" s="295" t="s">
        <v>2512</v>
      </c>
      <c r="E584" s="295" t="s">
        <v>1933</v>
      </c>
      <c r="F584" s="295" t="s">
        <v>1934</v>
      </c>
      <c r="G584" s="295" t="s">
        <v>1935</v>
      </c>
      <c r="H584" s="295" t="s">
        <v>1936</v>
      </c>
    </row>
    <row r="585" customFormat="false" ht="54.75" hidden="false" customHeight="true" outlineLevel="0" collapsed="false">
      <c r="A585" s="83"/>
      <c r="B585" s="300"/>
      <c r="C585" s="296" t="s">
        <v>1937</v>
      </c>
      <c r="D585" s="292" t="s">
        <v>2513</v>
      </c>
      <c r="E585" s="292" t="s">
        <v>1939</v>
      </c>
      <c r="F585" s="292" t="s">
        <v>1940</v>
      </c>
      <c r="G585" s="292" t="s">
        <v>1941</v>
      </c>
      <c r="H585" s="292" t="s">
        <v>1942</v>
      </c>
    </row>
    <row r="586" customFormat="false" ht="54.75" hidden="false" customHeight="true" outlineLevel="0" collapsed="false">
      <c r="A586" s="83"/>
      <c r="B586" s="300"/>
      <c r="C586" s="297" t="s">
        <v>1943</v>
      </c>
      <c r="D586" s="295" t="s">
        <v>2514</v>
      </c>
      <c r="E586" s="295" t="s">
        <v>1945</v>
      </c>
      <c r="F586" s="295" t="s">
        <v>1946</v>
      </c>
      <c r="G586" s="295" t="s">
        <v>1947</v>
      </c>
      <c r="H586" s="295" t="s">
        <v>1948</v>
      </c>
    </row>
    <row r="587" customFormat="false" ht="54.75" hidden="false" customHeight="true" outlineLevel="0" collapsed="false">
      <c r="A587" s="83"/>
      <c r="B587" s="300"/>
      <c r="C587" s="298" t="s">
        <v>1949</v>
      </c>
      <c r="D587" s="292" t="s">
        <v>2515</v>
      </c>
      <c r="E587" s="292" t="s">
        <v>1951</v>
      </c>
      <c r="F587" s="292" t="s">
        <v>1952</v>
      </c>
      <c r="G587" s="292" t="s">
        <v>1953</v>
      </c>
      <c r="H587" s="292" t="s">
        <v>1954</v>
      </c>
    </row>
    <row r="588" customFormat="false" ht="54.75" hidden="false" customHeight="true" outlineLevel="0" collapsed="false">
      <c r="A588" s="83" t="n">
        <v>117</v>
      </c>
      <c r="B588" s="290" t="s">
        <v>376</v>
      </c>
      <c r="C588" s="291" t="s">
        <v>1926</v>
      </c>
      <c r="D588" s="292" t="s">
        <v>2516</v>
      </c>
      <c r="E588" s="292" t="s">
        <v>1928</v>
      </c>
      <c r="F588" s="292" t="s">
        <v>58</v>
      </c>
      <c r="G588" s="292" t="s">
        <v>1929</v>
      </c>
      <c r="H588" s="292" t="s">
        <v>1930</v>
      </c>
    </row>
    <row r="589" customFormat="false" ht="54.75" hidden="false" customHeight="true" outlineLevel="0" collapsed="false">
      <c r="A589" s="83"/>
      <c r="B589" s="293"/>
      <c r="C589" s="294" t="s">
        <v>1931</v>
      </c>
      <c r="D589" s="295" t="s">
        <v>2517</v>
      </c>
      <c r="E589" s="295" t="s">
        <v>1933</v>
      </c>
      <c r="F589" s="295" t="s">
        <v>1934</v>
      </c>
      <c r="G589" s="295" t="s">
        <v>1935</v>
      </c>
      <c r="H589" s="295" t="s">
        <v>1936</v>
      </c>
    </row>
    <row r="590" customFormat="false" ht="54.75" hidden="false" customHeight="true" outlineLevel="0" collapsed="false">
      <c r="A590" s="83"/>
      <c r="B590" s="293"/>
      <c r="C590" s="296" t="s">
        <v>1937</v>
      </c>
      <c r="D590" s="292" t="s">
        <v>2518</v>
      </c>
      <c r="E590" s="292" t="s">
        <v>1939</v>
      </c>
      <c r="F590" s="292" t="s">
        <v>1940</v>
      </c>
      <c r="G590" s="292" t="s">
        <v>1941</v>
      </c>
      <c r="H590" s="292" t="s">
        <v>1942</v>
      </c>
    </row>
    <row r="591" customFormat="false" ht="54.75" hidden="false" customHeight="true" outlineLevel="0" collapsed="false">
      <c r="A591" s="83"/>
      <c r="B591" s="293"/>
      <c r="C591" s="297" t="s">
        <v>1943</v>
      </c>
      <c r="D591" s="295" t="s">
        <v>2519</v>
      </c>
      <c r="E591" s="295" t="s">
        <v>1945</v>
      </c>
      <c r="F591" s="295" t="s">
        <v>1946</v>
      </c>
      <c r="G591" s="295" t="s">
        <v>1947</v>
      </c>
      <c r="H591" s="295" t="s">
        <v>1948</v>
      </c>
    </row>
    <row r="592" customFormat="false" ht="54.75" hidden="false" customHeight="true" outlineLevel="0" collapsed="false">
      <c r="A592" s="83"/>
      <c r="B592" s="293"/>
      <c r="C592" s="298" t="s">
        <v>1949</v>
      </c>
      <c r="D592" s="292" t="s">
        <v>2520</v>
      </c>
      <c r="E592" s="292" t="s">
        <v>1951</v>
      </c>
      <c r="F592" s="292" t="s">
        <v>1952</v>
      </c>
      <c r="G592" s="292" t="s">
        <v>1953</v>
      </c>
      <c r="H592" s="292" t="s">
        <v>1954</v>
      </c>
    </row>
    <row r="593" customFormat="false" ht="54.75" hidden="false" customHeight="true" outlineLevel="0" collapsed="false">
      <c r="A593" s="83" t="n">
        <v>118</v>
      </c>
      <c r="B593" s="299" t="s">
        <v>377</v>
      </c>
      <c r="C593" s="291" t="s">
        <v>1926</v>
      </c>
      <c r="D593" s="292" t="s">
        <v>2521</v>
      </c>
      <c r="E593" s="292" t="s">
        <v>1928</v>
      </c>
      <c r="F593" s="292" t="s">
        <v>58</v>
      </c>
      <c r="G593" s="292" t="s">
        <v>1929</v>
      </c>
      <c r="H593" s="292" t="s">
        <v>1930</v>
      </c>
    </row>
    <row r="594" customFormat="false" ht="54.75" hidden="false" customHeight="true" outlineLevel="0" collapsed="false">
      <c r="A594" s="83"/>
      <c r="B594" s="300"/>
      <c r="C594" s="294" t="s">
        <v>1931</v>
      </c>
      <c r="D594" s="295" t="s">
        <v>2522</v>
      </c>
      <c r="E594" s="295" t="s">
        <v>1933</v>
      </c>
      <c r="F594" s="295" t="s">
        <v>1934</v>
      </c>
      <c r="G594" s="295" t="s">
        <v>1935</v>
      </c>
      <c r="H594" s="295" t="s">
        <v>1936</v>
      </c>
    </row>
    <row r="595" customFormat="false" ht="54.75" hidden="false" customHeight="true" outlineLevel="0" collapsed="false">
      <c r="A595" s="83"/>
      <c r="B595" s="300"/>
      <c r="C595" s="296" t="s">
        <v>1937</v>
      </c>
      <c r="D595" s="292" t="s">
        <v>2523</v>
      </c>
      <c r="E595" s="292" t="s">
        <v>1939</v>
      </c>
      <c r="F595" s="292" t="s">
        <v>1940</v>
      </c>
      <c r="G595" s="292" t="s">
        <v>1941</v>
      </c>
      <c r="H595" s="292" t="s">
        <v>1942</v>
      </c>
    </row>
    <row r="596" customFormat="false" ht="54.75" hidden="false" customHeight="true" outlineLevel="0" collapsed="false">
      <c r="A596" s="83"/>
      <c r="B596" s="300"/>
      <c r="C596" s="297" t="s">
        <v>1943</v>
      </c>
      <c r="D596" s="295" t="s">
        <v>2524</v>
      </c>
      <c r="E596" s="295" t="s">
        <v>1945</v>
      </c>
      <c r="F596" s="295" t="s">
        <v>1946</v>
      </c>
      <c r="G596" s="295" t="s">
        <v>1947</v>
      </c>
      <c r="H596" s="295" t="s">
        <v>1948</v>
      </c>
    </row>
    <row r="597" customFormat="false" ht="54.75" hidden="false" customHeight="true" outlineLevel="0" collapsed="false">
      <c r="A597" s="83"/>
      <c r="B597" s="300"/>
      <c r="C597" s="298" t="s">
        <v>1949</v>
      </c>
      <c r="D597" s="292" t="s">
        <v>2525</v>
      </c>
      <c r="E597" s="292" t="s">
        <v>1951</v>
      </c>
      <c r="F597" s="292" t="s">
        <v>1952</v>
      </c>
      <c r="G597" s="292" t="s">
        <v>1953</v>
      </c>
      <c r="H597" s="292" t="s">
        <v>1954</v>
      </c>
    </row>
    <row r="598" customFormat="false" ht="54.75" hidden="false" customHeight="true" outlineLevel="0" collapsed="false">
      <c r="A598" s="83" t="n">
        <v>119</v>
      </c>
      <c r="B598" s="290" t="s">
        <v>378</v>
      </c>
      <c r="C598" s="291" t="s">
        <v>1926</v>
      </c>
      <c r="D598" s="292" t="s">
        <v>2526</v>
      </c>
      <c r="E598" s="292" t="s">
        <v>1928</v>
      </c>
      <c r="F598" s="292" t="s">
        <v>58</v>
      </c>
      <c r="G598" s="292" t="s">
        <v>1929</v>
      </c>
      <c r="H598" s="292" t="s">
        <v>1930</v>
      </c>
    </row>
    <row r="599" customFormat="false" ht="54.75" hidden="false" customHeight="true" outlineLevel="0" collapsed="false">
      <c r="A599" s="83"/>
      <c r="B599" s="293"/>
      <c r="C599" s="294" t="s">
        <v>1931</v>
      </c>
      <c r="D599" s="295" t="s">
        <v>2527</v>
      </c>
      <c r="E599" s="295" t="s">
        <v>1933</v>
      </c>
      <c r="F599" s="295" t="s">
        <v>1934</v>
      </c>
      <c r="G599" s="295" t="s">
        <v>1935</v>
      </c>
      <c r="H599" s="295" t="s">
        <v>1936</v>
      </c>
    </row>
    <row r="600" customFormat="false" ht="54.75" hidden="false" customHeight="true" outlineLevel="0" collapsed="false">
      <c r="A600" s="83"/>
      <c r="B600" s="293"/>
      <c r="C600" s="296" t="s">
        <v>1937</v>
      </c>
      <c r="D600" s="292" t="s">
        <v>2528</v>
      </c>
      <c r="E600" s="292" t="s">
        <v>1939</v>
      </c>
      <c r="F600" s="292" t="s">
        <v>1940</v>
      </c>
      <c r="G600" s="292" t="s">
        <v>1941</v>
      </c>
      <c r="H600" s="292" t="s">
        <v>1942</v>
      </c>
    </row>
    <row r="601" customFormat="false" ht="54.75" hidden="false" customHeight="true" outlineLevel="0" collapsed="false">
      <c r="A601" s="83"/>
      <c r="B601" s="293"/>
      <c r="C601" s="297" t="s">
        <v>1943</v>
      </c>
      <c r="D601" s="295" t="s">
        <v>2529</v>
      </c>
      <c r="E601" s="295" t="s">
        <v>1945</v>
      </c>
      <c r="F601" s="295" t="s">
        <v>1946</v>
      </c>
      <c r="G601" s="295" t="s">
        <v>1947</v>
      </c>
      <c r="H601" s="295" t="s">
        <v>1948</v>
      </c>
    </row>
    <row r="602" customFormat="false" ht="54.75" hidden="false" customHeight="true" outlineLevel="0" collapsed="false">
      <c r="A602" s="83"/>
      <c r="B602" s="293"/>
      <c r="C602" s="298" t="s">
        <v>1949</v>
      </c>
      <c r="D602" s="292" t="s">
        <v>2530</v>
      </c>
      <c r="E602" s="292" t="s">
        <v>1951</v>
      </c>
      <c r="F602" s="292" t="s">
        <v>1952</v>
      </c>
      <c r="G602" s="292" t="s">
        <v>1953</v>
      </c>
      <c r="H602" s="292" t="s">
        <v>1954</v>
      </c>
    </row>
    <row r="603" customFormat="false" ht="54.75" hidden="false" customHeight="true" outlineLevel="0" collapsed="false">
      <c r="A603" s="83" t="n">
        <v>120</v>
      </c>
      <c r="B603" s="299" t="s">
        <v>379</v>
      </c>
      <c r="C603" s="291" t="s">
        <v>1926</v>
      </c>
      <c r="D603" s="292" t="s">
        <v>2531</v>
      </c>
      <c r="E603" s="292" t="s">
        <v>1928</v>
      </c>
      <c r="F603" s="292" t="s">
        <v>58</v>
      </c>
      <c r="G603" s="292" t="s">
        <v>1929</v>
      </c>
      <c r="H603" s="292" t="s">
        <v>1930</v>
      </c>
    </row>
    <row r="604" customFormat="false" ht="54.75" hidden="false" customHeight="true" outlineLevel="0" collapsed="false">
      <c r="A604" s="83"/>
      <c r="B604" s="300"/>
      <c r="C604" s="294" t="s">
        <v>1931</v>
      </c>
      <c r="D604" s="295" t="s">
        <v>2532</v>
      </c>
      <c r="E604" s="295" t="s">
        <v>1933</v>
      </c>
      <c r="F604" s="295" t="s">
        <v>1934</v>
      </c>
      <c r="G604" s="295" t="s">
        <v>1935</v>
      </c>
      <c r="H604" s="295" t="s">
        <v>1936</v>
      </c>
    </row>
    <row r="605" customFormat="false" ht="54.75" hidden="false" customHeight="true" outlineLevel="0" collapsed="false">
      <c r="A605" s="83"/>
      <c r="B605" s="300"/>
      <c r="C605" s="296" t="s">
        <v>1937</v>
      </c>
      <c r="D605" s="292" t="s">
        <v>2533</v>
      </c>
      <c r="E605" s="292" t="s">
        <v>1939</v>
      </c>
      <c r="F605" s="292" t="s">
        <v>1940</v>
      </c>
      <c r="G605" s="292" t="s">
        <v>1941</v>
      </c>
      <c r="H605" s="292" t="s">
        <v>1942</v>
      </c>
    </row>
    <row r="606" customFormat="false" ht="54.75" hidden="false" customHeight="true" outlineLevel="0" collapsed="false">
      <c r="A606" s="83"/>
      <c r="B606" s="300"/>
      <c r="C606" s="297" t="s">
        <v>1943</v>
      </c>
      <c r="D606" s="295" t="s">
        <v>2534</v>
      </c>
      <c r="E606" s="295" t="s">
        <v>1945</v>
      </c>
      <c r="F606" s="295" t="s">
        <v>1946</v>
      </c>
      <c r="G606" s="295" t="s">
        <v>1947</v>
      </c>
      <c r="H606" s="295" t="s">
        <v>1948</v>
      </c>
    </row>
    <row r="607" customFormat="false" ht="54.75" hidden="false" customHeight="true" outlineLevel="0" collapsed="false">
      <c r="A607" s="83"/>
      <c r="B607" s="300"/>
      <c r="C607" s="298" t="s">
        <v>1949</v>
      </c>
      <c r="D607" s="292" t="s">
        <v>2535</v>
      </c>
      <c r="E607" s="292" t="s">
        <v>1951</v>
      </c>
      <c r="F607" s="292" t="s">
        <v>1952</v>
      </c>
      <c r="G607" s="292" t="s">
        <v>1953</v>
      </c>
      <c r="H607" s="292" t="s">
        <v>1954</v>
      </c>
    </row>
    <row r="608" customFormat="false" ht="54.75" hidden="false" customHeight="true" outlineLevel="0" collapsed="false">
      <c r="A608" s="83" t="n">
        <v>121</v>
      </c>
      <c r="B608" s="290" t="s">
        <v>380</v>
      </c>
      <c r="C608" s="291" t="s">
        <v>1926</v>
      </c>
      <c r="D608" s="292" t="s">
        <v>2536</v>
      </c>
      <c r="E608" s="292" t="s">
        <v>1928</v>
      </c>
      <c r="F608" s="292" t="s">
        <v>58</v>
      </c>
      <c r="G608" s="292" t="s">
        <v>1929</v>
      </c>
      <c r="H608" s="292" t="s">
        <v>1930</v>
      </c>
    </row>
    <row r="609" customFormat="false" ht="54.75" hidden="false" customHeight="true" outlineLevel="0" collapsed="false">
      <c r="A609" s="83"/>
      <c r="B609" s="293"/>
      <c r="C609" s="294" t="s">
        <v>1931</v>
      </c>
      <c r="D609" s="295" t="s">
        <v>2537</v>
      </c>
      <c r="E609" s="295" t="s">
        <v>1933</v>
      </c>
      <c r="F609" s="295" t="s">
        <v>1934</v>
      </c>
      <c r="G609" s="295" t="s">
        <v>1935</v>
      </c>
      <c r="H609" s="295" t="s">
        <v>1936</v>
      </c>
    </row>
    <row r="610" customFormat="false" ht="54.75" hidden="false" customHeight="true" outlineLevel="0" collapsed="false">
      <c r="A610" s="83"/>
      <c r="B610" s="293"/>
      <c r="C610" s="296" t="s">
        <v>1937</v>
      </c>
      <c r="D610" s="292" t="s">
        <v>2538</v>
      </c>
      <c r="E610" s="292" t="s">
        <v>1939</v>
      </c>
      <c r="F610" s="292" t="s">
        <v>1940</v>
      </c>
      <c r="G610" s="292" t="s">
        <v>1941</v>
      </c>
      <c r="H610" s="292" t="s">
        <v>1942</v>
      </c>
    </row>
    <row r="611" customFormat="false" ht="54.75" hidden="false" customHeight="true" outlineLevel="0" collapsed="false">
      <c r="A611" s="83"/>
      <c r="B611" s="293"/>
      <c r="C611" s="297" t="s">
        <v>1943</v>
      </c>
      <c r="D611" s="295" t="s">
        <v>2539</v>
      </c>
      <c r="E611" s="295" t="s">
        <v>1945</v>
      </c>
      <c r="F611" s="295" t="s">
        <v>1946</v>
      </c>
      <c r="G611" s="295" t="s">
        <v>1947</v>
      </c>
      <c r="H611" s="295" t="s">
        <v>1948</v>
      </c>
    </row>
    <row r="612" customFormat="false" ht="54.75" hidden="false" customHeight="true" outlineLevel="0" collapsed="false">
      <c r="A612" s="83"/>
      <c r="B612" s="293"/>
      <c r="C612" s="298" t="s">
        <v>1949</v>
      </c>
      <c r="D612" s="292" t="s">
        <v>2540</v>
      </c>
      <c r="E612" s="292" t="s">
        <v>1951</v>
      </c>
      <c r="F612" s="292" t="s">
        <v>1952</v>
      </c>
      <c r="G612" s="292" t="s">
        <v>1953</v>
      </c>
      <c r="H612" s="292" t="s">
        <v>1954</v>
      </c>
    </row>
    <row r="613" customFormat="false" ht="54.75" hidden="false" customHeight="true" outlineLevel="0" collapsed="false">
      <c r="A613" s="83" t="n">
        <v>122</v>
      </c>
      <c r="B613" s="299" t="s">
        <v>381</v>
      </c>
      <c r="C613" s="291" t="s">
        <v>1926</v>
      </c>
      <c r="D613" s="292" t="s">
        <v>2541</v>
      </c>
      <c r="E613" s="292" t="s">
        <v>1928</v>
      </c>
      <c r="F613" s="292" t="s">
        <v>58</v>
      </c>
      <c r="G613" s="292" t="s">
        <v>1929</v>
      </c>
      <c r="H613" s="292" t="s">
        <v>1930</v>
      </c>
    </row>
    <row r="614" customFormat="false" ht="54.75" hidden="false" customHeight="true" outlineLevel="0" collapsed="false">
      <c r="A614" s="83"/>
      <c r="B614" s="300"/>
      <c r="C614" s="294" t="s">
        <v>1931</v>
      </c>
      <c r="D614" s="295" t="s">
        <v>2542</v>
      </c>
      <c r="E614" s="295" t="s">
        <v>1933</v>
      </c>
      <c r="F614" s="295" t="s">
        <v>1934</v>
      </c>
      <c r="G614" s="295" t="s">
        <v>1935</v>
      </c>
      <c r="H614" s="295" t="s">
        <v>1936</v>
      </c>
    </row>
    <row r="615" customFormat="false" ht="54.75" hidden="false" customHeight="true" outlineLevel="0" collapsed="false">
      <c r="A615" s="83"/>
      <c r="B615" s="300"/>
      <c r="C615" s="296" t="s">
        <v>1937</v>
      </c>
      <c r="D615" s="292" t="s">
        <v>2543</v>
      </c>
      <c r="E615" s="292" t="s">
        <v>1939</v>
      </c>
      <c r="F615" s="292" t="s">
        <v>1940</v>
      </c>
      <c r="G615" s="292" t="s">
        <v>1941</v>
      </c>
      <c r="H615" s="292" t="s">
        <v>1942</v>
      </c>
    </row>
    <row r="616" customFormat="false" ht="54.75" hidden="false" customHeight="true" outlineLevel="0" collapsed="false">
      <c r="A616" s="83"/>
      <c r="B616" s="300"/>
      <c r="C616" s="297" t="s">
        <v>1943</v>
      </c>
      <c r="D616" s="295" t="s">
        <v>2544</v>
      </c>
      <c r="E616" s="295" t="s">
        <v>1945</v>
      </c>
      <c r="F616" s="295" t="s">
        <v>1946</v>
      </c>
      <c r="G616" s="295" t="s">
        <v>1947</v>
      </c>
      <c r="H616" s="295" t="s">
        <v>1948</v>
      </c>
    </row>
    <row r="617" customFormat="false" ht="54.75" hidden="false" customHeight="true" outlineLevel="0" collapsed="false">
      <c r="A617" s="83"/>
      <c r="B617" s="300"/>
      <c r="C617" s="298" t="s">
        <v>1949</v>
      </c>
      <c r="D617" s="292" t="s">
        <v>2545</v>
      </c>
      <c r="E617" s="292" t="s">
        <v>1951</v>
      </c>
      <c r="F617" s="292" t="s">
        <v>1952</v>
      </c>
      <c r="G617" s="292" t="s">
        <v>1953</v>
      </c>
      <c r="H617" s="292" t="s">
        <v>1954</v>
      </c>
    </row>
    <row r="618" customFormat="false" ht="54.75" hidden="false" customHeight="true" outlineLevel="0" collapsed="false">
      <c r="A618" s="83" t="n">
        <v>123</v>
      </c>
      <c r="B618" s="290" t="s">
        <v>382</v>
      </c>
      <c r="C618" s="291" t="s">
        <v>1926</v>
      </c>
      <c r="D618" s="292" t="s">
        <v>2546</v>
      </c>
      <c r="E618" s="292" t="s">
        <v>1928</v>
      </c>
      <c r="F618" s="292" t="s">
        <v>58</v>
      </c>
      <c r="G618" s="292" t="s">
        <v>1929</v>
      </c>
      <c r="H618" s="292" t="s">
        <v>1930</v>
      </c>
    </row>
    <row r="619" customFormat="false" ht="54.75" hidden="false" customHeight="true" outlineLevel="0" collapsed="false">
      <c r="A619" s="83"/>
      <c r="B619" s="293"/>
      <c r="C619" s="294" t="s">
        <v>1931</v>
      </c>
      <c r="D619" s="295" t="s">
        <v>2547</v>
      </c>
      <c r="E619" s="295" t="s">
        <v>1933</v>
      </c>
      <c r="F619" s="295" t="s">
        <v>1934</v>
      </c>
      <c r="G619" s="295" t="s">
        <v>1935</v>
      </c>
      <c r="H619" s="295" t="s">
        <v>1936</v>
      </c>
    </row>
    <row r="620" customFormat="false" ht="54.75" hidden="false" customHeight="true" outlineLevel="0" collapsed="false">
      <c r="A620" s="83"/>
      <c r="B620" s="293"/>
      <c r="C620" s="296" t="s">
        <v>1937</v>
      </c>
      <c r="D620" s="292" t="s">
        <v>2548</v>
      </c>
      <c r="E620" s="292" t="s">
        <v>1939</v>
      </c>
      <c r="F620" s="292" t="s">
        <v>1940</v>
      </c>
      <c r="G620" s="292" t="s">
        <v>1941</v>
      </c>
      <c r="H620" s="292" t="s">
        <v>1942</v>
      </c>
    </row>
    <row r="621" customFormat="false" ht="54.75" hidden="false" customHeight="true" outlineLevel="0" collapsed="false">
      <c r="A621" s="83"/>
      <c r="B621" s="293"/>
      <c r="C621" s="297" t="s">
        <v>1943</v>
      </c>
      <c r="D621" s="295" t="s">
        <v>2549</v>
      </c>
      <c r="E621" s="295" t="s">
        <v>1945</v>
      </c>
      <c r="F621" s="295" t="s">
        <v>1946</v>
      </c>
      <c r="G621" s="295" t="s">
        <v>1947</v>
      </c>
      <c r="H621" s="295" t="s">
        <v>1948</v>
      </c>
    </row>
    <row r="622" customFormat="false" ht="54.75" hidden="false" customHeight="true" outlineLevel="0" collapsed="false">
      <c r="A622" s="83"/>
      <c r="B622" s="293"/>
      <c r="C622" s="298" t="s">
        <v>1949</v>
      </c>
      <c r="D622" s="292" t="s">
        <v>2550</v>
      </c>
      <c r="E622" s="292" t="s">
        <v>1951</v>
      </c>
      <c r="F622" s="292" t="s">
        <v>1952</v>
      </c>
      <c r="G622" s="292" t="s">
        <v>1953</v>
      </c>
      <c r="H622" s="292" t="s">
        <v>1954</v>
      </c>
    </row>
    <row r="623" customFormat="false" ht="54.75" hidden="false" customHeight="true" outlineLevel="0" collapsed="false">
      <c r="A623" s="83" t="n">
        <v>124</v>
      </c>
      <c r="B623" s="299" t="s">
        <v>383</v>
      </c>
      <c r="C623" s="291" t="s">
        <v>1926</v>
      </c>
      <c r="D623" s="292" t="s">
        <v>2551</v>
      </c>
      <c r="E623" s="292" t="s">
        <v>1928</v>
      </c>
      <c r="F623" s="292" t="s">
        <v>58</v>
      </c>
      <c r="G623" s="292" t="s">
        <v>1929</v>
      </c>
      <c r="H623" s="292" t="s">
        <v>1930</v>
      </c>
    </row>
    <row r="624" customFormat="false" ht="54.75" hidden="false" customHeight="true" outlineLevel="0" collapsed="false">
      <c r="A624" s="83"/>
      <c r="B624" s="300"/>
      <c r="C624" s="294" t="s">
        <v>1931</v>
      </c>
      <c r="D624" s="295" t="s">
        <v>2552</v>
      </c>
      <c r="E624" s="295" t="s">
        <v>1933</v>
      </c>
      <c r="F624" s="295" t="s">
        <v>1934</v>
      </c>
      <c r="G624" s="295" t="s">
        <v>1935</v>
      </c>
      <c r="H624" s="295" t="s">
        <v>1936</v>
      </c>
    </row>
    <row r="625" customFormat="false" ht="54.75" hidden="false" customHeight="true" outlineLevel="0" collapsed="false">
      <c r="A625" s="83"/>
      <c r="B625" s="300"/>
      <c r="C625" s="296" t="s">
        <v>1937</v>
      </c>
      <c r="D625" s="292" t="s">
        <v>2553</v>
      </c>
      <c r="E625" s="292" t="s">
        <v>1939</v>
      </c>
      <c r="F625" s="292" t="s">
        <v>1940</v>
      </c>
      <c r="G625" s="292" t="s">
        <v>1941</v>
      </c>
      <c r="H625" s="292" t="s">
        <v>1942</v>
      </c>
    </row>
    <row r="626" customFormat="false" ht="54.75" hidden="false" customHeight="true" outlineLevel="0" collapsed="false">
      <c r="A626" s="83"/>
      <c r="B626" s="300"/>
      <c r="C626" s="297" t="s">
        <v>1943</v>
      </c>
      <c r="D626" s="295" t="s">
        <v>2554</v>
      </c>
      <c r="E626" s="295" t="s">
        <v>1945</v>
      </c>
      <c r="F626" s="295" t="s">
        <v>1946</v>
      </c>
      <c r="G626" s="295" t="s">
        <v>1947</v>
      </c>
      <c r="H626" s="295" t="s">
        <v>1948</v>
      </c>
    </row>
    <row r="627" customFormat="false" ht="54.75" hidden="false" customHeight="true" outlineLevel="0" collapsed="false">
      <c r="A627" s="83"/>
      <c r="B627" s="300"/>
      <c r="C627" s="298" t="s">
        <v>1949</v>
      </c>
      <c r="D627" s="292" t="s">
        <v>2555</v>
      </c>
      <c r="E627" s="292" t="s">
        <v>1951</v>
      </c>
      <c r="F627" s="292" t="s">
        <v>1952</v>
      </c>
      <c r="G627" s="292" t="s">
        <v>1953</v>
      </c>
      <c r="H627" s="292" t="s">
        <v>1954</v>
      </c>
    </row>
    <row r="628" customFormat="false" ht="54.75" hidden="false" customHeight="true" outlineLevel="0" collapsed="false">
      <c r="A628" s="83" t="n">
        <v>125</v>
      </c>
      <c r="B628" s="290" t="s">
        <v>385</v>
      </c>
      <c r="C628" s="291" t="s">
        <v>1926</v>
      </c>
      <c r="D628" s="292" t="s">
        <v>2556</v>
      </c>
      <c r="E628" s="292" t="s">
        <v>1928</v>
      </c>
      <c r="F628" s="292" t="s">
        <v>58</v>
      </c>
      <c r="G628" s="292" t="s">
        <v>1929</v>
      </c>
      <c r="H628" s="292" t="s">
        <v>1930</v>
      </c>
    </row>
    <row r="629" customFormat="false" ht="54.75" hidden="false" customHeight="true" outlineLevel="0" collapsed="false">
      <c r="A629" s="83"/>
      <c r="B629" s="293"/>
      <c r="C629" s="294" t="s">
        <v>1931</v>
      </c>
      <c r="D629" s="295" t="s">
        <v>2557</v>
      </c>
      <c r="E629" s="295" t="s">
        <v>1933</v>
      </c>
      <c r="F629" s="295" t="s">
        <v>1934</v>
      </c>
      <c r="G629" s="295" t="s">
        <v>1935</v>
      </c>
      <c r="H629" s="295" t="s">
        <v>1936</v>
      </c>
    </row>
    <row r="630" customFormat="false" ht="54.75" hidden="false" customHeight="true" outlineLevel="0" collapsed="false">
      <c r="A630" s="83"/>
      <c r="B630" s="293"/>
      <c r="C630" s="296" t="s">
        <v>1937</v>
      </c>
      <c r="D630" s="292" t="s">
        <v>2558</v>
      </c>
      <c r="E630" s="292" t="s">
        <v>1939</v>
      </c>
      <c r="F630" s="292" t="s">
        <v>1940</v>
      </c>
      <c r="G630" s="292" t="s">
        <v>1941</v>
      </c>
      <c r="H630" s="292" t="s">
        <v>1942</v>
      </c>
    </row>
    <row r="631" customFormat="false" ht="54.75" hidden="false" customHeight="true" outlineLevel="0" collapsed="false">
      <c r="A631" s="83"/>
      <c r="B631" s="293"/>
      <c r="C631" s="297" t="s">
        <v>1943</v>
      </c>
      <c r="D631" s="295" t="s">
        <v>2559</v>
      </c>
      <c r="E631" s="295" t="s">
        <v>1945</v>
      </c>
      <c r="F631" s="295" t="s">
        <v>1946</v>
      </c>
      <c r="G631" s="295" t="s">
        <v>1947</v>
      </c>
      <c r="H631" s="295" t="s">
        <v>1948</v>
      </c>
    </row>
    <row r="632" customFormat="false" ht="54.75" hidden="false" customHeight="true" outlineLevel="0" collapsed="false">
      <c r="A632" s="83"/>
      <c r="B632" s="293"/>
      <c r="C632" s="298" t="s">
        <v>1949</v>
      </c>
      <c r="D632" s="292" t="s">
        <v>2560</v>
      </c>
      <c r="E632" s="292" t="s">
        <v>1951</v>
      </c>
      <c r="F632" s="292" t="s">
        <v>1952</v>
      </c>
      <c r="G632" s="292" t="s">
        <v>1953</v>
      </c>
      <c r="H632" s="292" t="s">
        <v>1954</v>
      </c>
    </row>
    <row r="633" customFormat="false" ht="54.75" hidden="false" customHeight="true" outlineLevel="0" collapsed="false">
      <c r="A633" s="83" t="n">
        <v>126</v>
      </c>
      <c r="B633" s="299" t="s">
        <v>386</v>
      </c>
      <c r="C633" s="291" t="s">
        <v>1926</v>
      </c>
      <c r="D633" s="292" t="s">
        <v>2561</v>
      </c>
      <c r="E633" s="292" t="s">
        <v>1928</v>
      </c>
      <c r="F633" s="292" t="s">
        <v>58</v>
      </c>
      <c r="G633" s="292" t="s">
        <v>1929</v>
      </c>
      <c r="H633" s="292" t="s">
        <v>1930</v>
      </c>
    </row>
    <row r="634" customFormat="false" ht="54.75" hidden="false" customHeight="true" outlineLevel="0" collapsed="false">
      <c r="A634" s="83"/>
      <c r="B634" s="300"/>
      <c r="C634" s="294" t="s">
        <v>1931</v>
      </c>
      <c r="D634" s="295" t="s">
        <v>2562</v>
      </c>
      <c r="E634" s="295" t="s">
        <v>1933</v>
      </c>
      <c r="F634" s="295" t="s">
        <v>1934</v>
      </c>
      <c r="G634" s="295" t="s">
        <v>1935</v>
      </c>
      <c r="H634" s="295" t="s">
        <v>1936</v>
      </c>
    </row>
    <row r="635" customFormat="false" ht="54.75" hidden="false" customHeight="true" outlineLevel="0" collapsed="false">
      <c r="A635" s="83"/>
      <c r="B635" s="300"/>
      <c r="C635" s="296" t="s">
        <v>1937</v>
      </c>
      <c r="D635" s="292" t="s">
        <v>2563</v>
      </c>
      <c r="E635" s="292" t="s">
        <v>1939</v>
      </c>
      <c r="F635" s="292" t="s">
        <v>1940</v>
      </c>
      <c r="G635" s="292" t="s">
        <v>1941</v>
      </c>
      <c r="H635" s="292" t="s">
        <v>1942</v>
      </c>
    </row>
    <row r="636" customFormat="false" ht="54.75" hidden="false" customHeight="true" outlineLevel="0" collapsed="false">
      <c r="A636" s="83"/>
      <c r="B636" s="300"/>
      <c r="C636" s="297" t="s">
        <v>1943</v>
      </c>
      <c r="D636" s="295" t="s">
        <v>2564</v>
      </c>
      <c r="E636" s="295" t="s">
        <v>1945</v>
      </c>
      <c r="F636" s="295" t="s">
        <v>1946</v>
      </c>
      <c r="G636" s="295" t="s">
        <v>1947</v>
      </c>
      <c r="H636" s="295" t="s">
        <v>1948</v>
      </c>
    </row>
    <row r="637" customFormat="false" ht="54.75" hidden="false" customHeight="true" outlineLevel="0" collapsed="false">
      <c r="A637" s="83"/>
      <c r="B637" s="300"/>
      <c r="C637" s="298" t="s">
        <v>1949</v>
      </c>
      <c r="D637" s="292" t="s">
        <v>2565</v>
      </c>
      <c r="E637" s="292" t="s">
        <v>1951</v>
      </c>
      <c r="F637" s="292" t="s">
        <v>1952</v>
      </c>
      <c r="G637" s="292" t="s">
        <v>1953</v>
      </c>
      <c r="H637" s="292" t="s">
        <v>1954</v>
      </c>
    </row>
    <row r="638" customFormat="false" ht="54.75" hidden="false" customHeight="true" outlineLevel="0" collapsed="false">
      <c r="A638" s="83" t="n">
        <v>127</v>
      </c>
      <c r="B638" s="290" t="s">
        <v>387</v>
      </c>
      <c r="C638" s="291" t="s">
        <v>1926</v>
      </c>
      <c r="D638" s="292" t="s">
        <v>2566</v>
      </c>
      <c r="E638" s="292" t="s">
        <v>1928</v>
      </c>
      <c r="F638" s="292" t="s">
        <v>58</v>
      </c>
      <c r="G638" s="292" t="s">
        <v>1929</v>
      </c>
      <c r="H638" s="292" t="s">
        <v>1930</v>
      </c>
    </row>
    <row r="639" customFormat="false" ht="54.75" hidden="false" customHeight="true" outlineLevel="0" collapsed="false">
      <c r="A639" s="83"/>
      <c r="B639" s="293"/>
      <c r="C639" s="294" t="s">
        <v>1931</v>
      </c>
      <c r="D639" s="295" t="s">
        <v>2567</v>
      </c>
      <c r="E639" s="295" t="s">
        <v>1933</v>
      </c>
      <c r="F639" s="295" t="s">
        <v>1934</v>
      </c>
      <c r="G639" s="295" t="s">
        <v>1935</v>
      </c>
      <c r="H639" s="295" t="s">
        <v>1936</v>
      </c>
    </row>
    <row r="640" customFormat="false" ht="54.75" hidden="false" customHeight="true" outlineLevel="0" collapsed="false">
      <c r="A640" s="83"/>
      <c r="B640" s="293"/>
      <c r="C640" s="296" t="s">
        <v>1937</v>
      </c>
      <c r="D640" s="292" t="s">
        <v>2568</v>
      </c>
      <c r="E640" s="292" t="s">
        <v>1939</v>
      </c>
      <c r="F640" s="292" t="s">
        <v>1940</v>
      </c>
      <c r="G640" s="292" t="s">
        <v>1941</v>
      </c>
      <c r="H640" s="292" t="s">
        <v>1942</v>
      </c>
    </row>
    <row r="641" customFormat="false" ht="54.75" hidden="false" customHeight="true" outlineLevel="0" collapsed="false">
      <c r="A641" s="83"/>
      <c r="B641" s="293"/>
      <c r="C641" s="297" t="s">
        <v>1943</v>
      </c>
      <c r="D641" s="295" t="s">
        <v>2569</v>
      </c>
      <c r="E641" s="295" t="s">
        <v>1945</v>
      </c>
      <c r="F641" s="295" t="s">
        <v>1946</v>
      </c>
      <c r="G641" s="295" t="s">
        <v>1947</v>
      </c>
      <c r="H641" s="295" t="s">
        <v>1948</v>
      </c>
    </row>
    <row r="642" customFormat="false" ht="54.75" hidden="false" customHeight="true" outlineLevel="0" collapsed="false">
      <c r="A642" s="83"/>
      <c r="B642" s="293"/>
      <c r="C642" s="298" t="s">
        <v>1949</v>
      </c>
      <c r="D642" s="292" t="s">
        <v>2570</v>
      </c>
      <c r="E642" s="292" t="s">
        <v>1951</v>
      </c>
      <c r="F642" s="292" t="s">
        <v>1952</v>
      </c>
      <c r="G642" s="292" t="s">
        <v>1953</v>
      </c>
      <c r="H642" s="292" t="s">
        <v>1954</v>
      </c>
    </row>
    <row r="643" customFormat="false" ht="54.75" hidden="false" customHeight="true" outlineLevel="0" collapsed="false">
      <c r="A643" s="83" t="n">
        <v>128</v>
      </c>
      <c r="B643" s="299" t="s">
        <v>388</v>
      </c>
      <c r="C643" s="291" t="s">
        <v>1926</v>
      </c>
      <c r="D643" s="292" t="s">
        <v>2571</v>
      </c>
      <c r="E643" s="292" t="s">
        <v>1928</v>
      </c>
      <c r="F643" s="292" t="s">
        <v>58</v>
      </c>
      <c r="G643" s="292" t="s">
        <v>1929</v>
      </c>
      <c r="H643" s="292" t="s">
        <v>1930</v>
      </c>
    </row>
    <row r="644" customFormat="false" ht="54.75" hidden="false" customHeight="true" outlineLevel="0" collapsed="false">
      <c r="A644" s="83"/>
      <c r="B644" s="300"/>
      <c r="C644" s="294" t="s">
        <v>1931</v>
      </c>
      <c r="D644" s="295" t="s">
        <v>2572</v>
      </c>
      <c r="E644" s="295" t="s">
        <v>1933</v>
      </c>
      <c r="F644" s="295" t="s">
        <v>1934</v>
      </c>
      <c r="G644" s="295" t="s">
        <v>1935</v>
      </c>
      <c r="H644" s="295" t="s">
        <v>1936</v>
      </c>
    </row>
    <row r="645" customFormat="false" ht="54.75" hidden="false" customHeight="true" outlineLevel="0" collapsed="false">
      <c r="A645" s="83"/>
      <c r="B645" s="300"/>
      <c r="C645" s="296" t="s">
        <v>1937</v>
      </c>
      <c r="D645" s="292" t="s">
        <v>2573</v>
      </c>
      <c r="E645" s="292" t="s">
        <v>1939</v>
      </c>
      <c r="F645" s="292" t="s">
        <v>1940</v>
      </c>
      <c r="G645" s="292" t="s">
        <v>1941</v>
      </c>
      <c r="H645" s="292" t="s">
        <v>1942</v>
      </c>
    </row>
    <row r="646" customFormat="false" ht="54.75" hidden="false" customHeight="true" outlineLevel="0" collapsed="false">
      <c r="A646" s="83"/>
      <c r="B646" s="300"/>
      <c r="C646" s="297" t="s">
        <v>1943</v>
      </c>
      <c r="D646" s="295" t="s">
        <v>2574</v>
      </c>
      <c r="E646" s="295" t="s">
        <v>1945</v>
      </c>
      <c r="F646" s="295" t="s">
        <v>1946</v>
      </c>
      <c r="G646" s="295" t="s">
        <v>1947</v>
      </c>
      <c r="H646" s="295" t="s">
        <v>1948</v>
      </c>
    </row>
    <row r="647" customFormat="false" ht="54.75" hidden="false" customHeight="true" outlineLevel="0" collapsed="false">
      <c r="A647" s="83"/>
      <c r="B647" s="300"/>
      <c r="C647" s="298" t="s">
        <v>1949</v>
      </c>
      <c r="D647" s="292" t="s">
        <v>2575</v>
      </c>
      <c r="E647" s="292" t="s">
        <v>1951</v>
      </c>
      <c r="F647" s="292" t="s">
        <v>1952</v>
      </c>
      <c r="G647" s="292" t="s">
        <v>1953</v>
      </c>
      <c r="H647" s="292" t="s">
        <v>1954</v>
      </c>
    </row>
    <row r="648" customFormat="false" ht="54.75" hidden="false" customHeight="true" outlineLevel="0" collapsed="false">
      <c r="A648" s="83" t="n">
        <v>129</v>
      </c>
      <c r="B648" s="290" t="s">
        <v>390</v>
      </c>
      <c r="C648" s="291" t="s">
        <v>1926</v>
      </c>
      <c r="D648" s="292" t="s">
        <v>2576</v>
      </c>
      <c r="E648" s="292" t="s">
        <v>1928</v>
      </c>
      <c r="F648" s="292" t="s">
        <v>58</v>
      </c>
      <c r="G648" s="292" t="s">
        <v>1929</v>
      </c>
      <c r="H648" s="292" t="s">
        <v>1930</v>
      </c>
    </row>
    <row r="649" customFormat="false" ht="54.75" hidden="false" customHeight="true" outlineLevel="0" collapsed="false">
      <c r="A649" s="83"/>
      <c r="B649" s="293"/>
      <c r="C649" s="294" t="s">
        <v>1931</v>
      </c>
      <c r="D649" s="295" t="s">
        <v>2577</v>
      </c>
      <c r="E649" s="295" t="s">
        <v>1933</v>
      </c>
      <c r="F649" s="295" t="s">
        <v>1934</v>
      </c>
      <c r="G649" s="295" t="s">
        <v>1935</v>
      </c>
      <c r="H649" s="295" t="s">
        <v>1936</v>
      </c>
    </row>
    <row r="650" customFormat="false" ht="54.75" hidden="false" customHeight="true" outlineLevel="0" collapsed="false">
      <c r="A650" s="83"/>
      <c r="B650" s="293"/>
      <c r="C650" s="296" t="s">
        <v>1937</v>
      </c>
      <c r="D650" s="292" t="s">
        <v>2578</v>
      </c>
      <c r="E650" s="292" t="s">
        <v>1939</v>
      </c>
      <c r="F650" s="292" t="s">
        <v>1940</v>
      </c>
      <c r="G650" s="292" t="s">
        <v>1941</v>
      </c>
      <c r="H650" s="292" t="s">
        <v>1942</v>
      </c>
    </row>
    <row r="651" customFormat="false" ht="54.75" hidden="false" customHeight="true" outlineLevel="0" collapsed="false">
      <c r="A651" s="83"/>
      <c r="B651" s="293"/>
      <c r="C651" s="297" t="s">
        <v>1943</v>
      </c>
      <c r="D651" s="295" t="s">
        <v>2579</v>
      </c>
      <c r="E651" s="295" t="s">
        <v>1945</v>
      </c>
      <c r="F651" s="295" t="s">
        <v>1946</v>
      </c>
      <c r="G651" s="295" t="s">
        <v>1947</v>
      </c>
      <c r="H651" s="295" t="s">
        <v>1948</v>
      </c>
    </row>
    <row r="652" customFormat="false" ht="54.75" hidden="false" customHeight="true" outlineLevel="0" collapsed="false">
      <c r="A652" s="83"/>
      <c r="B652" s="293"/>
      <c r="C652" s="298" t="s">
        <v>1949</v>
      </c>
      <c r="D652" s="292" t="s">
        <v>2580</v>
      </c>
      <c r="E652" s="292" t="s">
        <v>1951</v>
      </c>
      <c r="F652" s="292" t="s">
        <v>1952</v>
      </c>
      <c r="G652" s="292" t="s">
        <v>1953</v>
      </c>
      <c r="H652" s="292" t="s">
        <v>1954</v>
      </c>
    </row>
    <row r="653" customFormat="false" ht="54.75" hidden="false" customHeight="true" outlineLevel="0" collapsed="false">
      <c r="A653" s="83" t="n">
        <v>130</v>
      </c>
      <c r="B653" s="299" t="s">
        <v>391</v>
      </c>
      <c r="C653" s="291" t="s">
        <v>1926</v>
      </c>
      <c r="D653" s="292" t="s">
        <v>2581</v>
      </c>
      <c r="E653" s="292" t="s">
        <v>1928</v>
      </c>
      <c r="F653" s="292" t="s">
        <v>58</v>
      </c>
      <c r="G653" s="292" t="s">
        <v>1929</v>
      </c>
      <c r="H653" s="292" t="s">
        <v>1930</v>
      </c>
    </row>
    <row r="654" customFormat="false" ht="54.75" hidden="false" customHeight="true" outlineLevel="0" collapsed="false">
      <c r="A654" s="83"/>
      <c r="B654" s="300"/>
      <c r="C654" s="294" t="s">
        <v>1931</v>
      </c>
      <c r="D654" s="295" t="s">
        <v>2582</v>
      </c>
      <c r="E654" s="295" t="s">
        <v>1933</v>
      </c>
      <c r="F654" s="295" t="s">
        <v>1934</v>
      </c>
      <c r="G654" s="295" t="s">
        <v>1935</v>
      </c>
      <c r="H654" s="295" t="s">
        <v>1936</v>
      </c>
    </row>
    <row r="655" customFormat="false" ht="54.75" hidden="false" customHeight="true" outlineLevel="0" collapsed="false">
      <c r="A655" s="83"/>
      <c r="B655" s="300"/>
      <c r="C655" s="296" t="s">
        <v>1937</v>
      </c>
      <c r="D655" s="292" t="s">
        <v>2583</v>
      </c>
      <c r="E655" s="292" t="s">
        <v>1939</v>
      </c>
      <c r="F655" s="292" t="s">
        <v>1940</v>
      </c>
      <c r="G655" s="292" t="s">
        <v>1941</v>
      </c>
      <c r="H655" s="292" t="s">
        <v>1942</v>
      </c>
    </row>
    <row r="656" customFormat="false" ht="54.75" hidden="false" customHeight="true" outlineLevel="0" collapsed="false">
      <c r="A656" s="83"/>
      <c r="B656" s="300"/>
      <c r="C656" s="297" t="s">
        <v>1943</v>
      </c>
      <c r="D656" s="295" t="s">
        <v>2584</v>
      </c>
      <c r="E656" s="295" t="s">
        <v>1945</v>
      </c>
      <c r="F656" s="295" t="s">
        <v>1946</v>
      </c>
      <c r="G656" s="295" t="s">
        <v>1947</v>
      </c>
      <c r="H656" s="295" t="s">
        <v>1948</v>
      </c>
    </row>
    <row r="657" customFormat="false" ht="54.75" hidden="false" customHeight="true" outlineLevel="0" collapsed="false">
      <c r="A657" s="83"/>
      <c r="B657" s="300"/>
      <c r="C657" s="298" t="s">
        <v>1949</v>
      </c>
      <c r="D657" s="292" t="s">
        <v>2585</v>
      </c>
      <c r="E657" s="292" t="s">
        <v>1951</v>
      </c>
      <c r="F657" s="292" t="s">
        <v>1952</v>
      </c>
      <c r="G657" s="292" t="s">
        <v>1953</v>
      </c>
      <c r="H657" s="292" t="s">
        <v>1954</v>
      </c>
    </row>
    <row r="658" customFormat="false" ht="54.75" hidden="false" customHeight="true" outlineLevel="0" collapsed="false">
      <c r="A658" s="83" t="n">
        <v>131</v>
      </c>
      <c r="B658" s="290" t="s">
        <v>392</v>
      </c>
      <c r="C658" s="291" t="s">
        <v>1926</v>
      </c>
      <c r="D658" s="292" t="s">
        <v>2586</v>
      </c>
      <c r="E658" s="292" t="s">
        <v>1928</v>
      </c>
      <c r="F658" s="292" t="s">
        <v>58</v>
      </c>
      <c r="G658" s="292" t="s">
        <v>1929</v>
      </c>
      <c r="H658" s="292" t="s">
        <v>1930</v>
      </c>
    </row>
    <row r="659" customFormat="false" ht="54.75" hidden="false" customHeight="true" outlineLevel="0" collapsed="false">
      <c r="A659" s="83"/>
      <c r="B659" s="293"/>
      <c r="C659" s="294" t="s">
        <v>1931</v>
      </c>
      <c r="D659" s="295" t="s">
        <v>2587</v>
      </c>
      <c r="E659" s="295" t="s">
        <v>1933</v>
      </c>
      <c r="F659" s="295" t="s">
        <v>1934</v>
      </c>
      <c r="G659" s="295" t="s">
        <v>1935</v>
      </c>
      <c r="H659" s="295" t="s">
        <v>1936</v>
      </c>
    </row>
    <row r="660" customFormat="false" ht="54.75" hidden="false" customHeight="true" outlineLevel="0" collapsed="false">
      <c r="A660" s="83"/>
      <c r="B660" s="293"/>
      <c r="C660" s="296" t="s">
        <v>1937</v>
      </c>
      <c r="D660" s="292" t="s">
        <v>2588</v>
      </c>
      <c r="E660" s="292" t="s">
        <v>1939</v>
      </c>
      <c r="F660" s="292" t="s">
        <v>1940</v>
      </c>
      <c r="G660" s="292" t="s">
        <v>1941</v>
      </c>
      <c r="H660" s="292" t="s">
        <v>1942</v>
      </c>
    </row>
    <row r="661" customFormat="false" ht="54.75" hidden="false" customHeight="true" outlineLevel="0" collapsed="false">
      <c r="A661" s="83"/>
      <c r="B661" s="293"/>
      <c r="C661" s="297" t="s">
        <v>1943</v>
      </c>
      <c r="D661" s="295" t="s">
        <v>2589</v>
      </c>
      <c r="E661" s="295" t="s">
        <v>1945</v>
      </c>
      <c r="F661" s="295" t="s">
        <v>1946</v>
      </c>
      <c r="G661" s="295" t="s">
        <v>1947</v>
      </c>
      <c r="H661" s="295" t="s">
        <v>1948</v>
      </c>
    </row>
    <row r="662" customFormat="false" ht="54.75" hidden="false" customHeight="true" outlineLevel="0" collapsed="false">
      <c r="A662" s="83"/>
      <c r="B662" s="293"/>
      <c r="C662" s="298" t="s">
        <v>1949</v>
      </c>
      <c r="D662" s="292" t="s">
        <v>2590</v>
      </c>
      <c r="E662" s="292" t="s">
        <v>1951</v>
      </c>
      <c r="F662" s="292" t="s">
        <v>1952</v>
      </c>
      <c r="G662" s="292" t="s">
        <v>1953</v>
      </c>
      <c r="H662" s="292" t="s">
        <v>1954</v>
      </c>
    </row>
    <row r="663" customFormat="false" ht="54.75" hidden="false" customHeight="true" outlineLevel="0" collapsed="false">
      <c r="A663" s="83" t="n">
        <v>132</v>
      </c>
      <c r="B663" s="299" t="s">
        <v>393</v>
      </c>
      <c r="C663" s="291" t="s">
        <v>1926</v>
      </c>
      <c r="D663" s="292" t="s">
        <v>2591</v>
      </c>
      <c r="E663" s="292" t="s">
        <v>1928</v>
      </c>
      <c r="F663" s="292" t="s">
        <v>58</v>
      </c>
      <c r="G663" s="292" t="s">
        <v>1929</v>
      </c>
      <c r="H663" s="292" t="s">
        <v>1930</v>
      </c>
    </row>
    <row r="664" customFormat="false" ht="54.75" hidden="false" customHeight="true" outlineLevel="0" collapsed="false">
      <c r="A664" s="83"/>
      <c r="B664" s="300"/>
      <c r="C664" s="294" t="s">
        <v>1931</v>
      </c>
      <c r="D664" s="295" t="s">
        <v>2592</v>
      </c>
      <c r="E664" s="295" t="s">
        <v>1933</v>
      </c>
      <c r="F664" s="295" t="s">
        <v>1934</v>
      </c>
      <c r="G664" s="295" t="s">
        <v>1935</v>
      </c>
      <c r="H664" s="295" t="s">
        <v>1936</v>
      </c>
    </row>
    <row r="665" customFormat="false" ht="54.75" hidden="false" customHeight="true" outlineLevel="0" collapsed="false">
      <c r="A665" s="83"/>
      <c r="B665" s="300"/>
      <c r="C665" s="296" t="s">
        <v>1937</v>
      </c>
      <c r="D665" s="292" t="s">
        <v>2593</v>
      </c>
      <c r="E665" s="292" t="s">
        <v>1939</v>
      </c>
      <c r="F665" s="292" t="s">
        <v>1940</v>
      </c>
      <c r="G665" s="292" t="s">
        <v>1941</v>
      </c>
      <c r="H665" s="292" t="s">
        <v>1942</v>
      </c>
    </row>
    <row r="666" customFormat="false" ht="54.75" hidden="false" customHeight="true" outlineLevel="0" collapsed="false">
      <c r="A666" s="83"/>
      <c r="B666" s="300"/>
      <c r="C666" s="297" t="s">
        <v>1943</v>
      </c>
      <c r="D666" s="295" t="s">
        <v>2594</v>
      </c>
      <c r="E666" s="295" t="s">
        <v>1945</v>
      </c>
      <c r="F666" s="295" t="s">
        <v>1946</v>
      </c>
      <c r="G666" s="295" t="s">
        <v>1947</v>
      </c>
      <c r="H666" s="295" t="s">
        <v>1948</v>
      </c>
    </row>
    <row r="667" customFormat="false" ht="54.75" hidden="false" customHeight="true" outlineLevel="0" collapsed="false">
      <c r="A667" s="83"/>
      <c r="B667" s="300"/>
      <c r="C667" s="298" t="s">
        <v>1949</v>
      </c>
      <c r="D667" s="292" t="s">
        <v>2595</v>
      </c>
      <c r="E667" s="292" t="s">
        <v>1951</v>
      </c>
      <c r="F667" s="292" t="s">
        <v>1952</v>
      </c>
      <c r="G667" s="292" t="s">
        <v>1953</v>
      </c>
      <c r="H667" s="292" t="s">
        <v>1954</v>
      </c>
    </row>
    <row r="668" customFormat="false" ht="54.75" hidden="false" customHeight="true" outlineLevel="0" collapsed="false">
      <c r="A668" s="83" t="n">
        <v>133</v>
      </c>
      <c r="B668" s="290" t="s">
        <v>394</v>
      </c>
      <c r="C668" s="291" t="s">
        <v>1926</v>
      </c>
      <c r="D668" s="292" t="s">
        <v>2596</v>
      </c>
      <c r="E668" s="292" t="s">
        <v>1928</v>
      </c>
      <c r="F668" s="292" t="s">
        <v>58</v>
      </c>
      <c r="G668" s="292" t="s">
        <v>1929</v>
      </c>
      <c r="H668" s="292" t="s">
        <v>1930</v>
      </c>
    </row>
    <row r="669" customFormat="false" ht="54.75" hidden="false" customHeight="true" outlineLevel="0" collapsed="false">
      <c r="A669" s="83"/>
      <c r="B669" s="293"/>
      <c r="C669" s="294" t="s">
        <v>1931</v>
      </c>
      <c r="D669" s="295" t="s">
        <v>2597</v>
      </c>
      <c r="E669" s="295" t="s">
        <v>1933</v>
      </c>
      <c r="F669" s="295" t="s">
        <v>1934</v>
      </c>
      <c r="G669" s="295" t="s">
        <v>1935</v>
      </c>
      <c r="H669" s="295" t="s">
        <v>1936</v>
      </c>
    </row>
    <row r="670" customFormat="false" ht="54.75" hidden="false" customHeight="true" outlineLevel="0" collapsed="false">
      <c r="A670" s="83"/>
      <c r="B670" s="293"/>
      <c r="C670" s="296" t="s">
        <v>1937</v>
      </c>
      <c r="D670" s="292" t="s">
        <v>2598</v>
      </c>
      <c r="E670" s="292" t="s">
        <v>1939</v>
      </c>
      <c r="F670" s="292" t="s">
        <v>1940</v>
      </c>
      <c r="G670" s="292" t="s">
        <v>1941</v>
      </c>
      <c r="H670" s="292" t="s">
        <v>1942</v>
      </c>
    </row>
    <row r="671" customFormat="false" ht="54.75" hidden="false" customHeight="true" outlineLevel="0" collapsed="false">
      <c r="A671" s="83"/>
      <c r="B671" s="293"/>
      <c r="C671" s="297" t="s">
        <v>1943</v>
      </c>
      <c r="D671" s="295" t="s">
        <v>2599</v>
      </c>
      <c r="E671" s="295" t="s">
        <v>1945</v>
      </c>
      <c r="F671" s="295" t="s">
        <v>1946</v>
      </c>
      <c r="G671" s="295" t="s">
        <v>1947</v>
      </c>
      <c r="H671" s="295" t="s">
        <v>1948</v>
      </c>
    </row>
    <row r="672" customFormat="false" ht="54.75" hidden="false" customHeight="true" outlineLevel="0" collapsed="false">
      <c r="A672" s="83"/>
      <c r="B672" s="293"/>
      <c r="C672" s="298" t="s">
        <v>1949</v>
      </c>
      <c r="D672" s="292" t="s">
        <v>2600</v>
      </c>
      <c r="E672" s="292" t="s">
        <v>1951</v>
      </c>
      <c r="F672" s="292" t="s">
        <v>1952</v>
      </c>
      <c r="G672" s="292" t="s">
        <v>1953</v>
      </c>
      <c r="H672" s="292" t="s">
        <v>1954</v>
      </c>
    </row>
    <row r="673" customFormat="false" ht="39.75" hidden="false" customHeight="true" outlineLevel="0" collapsed="false">
      <c r="A673" s="289" t="s">
        <v>2601</v>
      </c>
      <c r="B673" s="289"/>
      <c r="C673" s="289"/>
      <c r="D673" s="289"/>
      <c r="E673" s="289"/>
      <c r="F673" s="289"/>
      <c r="G673" s="289"/>
      <c r="H673" s="289"/>
    </row>
    <row r="674" customFormat="false" ht="54.75" hidden="false" customHeight="true" outlineLevel="0" collapsed="false">
      <c r="A674" s="83" t="n">
        <v>134</v>
      </c>
      <c r="B674" s="290" t="s">
        <v>396</v>
      </c>
      <c r="C674" s="291" t="s">
        <v>1926</v>
      </c>
      <c r="D674" s="292" t="s">
        <v>2602</v>
      </c>
      <c r="E674" s="292" t="s">
        <v>1928</v>
      </c>
      <c r="F674" s="292" t="s">
        <v>58</v>
      </c>
      <c r="G674" s="292" t="s">
        <v>1929</v>
      </c>
      <c r="H674" s="292" t="s">
        <v>1930</v>
      </c>
    </row>
    <row r="675" customFormat="false" ht="54.75" hidden="false" customHeight="true" outlineLevel="0" collapsed="false">
      <c r="A675" s="83"/>
      <c r="B675" s="293"/>
      <c r="C675" s="294" t="s">
        <v>1931</v>
      </c>
      <c r="D675" s="295" t="s">
        <v>2603</v>
      </c>
      <c r="E675" s="295" t="s">
        <v>1933</v>
      </c>
      <c r="F675" s="295" t="s">
        <v>1934</v>
      </c>
      <c r="G675" s="295" t="s">
        <v>1935</v>
      </c>
      <c r="H675" s="295" t="s">
        <v>1936</v>
      </c>
    </row>
    <row r="676" customFormat="false" ht="54.75" hidden="false" customHeight="true" outlineLevel="0" collapsed="false">
      <c r="A676" s="83"/>
      <c r="B676" s="293"/>
      <c r="C676" s="296" t="s">
        <v>1937</v>
      </c>
      <c r="D676" s="292" t="s">
        <v>2604</v>
      </c>
      <c r="E676" s="292" t="s">
        <v>1939</v>
      </c>
      <c r="F676" s="292" t="s">
        <v>1940</v>
      </c>
      <c r="G676" s="292" t="s">
        <v>1941</v>
      </c>
      <c r="H676" s="292" t="s">
        <v>1942</v>
      </c>
    </row>
    <row r="677" customFormat="false" ht="54.75" hidden="false" customHeight="true" outlineLevel="0" collapsed="false">
      <c r="A677" s="83"/>
      <c r="B677" s="293"/>
      <c r="C677" s="297" t="s">
        <v>1943</v>
      </c>
      <c r="D677" s="295" t="s">
        <v>2605</v>
      </c>
      <c r="E677" s="295" t="s">
        <v>1945</v>
      </c>
      <c r="F677" s="295" t="s">
        <v>1946</v>
      </c>
      <c r="G677" s="295" t="s">
        <v>1947</v>
      </c>
      <c r="H677" s="295" t="s">
        <v>1948</v>
      </c>
    </row>
    <row r="678" customFormat="false" ht="54.75" hidden="false" customHeight="true" outlineLevel="0" collapsed="false">
      <c r="A678" s="83"/>
      <c r="B678" s="293"/>
      <c r="C678" s="298" t="s">
        <v>1949</v>
      </c>
      <c r="D678" s="292" t="s">
        <v>2606</v>
      </c>
      <c r="E678" s="292" t="s">
        <v>1951</v>
      </c>
      <c r="F678" s="292" t="s">
        <v>1952</v>
      </c>
      <c r="G678" s="292" t="s">
        <v>1953</v>
      </c>
      <c r="H678" s="292" t="s">
        <v>1954</v>
      </c>
    </row>
    <row r="679" customFormat="false" ht="54.75" hidden="false" customHeight="true" outlineLevel="0" collapsed="false">
      <c r="A679" s="83" t="n">
        <v>135</v>
      </c>
      <c r="B679" s="299" t="s">
        <v>397</v>
      </c>
      <c r="C679" s="291" t="s">
        <v>1926</v>
      </c>
      <c r="D679" s="292" t="s">
        <v>2607</v>
      </c>
      <c r="E679" s="292" t="s">
        <v>1928</v>
      </c>
      <c r="F679" s="292" t="s">
        <v>58</v>
      </c>
      <c r="G679" s="292" t="s">
        <v>1929</v>
      </c>
      <c r="H679" s="292" t="s">
        <v>1930</v>
      </c>
    </row>
    <row r="680" customFormat="false" ht="54.75" hidden="false" customHeight="true" outlineLevel="0" collapsed="false">
      <c r="A680" s="83"/>
      <c r="B680" s="300"/>
      <c r="C680" s="294" t="s">
        <v>1931</v>
      </c>
      <c r="D680" s="295" t="s">
        <v>2603</v>
      </c>
      <c r="E680" s="295" t="s">
        <v>1933</v>
      </c>
      <c r="F680" s="295" t="s">
        <v>1934</v>
      </c>
      <c r="G680" s="295" t="s">
        <v>1935</v>
      </c>
      <c r="H680" s="295" t="s">
        <v>1936</v>
      </c>
    </row>
    <row r="681" customFormat="false" ht="54.75" hidden="false" customHeight="true" outlineLevel="0" collapsed="false">
      <c r="A681" s="83"/>
      <c r="B681" s="300"/>
      <c r="C681" s="296" t="s">
        <v>1937</v>
      </c>
      <c r="D681" s="292" t="s">
        <v>2608</v>
      </c>
      <c r="E681" s="292" t="s">
        <v>1939</v>
      </c>
      <c r="F681" s="292" t="s">
        <v>1940</v>
      </c>
      <c r="G681" s="292" t="s">
        <v>1941</v>
      </c>
      <c r="H681" s="292" t="s">
        <v>1942</v>
      </c>
    </row>
    <row r="682" customFormat="false" ht="54.75" hidden="false" customHeight="true" outlineLevel="0" collapsed="false">
      <c r="A682" s="83"/>
      <c r="B682" s="300"/>
      <c r="C682" s="297" t="s">
        <v>1943</v>
      </c>
      <c r="D682" s="295" t="s">
        <v>2609</v>
      </c>
      <c r="E682" s="295" t="s">
        <v>1945</v>
      </c>
      <c r="F682" s="295" t="s">
        <v>1946</v>
      </c>
      <c r="G682" s="295" t="s">
        <v>1947</v>
      </c>
      <c r="H682" s="295" t="s">
        <v>1948</v>
      </c>
    </row>
    <row r="683" customFormat="false" ht="54.75" hidden="false" customHeight="true" outlineLevel="0" collapsed="false">
      <c r="A683" s="83"/>
      <c r="B683" s="300"/>
      <c r="C683" s="298" t="s">
        <v>1949</v>
      </c>
      <c r="D683" s="292" t="s">
        <v>2610</v>
      </c>
      <c r="E683" s="292" t="s">
        <v>1951</v>
      </c>
      <c r="F683" s="292" t="s">
        <v>1952</v>
      </c>
      <c r="G683" s="292" t="s">
        <v>1953</v>
      </c>
      <c r="H683" s="292" t="s">
        <v>1954</v>
      </c>
    </row>
    <row r="684" customFormat="false" ht="54.75" hidden="false" customHeight="true" outlineLevel="0" collapsed="false">
      <c r="A684" s="83" t="n">
        <v>136</v>
      </c>
      <c r="B684" s="290" t="s">
        <v>398</v>
      </c>
      <c r="C684" s="291" t="s">
        <v>1926</v>
      </c>
      <c r="D684" s="292" t="s">
        <v>2611</v>
      </c>
      <c r="E684" s="292" t="s">
        <v>1928</v>
      </c>
      <c r="F684" s="292" t="s">
        <v>58</v>
      </c>
      <c r="G684" s="292" t="s">
        <v>1929</v>
      </c>
      <c r="H684" s="292" t="s">
        <v>1930</v>
      </c>
    </row>
    <row r="685" customFormat="false" ht="54.75" hidden="false" customHeight="true" outlineLevel="0" collapsed="false">
      <c r="A685" s="83"/>
      <c r="B685" s="293"/>
      <c r="C685" s="294" t="s">
        <v>1931</v>
      </c>
      <c r="D685" s="295" t="s">
        <v>2603</v>
      </c>
      <c r="E685" s="295" t="s">
        <v>1933</v>
      </c>
      <c r="F685" s="295" t="s">
        <v>1934</v>
      </c>
      <c r="G685" s="295" t="s">
        <v>1935</v>
      </c>
      <c r="H685" s="295" t="s">
        <v>1936</v>
      </c>
    </row>
    <row r="686" customFormat="false" ht="54.75" hidden="false" customHeight="true" outlineLevel="0" collapsed="false">
      <c r="A686" s="83"/>
      <c r="B686" s="293"/>
      <c r="C686" s="296" t="s">
        <v>1937</v>
      </c>
      <c r="D686" s="292" t="s">
        <v>2612</v>
      </c>
      <c r="E686" s="292" t="s">
        <v>1939</v>
      </c>
      <c r="F686" s="292" t="s">
        <v>1940</v>
      </c>
      <c r="G686" s="292" t="s">
        <v>1941</v>
      </c>
      <c r="H686" s="292" t="s">
        <v>1942</v>
      </c>
    </row>
    <row r="687" customFormat="false" ht="54.75" hidden="false" customHeight="true" outlineLevel="0" collapsed="false">
      <c r="A687" s="83"/>
      <c r="B687" s="293"/>
      <c r="C687" s="297" t="s">
        <v>1943</v>
      </c>
      <c r="D687" s="295" t="s">
        <v>2613</v>
      </c>
      <c r="E687" s="295" t="s">
        <v>1945</v>
      </c>
      <c r="F687" s="295" t="s">
        <v>1946</v>
      </c>
      <c r="G687" s="295" t="s">
        <v>1947</v>
      </c>
      <c r="H687" s="295" t="s">
        <v>1948</v>
      </c>
    </row>
    <row r="688" customFormat="false" ht="54.75" hidden="false" customHeight="true" outlineLevel="0" collapsed="false">
      <c r="A688" s="83"/>
      <c r="B688" s="293"/>
      <c r="C688" s="298" t="s">
        <v>1949</v>
      </c>
      <c r="D688" s="292" t="s">
        <v>2614</v>
      </c>
      <c r="E688" s="292" t="s">
        <v>1951</v>
      </c>
      <c r="F688" s="292" t="s">
        <v>1952</v>
      </c>
      <c r="G688" s="292" t="s">
        <v>1953</v>
      </c>
      <c r="H688" s="292" t="s">
        <v>1954</v>
      </c>
    </row>
    <row r="689" customFormat="false" ht="54.75" hidden="false" customHeight="true" outlineLevel="0" collapsed="false">
      <c r="A689" s="83" t="n">
        <v>137</v>
      </c>
      <c r="B689" s="299" t="s">
        <v>399</v>
      </c>
      <c r="C689" s="291" t="s">
        <v>1926</v>
      </c>
      <c r="D689" s="292" t="s">
        <v>2615</v>
      </c>
      <c r="E689" s="292" t="s">
        <v>1928</v>
      </c>
      <c r="F689" s="292" t="s">
        <v>58</v>
      </c>
      <c r="G689" s="292" t="s">
        <v>1929</v>
      </c>
      <c r="H689" s="292" t="s">
        <v>1930</v>
      </c>
    </row>
    <row r="690" customFormat="false" ht="54.75" hidden="false" customHeight="true" outlineLevel="0" collapsed="false">
      <c r="A690" s="83"/>
      <c r="B690" s="300"/>
      <c r="C690" s="294" t="s">
        <v>1931</v>
      </c>
      <c r="D690" s="295" t="s">
        <v>2603</v>
      </c>
      <c r="E690" s="295" t="s">
        <v>1933</v>
      </c>
      <c r="F690" s="295" t="s">
        <v>1934</v>
      </c>
      <c r="G690" s="295" t="s">
        <v>1935</v>
      </c>
      <c r="H690" s="295" t="s">
        <v>1936</v>
      </c>
    </row>
    <row r="691" customFormat="false" ht="54.75" hidden="false" customHeight="true" outlineLevel="0" collapsed="false">
      <c r="A691" s="83"/>
      <c r="B691" s="300"/>
      <c r="C691" s="296" t="s">
        <v>1937</v>
      </c>
      <c r="D691" s="292" t="s">
        <v>2616</v>
      </c>
      <c r="E691" s="292" t="s">
        <v>1939</v>
      </c>
      <c r="F691" s="292" t="s">
        <v>1940</v>
      </c>
      <c r="G691" s="292" t="s">
        <v>1941</v>
      </c>
      <c r="H691" s="292" t="s">
        <v>1942</v>
      </c>
    </row>
    <row r="692" customFormat="false" ht="54.75" hidden="false" customHeight="true" outlineLevel="0" collapsed="false">
      <c r="A692" s="83"/>
      <c r="B692" s="300"/>
      <c r="C692" s="297" t="s">
        <v>1943</v>
      </c>
      <c r="D692" s="295" t="s">
        <v>2617</v>
      </c>
      <c r="E692" s="295" t="s">
        <v>1945</v>
      </c>
      <c r="F692" s="295" t="s">
        <v>1946</v>
      </c>
      <c r="G692" s="295" t="s">
        <v>1947</v>
      </c>
      <c r="H692" s="295" t="s">
        <v>1948</v>
      </c>
    </row>
    <row r="693" customFormat="false" ht="54.75" hidden="false" customHeight="true" outlineLevel="0" collapsed="false">
      <c r="A693" s="83"/>
      <c r="B693" s="300"/>
      <c r="C693" s="298" t="s">
        <v>1949</v>
      </c>
      <c r="D693" s="292" t="s">
        <v>2618</v>
      </c>
      <c r="E693" s="292" t="s">
        <v>1951</v>
      </c>
      <c r="F693" s="292" t="s">
        <v>1952</v>
      </c>
      <c r="G693" s="292" t="s">
        <v>1953</v>
      </c>
      <c r="H693" s="292" t="s">
        <v>1954</v>
      </c>
    </row>
    <row r="694" customFormat="false" ht="54.75" hidden="false" customHeight="true" outlineLevel="0" collapsed="false">
      <c r="A694" s="83" t="n">
        <v>138</v>
      </c>
      <c r="B694" s="290" t="s">
        <v>400</v>
      </c>
      <c r="C694" s="291" t="s">
        <v>1926</v>
      </c>
      <c r="D694" s="292" t="s">
        <v>2619</v>
      </c>
      <c r="E694" s="292" t="s">
        <v>1928</v>
      </c>
      <c r="F694" s="292" t="s">
        <v>58</v>
      </c>
      <c r="G694" s="292" t="s">
        <v>1929</v>
      </c>
      <c r="H694" s="292" t="s">
        <v>1930</v>
      </c>
    </row>
    <row r="695" customFormat="false" ht="54.75" hidden="false" customHeight="true" outlineLevel="0" collapsed="false">
      <c r="A695" s="83"/>
      <c r="B695" s="293"/>
      <c r="C695" s="294" t="s">
        <v>1931</v>
      </c>
      <c r="D695" s="295" t="s">
        <v>2603</v>
      </c>
      <c r="E695" s="295" t="s">
        <v>1933</v>
      </c>
      <c r="F695" s="295" t="s">
        <v>1934</v>
      </c>
      <c r="G695" s="295" t="s">
        <v>1935</v>
      </c>
      <c r="H695" s="295" t="s">
        <v>1936</v>
      </c>
    </row>
    <row r="696" customFormat="false" ht="54.75" hidden="false" customHeight="true" outlineLevel="0" collapsed="false">
      <c r="A696" s="83"/>
      <c r="B696" s="293"/>
      <c r="C696" s="296" t="s">
        <v>1937</v>
      </c>
      <c r="D696" s="292" t="s">
        <v>2620</v>
      </c>
      <c r="E696" s="292" t="s">
        <v>1939</v>
      </c>
      <c r="F696" s="292" t="s">
        <v>1940</v>
      </c>
      <c r="G696" s="292" t="s">
        <v>1941</v>
      </c>
      <c r="H696" s="292" t="s">
        <v>1942</v>
      </c>
    </row>
    <row r="697" customFormat="false" ht="54.75" hidden="false" customHeight="true" outlineLevel="0" collapsed="false">
      <c r="A697" s="83"/>
      <c r="B697" s="293"/>
      <c r="C697" s="297" t="s">
        <v>1943</v>
      </c>
      <c r="D697" s="295" t="s">
        <v>2621</v>
      </c>
      <c r="E697" s="295" t="s">
        <v>1945</v>
      </c>
      <c r="F697" s="295" t="s">
        <v>1946</v>
      </c>
      <c r="G697" s="295" t="s">
        <v>1947</v>
      </c>
      <c r="H697" s="295" t="s">
        <v>1948</v>
      </c>
    </row>
    <row r="698" customFormat="false" ht="54.75" hidden="false" customHeight="true" outlineLevel="0" collapsed="false">
      <c r="A698" s="83"/>
      <c r="B698" s="293"/>
      <c r="C698" s="298" t="s">
        <v>1949</v>
      </c>
      <c r="D698" s="292" t="s">
        <v>2622</v>
      </c>
      <c r="E698" s="292" t="s">
        <v>1951</v>
      </c>
      <c r="F698" s="292" t="s">
        <v>1952</v>
      </c>
      <c r="G698" s="292" t="s">
        <v>1953</v>
      </c>
      <c r="H698" s="292" t="s">
        <v>1954</v>
      </c>
    </row>
    <row r="699" customFormat="false" ht="54.75" hidden="false" customHeight="true" outlineLevel="0" collapsed="false">
      <c r="A699" s="83" t="n">
        <v>139</v>
      </c>
      <c r="B699" s="299" t="s">
        <v>401</v>
      </c>
      <c r="C699" s="291" t="s">
        <v>1926</v>
      </c>
      <c r="D699" s="292" t="s">
        <v>2623</v>
      </c>
      <c r="E699" s="292" t="s">
        <v>1928</v>
      </c>
      <c r="F699" s="292" t="s">
        <v>58</v>
      </c>
      <c r="G699" s="292" t="s">
        <v>1929</v>
      </c>
      <c r="H699" s="292" t="s">
        <v>1930</v>
      </c>
    </row>
    <row r="700" customFormat="false" ht="54.75" hidden="false" customHeight="true" outlineLevel="0" collapsed="false">
      <c r="A700" s="83"/>
      <c r="B700" s="300"/>
      <c r="C700" s="294" t="s">
        <v>1931</v>
      </c>
      <c r="D700" s="295" t="s">
        <v>2603</v>
      </c>
      <c r="E700" s="295" t="s">
        <v>1933</v>
      </c>
      <c r="F700" s="295" t="s">
        <v>1934</v>
      </c>
      <c r="G700" s="295" t="s">
        <v>1935</v>
      </c>
      <c r="H700" s="295" t="s">
        <v>1936</v>
      </c>
    </row>
    <row r="701" customFormat="false" ht="54.75" hidden="false" customHeight="true" outlineLevel="0" collapsed="false">
      <c r="A701" s="83"/>
      <c r="B701" s="300"/>
      <c r="C701" s="296" t="s">
        <v>1937</v>
      </c>
      <c r="D701" s="292" t="s">
        <v>2624</v>
      </c>
      <c r="E701" s="292" t="s">
        <v>1939</v>
      </c>
      <c r="F701" s="292" t="s">
        <v>1940</v>
      </c>
      <c r="G701" s="292" t="s">
        <v>1941</v>
      </c>
      <c r="H701" s="292" t="s">
        <v>1942</v>
      </c>
    </row>
    <row r="702" customFormat="false" ht="54.75" hidden="false" customHeight="true" outlineLevel="0" collapsed="false">
      <c r="A702" s="83"/>
      <c r="B702" s="300"/>
      <c r="C702" s="297" t="s">
        <v>1943</v>
      </c>
      <c r="D702" s="295" t="s">
        <v>2625</v>
      </c>
      <c r="E702" s="295" t="s">
        <v>1945</v>
      </c>
      <c r="F702" s="295" t="s">
        <v>1946</v>
      </c>
      <c r="G702" s="295" t="s">
        <v>1947</v>
      </c>
      <c r="H702" s="295" t="s">
        <v>1948</v>
      </c>
    </row>
    <row r="703" customFormat="false" ht="54.75" hidden="false" customHeight="true" outlineLevel="0" collapsed="false">
      <c r="A703" s="83"/>
      <c r="B703" s="300"/>
      <c r="C703" s="298" t="s">
        <v>1949</v>
      </c>
      <c r="D703" s="292" t="s">
        <v>2626</v>
      </c>
      <c r="E703" s="292" t="s">
        <v>1951</v>
      </c>
      <c r="F703" s="292" t="s">
        <v>1952</v>
      </c>
      <c r="G703" s="292" t="s">
        <v>1953</v>
      </c>
      <c r="H703" s="292" t="s">
        <v>1954</v>
      </c>
    </row>
    <row r="704" customFormat="false" ht="54.75" hidden="false" customHeight="true" outlineLevel="0" collapsed="false">
      <c r="A704" s="83" t="n">
        <v>140</v>
      </c>
      <c r="B704" s="290" t="s">
        <v>402</v>
      </c>
      <c r="C704" s="291" t="s">
        <v>1926</v>
      </c>
      <c r="D704" s="292" t="s">
        <v>2627</v>
      </c>
      <c r="E704" s="292" t="s">
        <v>1928</v>
      </c>
      <c r="F704" s="292" t="s">
        <v>58</v>
      </c>
      <c r="G704" s="292" t="s">
        <v>1929</v>
      </c>
      <c r="H704" s="292" t="s">
        <v>1930</v>
      </c>
    </row>
    <row r="705" customFormat="false" ht="54.75" hidden="false" customHeight="true" outlineLevel="0" collapsed="false">
      <c r="A705" s="83"/>
      <c r="B705" s="293"/>
      <c r="C705" s="294" t="s">
        <v>1931</v>
      </c>
      <c r="D705" s="295" t="s">
        <v>2603</v>
      </c>
      <c r="E705" s="295" t="s">
        <v>1933</v>
      </c>
      <c r="F705" s="295" t="s">
        <v>1934</v>
      </c>
      <c r="G705" s="295" t="s">
        <v>1935</v>
      </c>
      <c r="H705" s="295" t="s">
        <v>1936</v>
      </c>
    </row>
    <row r="706" customFormat="false" ht="54.75" hidden="false" customHeight="true" outlineLevel="0" collapsed="false">
      <c r="A706" s="83"/>
      <c r="B706" s="293"/>
      <c r="C706" s="296" t="s">
        <v>1937</v>
      </c>
      <c r="D706" s="292" t="s">
        <v>2628</v>
      </c>
      <c r="E706" s="292" t="s">
        <v>1939</v>
      </c>
      <c r="F706" s="292" t="s">
        <v>1940</v>
      </c>
      <c r="G706" s="292" t="s">
        <v>1941</v>
      </c>
      <c r="H706" s="292" t="s">
        <v>1942</v>
      </c>
    </row>
    <row r="707" customFormat="false" ht="54.75" hidden="false" customHeight="true" outlineLevel="0" collapsed="false">
      <c r="A707" s="83"/>
      <c r="B707" s="293"/>
      <c r="C707" s="297" t="s">
        <v>1943</v>
      </c>
      <c r="D707" s="295" t="s">
        <v>2629</v>
      </c>
      <c r="E707" s="295" t="s">
        <v>1945</v>
      </c>
      <c r="F707" s="295" t="s">
        <v>1946</v>
      </c>
      <c r="G707" s="295" t="s">
        <v>1947</v>
      </c>
      <c r="H707" s="295" t="s">
        <v>1948</v>
      </c>
    </row>
    <row r="708" customFormat="false" ht="54.75" hidden="false" customHeight="true" outlineLevel="0" collapsed="false">
      <c r="A708" s="83"/>
      <c r="B708" s="293"/>
      <c r="C708" s="298" t="s">
        <v>1949</v>
      </c>
      <c r="D708" s="292" t="s">
        <v>2630</v>
      </c>
      <c r="E708" s="292" t="s">
        <v>1951</v>
      </c>
      <c r="F708" s="292" t="s">
        <v>1952</v>
      </c>
      <c r="G708" s="292" t="s">
        <v>1953</v>
      </c>
      <c r="H708" s="292" t="s">
        <v>1954</v>
      </c>
    </row>
    <row r="709" customFormat="false" ht="54.75" hidden="false" customHeight="true" outlineLevel="0" collapsed="false">
      <c r="A709" s="83" t="n">
        <v>141</v>
      </c>
      <c r="B709" s="299" t="s">
        <v>403</v>
      </c>
      <c r="C709" s="291" t="s">
        <v>1926</v>
      </c>
      <c r="D709" s="292" t="s">
        <v>2631</v>
      </c>
      <c r="E709" s="292" t="s">
        <v>1928</v>
      </c>
      <c r="F709" s="292" t="s">
        <v>58</v>
      </c>
      <c r="G709" s="292" t="s">
        <v>1929</v>
      </c>
      <c r="H709" s="292" t="s">
        <v>1930</v>
      </c>
    </row>
    <row r="710" customFormat="false" ht="54.75" hidden="false" customHeight="true" outlineLevel="0" collapsed="false">
      <c r="A710" s="83"/>
      <c r="B710" s="300"/>
      <c r="C710" s="294" t="s">
        <v>1931</v>
      </c>
      <c r="D710" s="295" t="s">
        <v>2632</v>
      </c>
      <c r="E710" s="295" t="s">
        <v>1933</v>
      </c>
      <c r="F710" s="295" t="s">
        <v>1934</v>
      </c>
      <c r="G710" s="295" t="s">
        <v>1935</v>
      </c>
      <c r="H710" s="295" t="s">
        <v>1936</v>
      </c>
    </row>
    <row r="711" customFormat="false" ht="54.75" hidden="false" customHeight="true" outlineLevel="0" collapsed="false">
      <c r="A711" s="83"/>
      <c r="B711" s="300"/>
      <c r="C711" s="296" t="s">
        <v>1937</v>
      </c>
      <c r="D711" s="292" t="s">
        <v>2633</v>
      </c>
      <c r="E711" s="292" t="s">
        <v>1939</v>
      </c>
      <c r="F711" s="292" t="s">
        <v>1940</v>
      </c>
      <c r="G711" s="292" t="s">
        <v>1941</v>
      </c>
      <c r="H711" s="292" t="s">
        <v>1942</v>
      </c>
    </row>
    <row r="712" customFormat="false" ht="54.75" hidden="false" customHeight="true" outlineLevel="0" collapsed="false">
      <c r="A712" s="83"/>
      <c r="B712" s="300"/>
      <c r="C712" s="297" t="s">
        <v>1943</v>
      </c>
      <c r="D712" s="295" t="s">
        <v>2634</v>
      </c>
      <c r="E712" s="295" t="s">
        <v>1945</v>
      </c>
      <c r="F712" s="295" t="s">
        <v>1946</v>
      </c>
      <c r="G712" s="295" t="s">
        <v>1947</v>
      </c>
      <c r="H712" s="295" t="s">
        <v>1948</v>
      </c>
    </row>
    <row r="713" customFormat="false" ht="54.75" hidden="false" customHeight="true" outlineLevel="0" collapsed="false">
      <c r="A713" s="83"/>
      <c r="B713" s="300"/>
      <c r="C713" s="298" t="s">
        <v>1949</v>
      </c>
      <c r="D713" s="292" t="s">
        <v>2635</v>
      </c>
      <c r="E713" s="292" t="s">
        <v>1951</v>
      </c>
      <c r="F713" s="292" t="s">
        <v>1952</v>
      </c>
      <c r="G713" s="292" t="s">
        <v>1953</v>
      </c>
      <c r="H713" s="292" t="s">
        <v>1954</v>
      </c>
    </row>
    <row r="714" customFormat="false" ht="54.75" hidden="false" customHeight="true" outlineLevel="0" collapsed="false">
      <c r="A714" s="83" t="n">
        <v>142</v>
      </c>
      <c r="B714" s="290" t="s">
        <v>404</v>
      </c>
      <c r="C714" s="291" t="s">
        <v>1926</v>
      </c>
      <c r="D714" s="292" t="s">
        <v>2636</v>
      </c>
      <c r="E714" s="292" t="s">
        <v>1928</v>
      </c>
      <c r="F714" s="292" t="s">
        <v>58</v>
      </c>
      <c r="G714" s="292" t="s">
        <v>1929</v>
      </c>
      <c r="H714" s="292" t="s">
        <v>1930</v>
      </c>
    </row>
    <row r="715" customFormat="false" ht="54.75" hidden="false" customHeight="true" outlineLevel="0" collapsed="false">
      <c r="A715" s="83"/>
      <c r="B715" s="293"/>
      <c r="C715" s="294" t="s">
        <v>1931</v>
      </c>
      <c r="D715" s="295" t="s">
        <v>2632</v>
      </c>
      <c r="E715" s="295" t="s">
        <v>1933</v>
      </c>
      <c r="F715" s="295" t="s">
        <v>1934</v>
      </c>
      <c r="G715" s="295" t="s">
        <v>1935</v>
      </c>
      <c r="H715" s="295" t="s">
        <v>1936</v>
      </c>
    </row>
    <row r="716" customFormat="false" ht="54.75" hidden="false" customHeight="true" outlineLevel="0" collapsed="false">
      <c r="A716" s="83"/>
      <c r="B716" s="293"/>
      <c r="C716" s="296" t="s">
        <v>1937</v>
      </c>
      <c r="D716" s="292" t="s">
        <v>2637</v>
      </c>
      <c r="E716" s="292" t="s">
        <v>1939</v>
      </c>
      <c r="F716" s="292" t="s">
        <v>1940</v>
      </c>
      <c r="G716" s="292" t="s">
        <v>1941</v>
      </c>
      <c r="H716" s="292" t="s">
        <v>1942</v>
      </c>
    </row>
    <row r="717" customFormat="false" ht="54.75" hidden="false" customHeight="true" outlineLevel="0" collapsed="false">
      <c r="A717" s="83"/>
      <c r="B717" s="293"/>
      <c r="C717" s="297" t="s">
        <v>1943</v>
      </c>
      <c r="D717" s="295" t="s">
        <v>2638</v>
      </c>
      <c r="E717" s="295" t="s">
        <v>1945</v>
      </c>
      <c r="F717" s="295" t="s">
        <v>1946</v>
      </c>
      <c r="G717" s="295" t="s">
        <v>1947</v>
      </c>
      <c r="H717" s="295" t="s">
        <v>1948</v>
      </c>
    </row>
    <row r="718" customFormat="false" ht="54.75" hidden="false" customHeight="true" outlineLevel="0" collapsed="false">
      <c r="A718" s="83"/>
      <c r="B718" s="293"/>
      <c r="C718" s="298" t="s">
        <v>1949</v>
      </c>
      <c r="D718" s="292" t="s">
        <v>2639</v>
      </c>
      <c r="E718" s="292" t="s">
        <v>1951</v>
      </c>
      <c r="F718" s="292" t="s">
        <v>1952</v>
      </c>
      <c r="G718" s="292" t="s">
        <v>1953</v>
      </c>
      <c r="H718" s="292" t="s">
        <v>1954</v>
      </c>
    </row>
    <row r="719" customFormat="false" ht="54.75" hidden="false" customHeight="true" outlineLevel="0" collapsed="false">
      <c r="A719" s="83" t="n">
        <v>143</v>
      </c>
      <c r="B719" s="299" t="s">
        <v>405</v>
      </c>
      <c r="C719" s="291" t="s">
        <v>1926</v>
      </c>
      <c r="D719" s="292" t="s">
        <v>2640</v>
      </c>
      <c r="E719" s="292" t="s">
        <v>1928</v>
      </c>
      <c r="F719" s="292" t="s">
        <v>58</v>
      </c>
      <c r="G719" s="292" t="s">
        <v>1929</v>
      </c>
      <c r="H719" s="292" t="s">
        <v>1930</v>
      </c>
    </row>
    <row r="720" customFormat="false" ht="54.75" hidden="false" customHeight="true" outlineLevel="0" collapsed="false">
      <c r="A720" s="83"/>
      <c r="B720" s="300"/>
      <c r="C720" s="294" t="s">
        <v>1931</v>
      </c>
      <c r="D720" s="295" t="s">
        <v>2632</v>
      </c>
      <c r="E720" s="295" t="s">
        <v>1933</v>
      </c>
      <c r="F720" s="295" t="s">
        <v>1934</v>
      </c>
      <c r="G720" s="295" t="s">
        <v>1935</v>
      </c>
      <c r="H720" s="295" t="s">
        <v>1936</v>
      </c>
    </row>
    <row r="721" customFormat="false" ht="54.75" hidden="false" customHeight="true" outlineLevel="0" collapsed="false">
      <c r="A721" s="83"/>
      <c r="B721" s="300"/>
      <c r="C721" s="296" t="s">
        <v>1937</v>
      </c>
      <c r="D721" s="292" t="s">
        <v>2641</v>
      </c>
      <c r="E721" s="292" t="s">
        <v>1939</v>
      </c>
      <c r="F721" s="292" t="s">
        <v>1940</v>
      </c>
      <c r="G721" s="292" t="s">
        <v>1941</v>
      </c>
      <c r="H721" s="292" t="s">
        <v>1942</v>
      </c>
    </row>
    <row r="722" customFormat="false" ht="54.75" hidden="false" customHeight="true" outlineLevel="0" collapsed="false">
      <c r="A722" s="83"/>
      <c r="B722" s="300"/>
      <c r="C722" s="297" t="s">
        <v>1943</v>
      </c>
      <c r="D722" s="295" t="s">
        <v>2642</v>
      </c>
      <c r="E722" s="295" t="s">
        <v>1945</v>
      </c>
      <c r="F722" s="295" t="s">
        <v>1946</v>
      </c>
      <c r="G722" s="295" t="s">
        <v>1947</v>
      </c>
      <c r="H722" s="295" t="s">
        <v>1948</v>
      </c>
    </row>
    <row r="723" customFormat="false" ht="54.75" hidden="false" customHeight="true" outlineLevel="0" collapsed="false">
      <c r="A723" s="83"/>
      <c r="B723" s="300"/>
      <c r="C723" s="298" t="s">
        <v>1949</v>
      </c>
      <c r="D723" s="292" t="s">
        <v>2643</v>
      </c>
      <c r="E723" s="292" t="s">
        <v>1951</v>
      </c>
      <c r="F723" s="292" t="s">
        <v>1952</v>
      </c>
      <c r="G723" s="292" t="s">
        <v>1953</v>
      </c>
      <c r="H723" s="292" t="s">
        <v>1954</v>
      </c>
    </row>
    <row r="724" customFormat="false" ht="54.75" hidden="false" customHeight="true" outlineLevel="0" collapsed="false">
      <c r="A724" s="83" t="n">
        <v>144</v>
      </c>
      <c r="B724" s="290" t="s">
        <v>406</v>
      </c>
      <c r="C724" s="291" t="s">
        <v>1926</v>
      </c>
      <c r="D724" s="292" t="s">
        <v>2644</v>
      </c>
      <c r="E724" s="292" t="s">
        <v>1928</v>
      </c>
      <c r="F724" s="292" t="s">
        <v>58</v>
      </c>
      <c r="G724" s="292" t="s">
        <v>1929</v>
      </c>
      <c r="H724" s="292" t="s">
        <v>1930</v>
      </c>
    </row>
    <row r="725" customFormat="false" ht="54.75" hidden="false" customHeight="true" outlineLevel="0" collapsed="false">
      <c r="A725" s="83"/>
      <c r="B725" s="293"/>
      <c r="C725" s="294" t="s">
        <v>1931</v>
      </c>
      <c r="D725" s="295" t="s">
        <v>2645</v>
      </c>
      <c r="E725" s="295" t="s">
        <v>1933</v>
      </c>
      <c r="F725" s="295" t="s">
        <v>1934</v>
      </c>
      <c r="G725" s="295" t="s">
        <v>1935</v>
      </c>
      <c r="H725" s="295" t="s">
        <v>1936</v>
      </c>
    </row>
    <row r="726" customFormat="false" ht="54.75" hidden="false" customHeight="true" outlineLevel="0" collapsed="false">
      <c r="A726" s="83"/>
      <c r="B726" s="293"/>
      <c r="C726" s="296" t="s">
        <v>1937</v>
      </c>
      <c r="D726" s="292" t="s">
        <v>2646</v>
      </c>
      <c r="E726" s="292" t="s">
        <v>1939</v>
      </c>
      <c r="F726" s="292" t="s">
        <v>1940</v>
      </c>
      <c r="G726" s="292" t="s">
        <v>1941</v>
      </c>
      <c r="H726" s="292" t="s">
        <v>1942</v>
      </c>
    </row>
    <row r="727" customFormat="false" ht="54.75" hidden="false" customHeight="true" outlineLevel="0" collapsed="false">
      <c r="A727" s="83"/>
      <c r="B727" s="293"/>
      <c r="C727" s="297" t="s">
        <v>1943</v>
      </c>
      <c r="D727" s="295" t="s">
        <v>2647</v>
      </c>
      <c r="E727" s="295" t="s">
        <v>1945</v>
      </c>
      <c r="F727" s="295" t="s">
        <v>1946</v>
      </c>
      <c r="G727" s="295" t="s">
        <v>1947</v>
      </c>
      <c r="H727" s="295" t="s">
        <v>1948</v>
      </c>
    </row>
    <row r="728" customFormat="false" ht="54.75" hidden="false" customHeight="true" outlineLevel="0" collapsed="false">
      <c r="A728" s="83"/>
      <c r="B728" s="293"/>
      <c r="C728" s="298" t="s">
        <v>1949</v>
      </c>
      <c r="D728" s="292" t="s">
        <v>2648</v>
      </c>
      <c r="E728" s="292" t="s">
        <v>1951</v>
      </c>
      <c r="F728" s="292" t="s">
        <v>1952</v>
      </c>
      <c r="G728" s="292" t="s">
        <v>1953</v>
      </c>
      <c r="H728" s="292" t="s">
        <v>1954</v>
      </c>
    </row>
    <row r="729" customFormat="false" ht="54.75" hidden="false" customHeight="true" outlineLevel="0" collapsed="false">
      <c r="A729" s="83" t="n">
        <v>145</v>
      </c>
      <c r="B729" s="299" t="s">
        <v>407</v>
      </c>
      <c r="C729" s="291" t="s">
        <v>1926</v>
      </c>
      <c r="D729" s="292" t="s">
        <v>2649</v>
      </c>
      <c r="E729" s="292" t="s">
        <v>1928</v>
      </c>
      <c r="F729" s="292" t="s">
        <v>58</v>
      </c>
      <c r="G729" s="292" t="s">
        <v>1929</v>
      </c>
      <c r="H729" s="292" t="s">
        <v>1930</v>
      </c>
    </row>
    <row r="730" customFormat="false" ht="54.75" hidden="false" customHeight="true" outlineLevel="0" collapsed="false">
      <c r="A730" s="83"/>
      <c r="B730" s="300"/>
      <c r="C730" s="294" t="s">
        <v>1931</v>
      </c>
      <c r="D730" s="295" t="s">
        <v>2645</v>
      </c>
      <c r="E730" s="295" t="s">
        <v>1933</v>
      </c>
      <c r="F730" s="295" t="s">
        <v>1934</v>
      </c>
      <c r="G730" s="295" t="s">
        <v>1935</v>
      </c>
      <c r="H730" s="295" t="s">
        <v>1936</v>
      </c>
    </row>
    <row r="731" customFormat="false" ht="54.75" hidden="false" customHeight="true" outlineLevel="0" collapsed="false">
      <c r="A731" s="83"/>
      <c r="B731" s="300"/>
      <c r="C731" s="296" t="s">
        <v>1937</v>
      </c>
      <c r="D731" s="292" t="s">
        <v>2650</v>
      </c>
      <c r="E731" s="292" t="s">
        <v>1939</v>
      </c>
      <c r="F731" s="292" t="s">
        <v>1940</v>
      </c>
      <c r="G731" s="292" t="s">
        <v>1941</v>
      </c>
      <c r="H731" s="292" t="s">
        <v>1942</v>
      </c>
    </row>
    <row r="732" customFormat="false" ht="54.75" hidden="false" customHeight="true" outlineLevel="0" collapsed="false">
      <c r="A732" s="83"/>
      <c r="B732" s="300"/>
      <c r="C732" s="297" t="s">
        <v>1943</v>
      </c>
      <c r="D732" s="295" t="s">
        <v>2651</v>
      </c>
      <c r="E732" s="295" t="s">
        <v>1945</v>
      </c>
      <c r="F732" s="295" t="s">
        <v>1946</v>
      </c>
      <c r="G732" s="295" t="s">
        <v>1947</v>
      </c>
      <c r="H732" s="295" t="s">
        <v>1948</v>
      </c>
    </row>
    <row r="733" customFormat="false" ht="54.75" hidden="false" customHeight="true" outlineLevel="0" collapsed="false">
      <c r="A733" s="83"/>
      <c r="B733" s="300"/>
      <c r="C733" s="298" t="s">
        <v>1949</v>
      </c>
      <c r="D733" s="292" t="s">
        <v>2652</v>
      </c>
      <c r="E733" s="292" t="s">
        <v>1951</v>
      </c>
      <c r="F733" s="292" t="s">
        <v>1952</v>
      </c>
      <c r="G733" s="292" t="s">
        <v>1953</v>
      </c>
      <c r="H733" s="292" t="s">
        <v>1954</v>
      </c>
    </row>
    <row r="734" customFormat="false" ht="54.75" hidden="false" customHeight="true" outlineLevel="0" collapsed="false">
      <c r="A734" s="83" t="n">
        <v>146</v>
      </c>
      <c r="B734" s="290" t="s">
        <v>408</v>
      </c>
      <c r="C734" s="291" t="s">
        <v>1926</v>
      </c>
      <c r="D734" s="292" t="s">
        <v>2653</v>
      </c>
      <c r="E734" s="292" t="s">
        <v>1928</v>
      </c>
      <c r="F734" s="292" t="s">
        <v>58</v>
      </c>
      <c r="G734" s="292" t="s">
        <v>1929</v>
      </c>
      <c r="H734" s="292" t="s">
        <v>1930</v>
      </c>
    </row>
    <row r="735" customFormat="false" ht="54.75" hidden="false" customHeight="true" outlineLevel="0" collapsed="false">
      <c r="A735" s="83"/>
      <c r="B735" s="293"/>
      <c r="C735" s="294" t="s">
        <v>1931</v>
      </c>
      <c r="D735" s="295" t="s">
        <v>2645</v>
      </c>
      <c r="E735" s="295" t="s">
        <v>1933</v>
      </c>
      <c r="F735" s="295" t="s">
        <v>1934</v>
      </c>
      <c r="G735" s="295" t="s">
        <v>1935</v>
      </c>
      <c r="H735" s="295" t="s">
        <v>1936</v>
      </c>
    </row>
    <row r="736" customFormat="false" ht="54.75" hidden="false" customHeight="true" outlineLevel="0" collapsed="false">
      <c r="A736" s="83"/>
      <c r="B736" s="293"/>
      <c r="C736" s="296" t="s">
        <v>1937</v>
      </c>
      <c r="D736" s="292" t="s">
        <v>2654</v>
      </c>
      <c r="E736" s="292" t="s">
        <v>1939</v>
      </c>
      <c r="F736" s="292" t="s">
        <v>1940</v>
      </c>
      <c r="G736" s="292" t="s">
        <v>1941</v>
      </c>
      <c r="H736" s="292" t="s">
        <v>1942</v>
      </c>
    </row>
    <row r="737" customFormat="false" ht="54.75" hidden="false" customHeight="true" outlineLevel="0" collapsed="false">
      <c r="A737" s="83"/>
      <c r="B737" s="293"/>
      <c r="C737" s="297" t="s">
        <v>1943</v>
      </c>
      <c r="D737" s="295" t="s">
        <v>2655</v>
      </c>
      <c r="E737" s="295" t="s">
        <v>1945</v>
      </c>
      <c r="F737" s="295" t="s">
        <v>1946</v>
      </c>
      <c r="G737" s="295" t="s">
        <v>1947</v>
      </c>
      <c r="H737" s="295" t="s">
        <v>1948</v>
      </c>
    </row>
    <row r="738" customFormat="false" ht="54.75" hidden="false" customHeight="true" outlineLevel="0" collapsed="false">
      <c r="A738" s="83"/>
      <c r="B738" s="293"/>
      <c r="C738" s="298" t="s">
        <v>1949</v>
      </c>
      <c r="D738" s="292" t="s">
        <v>2656</v>
      </c>
      <c r="E738" s="292" t="s">
        <v>1951</v>
      </c>
      <c r="F738" s="292" t="s">
        <v>1952</v>
      </c>
      <c r="G738" s="292" t="s">
        <v>1953</v>
      </c>
      <c r="H738" s="292" t="s">
        <v>1954</v>
      </c>
    </row>
    <row r="739" customFormat="false" ht="54.75" hidden="false" customHeight="true" outlineLevel="0" collapsed="false">
      <c r="A739" s="83" t="n">
        <v>147</v>
      </c>
      <c r="B739" s="299" t="s">
        <v>409</v>
      </c>
      <c r="C739" s="291" t="s">
        <v>1926</v>
      </c>
      <c r="D739" s="292" t="s">
        <v>2657</v>
      </c>
      <c r="E739" s="292" t="s">
        <v>1928</v>
      </c>
      <c r="F739" s="292" t="s">
        <v>58</v>
      </c>
      <c r="G739" s="292" t="s">
        <v>1929</v>
      </c>
      <c r="H739" s="292" t="s">
        <v>1930</v>
      </c>
    </row>
    <row r="740" customFormat="false" ht="54.75" hidden="false" customHeight="true" outlineLevel="0" collapsed="false">
      <c r="A740" s="83"/>
      <c r="B740" s="300"/>
      <c r="C740" s="294" t="s">
        <v>1931</v>
      </c>
      <c r="D740" s="295" t="s">
        <v>2645</v>
      </c>
      <c r="E740" s="295" t="s">
        <v>1933</v>
      </c>
      <c r="F740" s="295" t="s">
        <v>1934</v>
      </c>
      <c r="G740" s="295" t="s">
        <v>1935</v>
      </c>
      <c r="H740" s="295" t="s">
        <v>1936</v>
      </c>
    </row>
    <row r="741" customFormat="false" ht="54.75" hidden="false" customHeight="true" outlineLevel="0" collapsed="false">
      <c r="A741" s="83"/>
      <c r="B741" s="300"/>
      <c r="C741" s="296" t="s">
        <v>1937</v>
      </c>
      <c r="D741" s="292" t="s">
        <v>2658</v>
      </c>
      <c r="E741" s="292" t="s">
        <v>1939</v>
      </c>
      <c r="F741" s="292" t="s">
        <v>1940</v>
      </c>
      <c r="G741" s="292" t="s">
        <v>1941</v>
      </c>
      <c r="H741" s="292" t="s">
        <v>1942</v>
      </c>
    </row>
    <row r="742" customFormat="false" ht="54.75" hidden="false" customHeight="true" outlineLevel="0" collapsed="false">
      <c r="A742" s="83"/>
      <c r="B742" s="300"/>
      <c r="C742" s="297" t="s">
        <v>1943</v>
      </c>
      <c r="D742" s="295" t="s">
        <v>2659</v>
      </c>
      <c r="E742" s="295" t="s">
        <v>1945</v>
      </c>
      <c r="F742" s="295" t="s">
        <v>1946</v>
      </c>
      <c r="G742" s="295" t="s">
        <v>1947</v>
      </c>
      <c r="H742" s="295" t="s">
        <v>1948</v>
      </c>
    </row>
    <row r="743" customFormat="false" ht="54.75" hidden="false" customHeight="true" outlineLevel="0" collapsed="false">
      <c r="A743" s="83"/>
      <c r="B743" s="300"/>
      <c r="C743" s="298" t="s">
        <v>1949</v>
      </c>
      <c r="D743" s="292" t="s">
        <v>2660</v>
      </c>
      <c r="E743" s="292" t="s">
        <v>1951</v>
      </c>
      <c r="F743" s="292" t="s">
        <v>1952</v>
      </c>
      <c r="G743" s="292" t="s">
        <v>1953</v>
      </c>
      <c r="H743" s="292" t="s">
        <v>1954</v>
      </c>
    </row>
    <row r="744" customFormat="false" ht="54.75" hidden="false" customHeight="true" outlineLevel="0" collapsed="false">
      <c r="A744" s="83" t="n">
        <v>148</v>
      </c>
      <c r="B744" s="290" t="s">
        <v>410</v>
      </c>
      <c r="C744" s="291" t="s">
        <v>1926</v>
      </c>
      <c r="D744" s="292" t="s">
        <v>2661</v>
      </c>
      <c r="E744" s="292" t="s">
        <v>1928</v>
      </c>
      <c r="F744" s="292" t="s">
        <v>58</v>
      </c>
      <c r="G744" s="292" t="s">
        <v>1929</v>
      </c>
      <c r="H744" s="292" t="s">
        <v>1930</v>
      </c>
    </row>
    <row r="745" customFormat="false" ht="54.75" hidden="false" customHeight="true" outlineLevel="0" collapsed="false">
      <c r="A745" s="83"/>
      <c r="B745" s="293"/>
      <c r="C745" s="294" t="s">
        <v>1931</v>
      </c>
      <c r="D745" s="295" t="s">
        <v>2645</v>
      </c>
      <c r="E745" s="295" t="s">
        <v>1933</v>
      </c>
      <c r="F745" s="295" t="s">
        <v>1934</v>
      </c>
      <c r="G745" s="295" t="s">
        <v>1935</v>
      </c>
      <c r="H745" s="295" t="s">
        <v>1936</v>
      </c>
    </row>
    <row r="746" customFormat="false" ht="54.75" hidden="false" customHeight="true" outlineLevel="0" collapsed="false">
      <c r="A746" s="83"/>
      <c r="B746" s="293"/>
      <c r="C746" s="296" t="s">
        <v>1937</v>
      </c>
      <c r="D746" s="292" t="s">
        <v>2662</v>
      </c>
      <c r="E746" s="292" t="s">
        <v>1939</v>
      </c>
      <c r="F746" s="292" t="s">
        <v>1940</v>
      </c>
      <c r="G746" s="292" t="s">
        <v>1941</v>
      </c>
      <c r="H746" s="292" t="s">
        <v>1942</v>
      </c>
    </row>
    <row r="747" customFormat="false" ht="54.75" hidden="false" customHeight="true" outlineLevel="0" collapsed="false">
      <c r="A747" s="83"/>
      <c r="B747" s="293"/>
      <c r="C747" s="297" t="s">
        <v>1943</v>
      </c>
      <c r="D747" s="295" t="s">
        <v>2663</v>
      </c>
      <c r="E747" s="295" t="s">
        <v>1945</v>
      </c>
      <c r="F747" s="295" t="s">
        <v>1946</v>
      </c>
      <c r="G747" s="295" t="s">
        <v>1947</v>
      </c>
      <c r="H747" s="295" t="s">
        <v>1948</v>
      </c>
    </row>
    <row r="748" customFormat="false" ht="54.75" hidden="false" customHeight="true" outlineLevel="0" collapsed="false">
      <c r="A748" s="83"/>
      <c r="B748" s="293"/>
      <c r="C748" s="298" t="s">
        <v>1949</v>
      </c>
      <c r="D748" s="292" t="s">
        <v>2664</v>
      </c>
      <c r="E748" s="292" t="s">
        <v>1951</v>
      </c>
      <c r="F748" s="292" t="s">
        <v>1952</v>
      </c>
      <c r="G748" s="292" t="s">
        <v>1953</v>
      </c>
      <c r="H748" s="292" t="s">
        <v>1954</v>
      </c>
    </row>
    <row r="749" customFormat="false" ht="54.75" hidden="false" customHeight="true" outlineLevel="0" collapsed="false">
      <c r="A749" s="83" t="n">
        <v>149</v>
      </c>
      <c r="B749" s="299" t="s">
        <v>411</v>
      </c>
      <c r="C749" s="291" t="s">
        <v>1926</v>
      </c>
      <c r="D749" s="292" t="s">
        <v>2665</v>
      </c>
      <c r="E749" s="292" t="s">
        <v>1928</v>
      </c>
      <c r="F749" s="292" t="s">
        <v>58</v>
      </c>
      <c r="G749" s="292" t="s">
        <v>1929</v>
      </c>
      <c r="H749" s="292" t="s">
        <v>1930</v>
      </c>
    </row>
    <row r="750" customFormat="false" ht="54.75" hidden="false" customHeight="true" outlineLevel="0" collapsed="false">
      <c r="A750" s="83"/>
      <c r="B750" s="300"/>
      <c r="C750" s="294" t="s">
        <v>1931</v>
      </c>
      <c r="D750" s="295" t="s">
        <v>2645</v>
      </c>
      <c r="E750" s="295" t="s">
        <v>1933</v>
      </c>
      <c r="F750" s="295" t="s">
        <v>1934</v>
      </c>
      <c r="G750" s="295" t="s">
        <v>1935</v>
      </c>
      <c r="H750" s="295" t="s">
        <v>1936</v>
      </c>
    </row>
    <row r="751" customFormat="false" ht="54.75" hidden="false" customHeight="true" outlineLevel="0" collapsed="false">
      <c r="A751" s="83"/>
      <c r="B751" s="300"/>
      <c r="C751" s="296" t="s">
        <v>1937</v>
      </c>
      <c r="D751" s="292" t="s">
        <v>2666</v>
      </c>
      <c r="E751" s="292" t="s">
        <v>1939</v>
      </c>
      <c r="F751" s="292" t="s">
        <v>1940</v>
      </c>
      <c r="G751" s="292" t="s">
        <v>1941</v>
      </c>
      <c r="H751" s="292" t="s">
        <v>1942</v>
      </c>
    </row>
    <row r="752" customFormat="false" ht="54.75" hidden="false" customHeight="true" outlineLevel="0" collapsed="false">
      <c r="A752" s="83"/>
      <c r="B752" s="300"/>
      <c r="C752" s="297" t="s">
        <v>1943</v>
      </c>
      <c r="D752" s="295" t="s">
        <v>2667</v>
      </c>
      <c r="E752" s="295" t="s">
        <v>1945</v>
      </c>
      <c r="F752" s="295" t="s">
        <v>1946</v>
      </c>
      <c r="G752" s="295" t="s">
        <v>1947</v>
      </c>
      <c r="H752" s="295" t="s">
        <v>1948</v>
      </c>
    </row>
    <row r="753" customFormat="false" ht="54.75" hidden="false" customHeight="true" outlineLevel="0" collapsed="false">
      <c r="A753" s="83"/>
      <c r="B753" s="300"/>
      <c r="C753" s="298" t="s">
        <v>1949</v>
      </c>
      <c r="D753" s="292" t="s">
        <v>2668</v>
      </c>
      <c r="E753" s="292" t="s">
        <v>1951</v>
      </c>
      <c r="F753" s="292" t="s">
        <v>1952</v>
      </c>
      <c r="G753" s="292" t="s">
        <v>1953</v>
      </c>
      <c r="H753" s="292" t="s">
        <v>1954</v>
      </c>
    </row>
    <row r="754" customFormat="false" ht="54.75" hidden="false" customHeight="true" outlineLevel="0" collapsed="false">
      <c r="A754" s="83" t="n">
        <v>150</v>
      </c>
      <c r="B754" s="290" t="s">
        <v>412</v>
      </c>
      <c r="C754" s="291" t="s">
        <v>1926</v>
      </c>
      <c r="D754" s="292" t="s">
        <v>2669</v>
      </c>
      <c r="E754" s="292" t="s">
        <v>1928</v>
      </c>
      <c r="F754" s="292" t="s">
        <v>58</v>
      </c>
      <c r="G754" s="292" t="s">
        <v>1929</v>
      </c>
      <c r="H754" s="292" t="s">
        <v>1930</v>
      </c>
    </row>
    <row r="755" customFormat="false" ht="54.75" hidden="false" customHeight="true" outlineLevel="0" collapsed="false">
      <c r="A755" s="83"/>
      <c r="B755" s="293"/>
      <c r="C755" s="294" t="s">
        <v>1931</v>
      </c>
      <c r="D755" s="295" t="s">
        <v>2645</v>
      </c>
      <c r="E755" s="295" t="s">
        <v>1933</v>
      </c>
      <c r="F755" s="295" t="s">
        <v>1934</v>
      </c>
      <c r="G755" s="295" t="s">
        <v>1935</v>
      </c>
      <c r="H755" s="295" t="s">
        <v>1936</v>
      </c>
    </row>
    <row r="756" customFormat="false" ht="54.75" hidden="false" customHeight="true" outlineLevel="0" collapsed="false">
      <c r="A756" s="83"/>
      <c r="B756" s="293"/>
      <c r="C756" s="296" t="s">
        <v>1937</v>
      </c>
      <c r="D756" s="292" t="s">
        <v>2670</v>
      </c>
      <c r="E756" s="292" t="s">
        <v>1939</v>
      </c>
      <c r="F756" s="292" t="s">
        <v>1940</v>
      </c>
      <c r="G756" s="292" t="s">
        <v>1941</v>
      </c>
      <c r="H756" s="292" t="s">
        <v>1942</v>
      </c>
    </row>
    <row r="757" customFormat="false" ht="54.75" hidden="false" customHeight="true" outlineLevel="0" collapsed="false">
      <c r="A757" s="83"/>
      <c r="B757" s="293"/>
      <c r="C757" s="297" t="s">
        <v>1943</v>
      </c>
      <c r="D757" s="295" t="s">
        <v>2671</v>
      </c>
      <c r="E757" s="295" t="s">
        <v>1945</v>
      </c>
      <c r="F757" s="295" t="s">
        <v>1946</v>
      </c>
      <c r="G757" s="295" t="s">
        <v>1947</v>
      </c>
      <c r="H757" s="295" t="s">
        <v>1948</v>
      </c>
    </row>
    <row r="758" customFormat="false" ht="54.75" hidden="false" customHeight="true" outlineLevel="0" collapsed="false">
      <c r="A758" s="83"/>
      <c r="B758" s="293"/>
      <c r="C758" s="298" t="s">
        <v>1949</v>
      </c>
      <c r="D758" s="292" t="s">
        <v>2672</v>
      </c>
      <c r="E758" s="292" t="s">
        <v>1951</v>
      </c>
      <c r="F758" s="292" t="s">
        <v>1952</v>
      </c>
      <c r="G758" s="292" t="s">
        <v>1953</v>
      </c>
      <c r="H758" s="292" t="s">
        <v>1954</v>
      </c>
    </row>
    <row r="759" customFormat="false" ht="54.75" hidden="false" customHeight="true" outlineLevel="0" collapsed="false">
      <c r="A759" s="83" t="n">
        <v>151</v>
      </c>
      <c r="B759" s="299" t="s">
        <v>413</v>
      </c>
      <c r="C759" s="291" t="s">
        <v>1926</v>
      </c>
      <c r="D759" s="292" t="s">
        <v>2673</v>
      </c>
      <c r="E759" s="292" t="s">
        <v>1928</v>
      </c>
      <c r="F759" s="292" t="s">
        <v>58</v>
      </c>
      <c r="G759" s="292" t="s">
        <v>1929</v>
      </c>
      <c r="H759" s="292" t="s">
        <v>1930</v>
      </c>
    </row>
    <row r="760" customFormat="false" ht="54.75" hidden="false" customHeight="true" outlineLevel="0" collapsed="false">
      <c r="A760" s="83"/>
      <c r="B760" s="300"/>
      <c r="C760" s="294" t="s">
        <v>1931</v>
      </c>
      <c r="D760" s="295" t="s">
        <v>2645</v>
      </c>
      <c r="E760" s="295" t="s">
        <v>1933</v>
      </c>
      <c r="F760" s="295" t="s">
        <v>1934</v>
      </c>
      <c r="G760" s="295" t="s">
        <v>1935</v>
      </c>
      <c r="H760" s="295" t="s">
        <v>1936</v>
      </c>
    </row>
    <row r="761" customFormat="false" ht="54.75" hidden="false" customHeight="true" outlineLevel="0" collapsed="false">
      <c r="A761" s="83"/>
      <c r="B761" s="300"/>
      <c r="C761" s="296" t="s">
        <v>1937</v>
      </c>
      <c r="D761" s="292" t="s">
        <v>2674</v>
      </c>
      <c r="E761" s="292" t="s">
        <v>1939</v>
      </c>
      <c r="F761" s="292" t="s">
        <v>1940</v>
      </c>
      <c r="G761" s="292" t="s">
        <v>1941</v>
      </c>
      <c r="H761" s="292" t="s">
        <v>1942</v>
      </c>
    </row>
    <row r="762" customFormat="false" ht="54.75" hidden="false" customHeight="true" outlineLevel="0" collapsed="false">
      <c r="A762" s="83"/>
      <c r="B762" s="300"/>
      <c r="C762" s="297" t="s">
        <v>1943</v>
      </c>
      <c r="D762" s="295" t="s">
        <v>2675</v>
      </c>
      <c r="E762" s="295" t="s">
        <v>1945</v>
      </c>
      <c r="F762" s="295" t="s">
        <v>1946</v>
      </c>
      <c r="G762" s="295" t="s">
        <v>1947</v>
      </c>
      <c r="H762" s="295" t="s">
        <v>1948</v>
      </c>
    </row>
    <row r="763" customFormat="false" ht="54.75" hidden="false" customHeight="true" outlineLevel="0" collapsed="false">
      <c r="A763" s="83"/>
      <c r="B763" s="300"/>
      <c r="C763" s="298" t="s">
        <v>1949</v>
      </c>
      <c r="D763" s="292" t="s">
        <v>2676</v>
      </c>
      <c r="E763" s="292" t="s">
        <v>1951</v>
      </c>
      <c r="F763" s="292" t="s">
        <v>1952</v>
      </c>
      <c r="G763" s="292" t="s">
        <v>1953</v>
      </c>
      <c r="H763" s="292" t="s">
        <v>1954</v>
      </c>
    </row>
    <row r="764" customFormat="false" ht="54.75" hidden="false" customHeight="true" outlineLevel="0" collapsed="false">
      <c r="A764" s="83" t="n">
        <v>152</v>
      </c>
      <c r="B764" s="290" t="s">
        <v>414</v>
      </c>
      <c r="C764" s="291" t="s">
        <v>1926</v>
      </c>
      <c r="D764" s="292" t="s">
        <v>2677</v>
      </c>
      <c r="E764" s="292" t="s">
        <v>1928</v>
      </c>
      <c r="F764" s="292" t="s">
        <v>58</v>
      </c>
      <c r="G764" s="292" t="s">
        <v>1929</v>
      </c>
      <c r="H764" s="292" t="s">
        <v>1930</v>
      </c>
    </row>
    <row r="765" customFormat="false" ht="54.75" hidden="false" customHeight="true" outlineLevel="0" collapsed="false">
      <c r="A765" s="83"/>
      <c r="B765" s="293"/>
      <c r="C765" s="294" t="s">
        <v>1931</v>
      </c>
      <c r="D765" s="295" t="s">
        <v>2678</v>
      </c>
      <c r="E765" s="295" t="s">
        <v>1933</v>
      </c>
      <c r="F765" s="295" t="s">
        <v>1934</v>
      </c>
      <c r="G765" s="295" t="s">
        <v>1935</v>
      </c>
      <c r="H765" s="295" t="s">
        <v>1936</v>
      </c>
    </row>
    <row r="766" customFormat="false" ht="54.75" hidden="false" customHeight="true" outlineLevel="0" collapsed="false">
      <c r="A766" s="83"/>
      <c r="B766" s="293"/>
      <c r="C766" s="296" t="s">
        <v>1937</v>
      </c>
      <c r="D766" s="292" t="s">
        <v>2679</v>
      </c>
      <c r="E766" s="292" t="s">
        <v>1939</v>
      </c>
      <c r="F766" s="292" t="s">
        <v>1940</v>
      </c>
      <c r="G766" s="292" t="s">
        <v>1941</v>
      </c>
      <c r="H766" s="292" t="s">
        <v>1942</v>
      </c>
    </row>
    <row r="767" customFormat="false" ht="54.75" hidden="false" customHeight="true" outlineLevel="0" collapsed="false">
      <c r="A767" s="83"/>
      <c r="B767" s="293"/>
      <c r="C767" s="297" t="s">
        <v>1943</v>
      </c>
      <c r="D767" s="295" t="s">
        <v>2680</v>
      </c>
      <c r="E767" s="295" t="s">
        <v>1945</v>
      </c>
      <c r="F767" s="295" t="s">
        <v>1946</v>
      </c>
      <c r="G767" s="295" t="s">
        <v>1947</v>
      </c>
      <c r="H767" s="295" t="s">
        <v>1948</v>
      </c>
    </row>
    <row r="768" customFormat="false" ht="54.75" hidden="false" customHeight="true" outlineLevel="0" collapsed="false">
      <c r="A768" s="83"/>
      <c r="B768" s="293"/>
      <c r="C768" s="298" t="s">
        <v>1949</v>
      </c>
      <c r="D768" s="292" t="s">
        <v>2681</v>
      </c>
      <c r="E768" s="292" t="s">
        <v>1951</v>
      </c>
      <c r="F768" s="292" t="s">
        <v>1952</v>
      </c>
      <c r="G768" s="292" t="s">
        <v>1953</v>
      </c>
      <c r="H768" s="292" t="s">
        <v>1954</v>
      </c>
    </row>
    <row r="769" customFormat="false" ht="54.75" hidden="false" customHeight="true" outlineLevel="0" collapsed="false">
      <c r="A769" s="83" t="n">
        <v>153</v>
      </c>
      <c r="B769" s="299" t="s">
        <v>415</v>
      </c>
      <c r="C769" s="291" t="s">
        <v>1926</v>
      </c>
      <c r="D769" s="292" t="s">
        <v>2682</v>
      </c>
      <c r="E769" s="292" t="s">
        <v>1928</v>
      </c>
      <c r="F769" s="292" t="s">
        <v>58</v>
      </c>
      <c r="G769" s="292" t="s">
        <v>1929</v>
      </c>
      <c r="H769" s="292" t="s">
        <v>1930</v>
      </c>
    </row>
    <row r="770" customFormat="false" ht="54.75" hidden="false" customHeight="true" outlineLevel="0" collapsed="false">
      <c r="A770" s="83"/>
      <c r="B770" s="300"/>
      <c r="C770" s="294" t="s">
        <v>1931</v>
      </c>
      <c r="D770" s="295" t="s">
        <v>2678</v>
      </c>
      <c r="E770" s="295" t="s">
        <v>1933</v>
      </c>
      <c r="F770" s="295" t="s">
        <v>1934</v>
      </c>
      <c r="G770" s="295" t="s">
        <v>1935</v>
      </c>
      <c r="H770" s="295" t="s">
        <v>1936</v>
      </c>
    </row>
    <row r="771" customFormat="false" ht="54.75" hidden="false" customHeight="true" outlineLevel="0" collapsed="false">
      <c r="A771" s="83"/>
      <c r="B771" s="300"/>
      <c r="C771" s="296" t="s">
        <v>1937</v>
      </c>
      <c r="D771" s="292" t="s">
        <v>2683</v>
      </c>
      <c r="E771" s="292" t="s">
        <v>1939</v>
      </c>
      <c r="F771" s="292" t="s">
        <v>1940</v>
      </c>
      <c r="G771" s="292" t="s">
        <v>1941</v>
      </c>
      <c r="H771" s="292" t="s">
        <v>1942</v>
      </c>
    </row>
    <row r="772" customFormat="false" ht="54.75" hidden="false" customHeight="true" outlineLevel="0" collapsed="false">
      <c r="A772" s="83"/>
      <c r="B772" s="300"/>
      <c r="C772" s="297" t="s">
        <v>1943</v>
      </c>
      <c r="D772" s="295" t="s">
        <v>2684</v>
      </c>
      <c r="E772" s="295" t="s">
        <v>1945</v>
      </c>
      <c r="F772" s="295" t="s">
        <v>1946</v>
      </c>
      <c r="G772" s="295" t="s">
        <v>1947</v>
      </c>
      <c r="H772" s="295" t="s">
        <v>1948</v>
      </c>
    </row>
    <row r="773" customFormat="false" ht="54.75" hidden="false" customHeight="true" outlineLevel="0" collapsed="false">
      <c r="A773" s="83"/>
      <c r="B773" s="300"/>
      <c r="C773" s="298" t="s">
        <v>1949</v>
      </c>
      <c r="D773" s="292" t="s">
        <v>2685</v>
      </c>
      <c r="E773" s="292" t="s">
        <v>1951</v>
      </c>
      <c r="F773" s="292" t="s">
        <v>1952</v>
      </c>
      <c r="G773" s="292" t="s">
        <v>1953</v>
      </c>
      <c r="H773" s="292" t="s">
        <v>1954</v>
      </c>
    </row>
    <row r="774" customFormat="false" ht="54.75" hidden="false" customHeight="true" outlineLevel="0" collapsed="false">
      <c r="A774" s="83" t="n">
        <v>154</v>
      </c>
      <c r="B774" s="290" t="s">
        <v>416</v>
      </c>
      <c r="C774" s="291" t="s">
        <v>1926</v>
      </c>
      <c r="D774" s="292" t="s">
        <v>2686</v>
      </c>
      <c r="E774" s="292" t="s">
        <v>1928</v>
      </c>
      <c r="F774" s="292" t="s">
        <v>58</v>
      </c>
      <c r="G774" s="292" t="s">
        <v>1929</v>
      </c>
      <c r="H774" s="292" t="s">
        <v>1930</v>
      </c>
    </row>
    <row r="775" customFormat="false" ht="54.75" hidden="false" customHeight="true" outlineLevel="0" collapsed="false">
      <c r="A775" s="83"/>
      <c r="B775" s="293"/>
      <c r="C775" s="294" t="s">
        <v>1931</v>
      </c>
      <c r="D775" s="295" t="s">
        <v>2678</v>
      </c>
      <c r="E775" s="295" t="s">
        <v>1933</v>
      </c>
      <c r="F775" s="295" t="s">
        <v>1934</v>
      </c>
      <c r="G775" s="295" t="s">
        <v>1935</v>
      </c>
      <c r="H775" s="295" t="s">
        <v>1936</v>
      </c>
    </row>
    <row r="776" customFormat="false" ht="54.75" hidden="false" customHeight="true" outlineLevel="0" collapsed="false">
      <c r="A776" s="83"/>
      <c r="B776" s="293"/>
      <c r="C776" s="296" t="s">
        <v>1937</v>
      </c>
      <c r="D776" s="292" t="s">
        <v>2687</v>
      </c>
      <c r="E776" s="292" t="s">
        <v>1939</v>
      </c>
      <c r="F776" s="292" t="s">
        <v>1940</v>
      </c>
      <c r="G776" s="292" t="s">
        <v>1941</v>
      </c>
      <c r="H776" s="292" t="s">
        <v>1942</v>
      </c>
    </row>
    <row r="777" customFormat="false" ht="54.75" hidden="false" customHeight="true" outlineLevel="0" collapsed="false">
      <c r="A777" s="83"/>
      <c r="B777" s="293"/>
      <c r="C777" s="297" t="s">
        <v>1943</v>
      </c>
      <c r="D777" s="295" t="s">
        <v>2688</v>
      </c>
      <c r="E777" s="295" t="s">
        <v>1945</v>
      </c>
      <c r="F777" s="295" t="s">
        <v>1946</v>
      </c>
      <c r="G777" s="295" t="s">
        <v>1947</v>
      </c>
      <c r="H777" s="295" t="s">
        <v>1948</v>
      </c>
    </row>
    <row r="778" customFormat="false" ht="54.75" hidden="false" customHeight="true" outlineLevel="0" collapsed="false">
      <c r="A778" s="83"/>
      <c r="B778" s="293"/>
      <c r="C778" s="298" t="s">
        <v>1949</v>
      </c>
      <c r="D778" s="292" t="s">
        <v>2689</v>
      </c>
      <c r="E778" s="292" t="s">
        <v>1951</v>
      </c>
      <c r="F778" s="292" t="s">
        <v>1952</v>
      </c>
      <c r="G778" s="292" t="s">
        <v>1953</v>
      </c>
      <c r="H778" s="292" t="s">
        <v>1954</v>
      </c>
    </row>
    <row r="779" customFormat="false" ht="54.75" hidden="false" customHeight="true" outlineLevel="0" collapsed="false">
      <c r="A779" s="83" t="n">
        <v>155</v>
      </c>
      <c r="B779" s="299" t="s">
        <v>417</v>
      </c>
      <c r="C779" s="291" t="s">
        <v>1926</v>
      </c>
      <c r="D779" s="292" t="s">
        <v>2690</v>
      </c>
      <c r="E779" s="292" t="s">
        <v>1928</v>
      </c>
      <c r="F779" s="292" t="s">
        <v>58</v>
      </c>
      <c r="G779" s="292" t="s">
        <v>1929</v>
      </c>
      <c r="H779" s="292" t="s">
        <v>1930</v>
      </c>
    </row>
    <row r="780" customFormat="false" ht="54.75" hidden="false" customHeight="true" outlineLevel="0" collapsed="false">
      <c r="A780" s="83"/>
      <c r="B780" s="300"/>
      <c r="C780" s="294" t="s">
        <v>1931</v>
      </c>
      <c r="D780" s="295" t="s">
        <v>2678</v>
      </c>
      <c r="E780" s="295" t="s">
        <v>1933</v>
      </c>
      <c r="F780" s="295" t="s">
        <v>1934</v>
      </c>
      <c r="G780" s="295" t="s">
        <v>1935</v>
      </c>
      <c r="H780" s="295" t="s">
        <v>1936</v>
      </c>
    </row>
    <row r="781" customFormat="false" ht="54.75" hidden="false" customHeight="true" outlineLevel="0" collapsed="false">
      <c r="A781" s="83"/>
      <c r="B781" s="300"/>
      <c r="C781" s="296" t="s">
        <v>1937</v>
      </c>
      <c r="D781" s="292" t="s">
        <v>2691</v>
      </c>
      <c r="E781" s="292" t="s">
        <v>1939</v>
      </c>
      <c r="F781" s="292" t="s">
        <v>1940</v>
      </c>
      <c r="G781" s="292" t="s">
        <v>1941</v>
      </c>
      <c r="H781" s="292" t="s">
        <v>1942</v>
      </c>
    </row>
    <row r="782" customFormat="false" ht="54.75" hidden="false" customHeight="true" outlineLevel="0" collapsed="false">
      <c r="A782" s="83"/>
      <c r="B782" s="300"/>
      <c r="C782" s="297" t="s">
        <v>1943</v>
      </c>
      <c r="D782" s="295" t="s">
        <v>2692</v>
      </c>
      <c r="E782" s="295" t="s">
        <v>1945</v>
      </c>
      <c r="F782" s="295" t="s">
        <v>1946</v>
      </c>
      <c r="G782" s="295" t="s">
        <v>1947</v>
      </c>
      <c r="H782" s="295" t="s">
        <v>1948</v>
      </c>
    </row>
    <row r="783" customFormat="false" ht="54.75" hidden="false" customHeight="true" outlineLevel="0" collapsed="false">
      <c r="A783" s="83"/>
      <c r="B783" s="300"/>
      <c r="C783" s="298" t="s">
        <v>1949</v>
      </c>
      <c r="D783" s="292" t="s">
        <v>2693</v>
      </c>
      <c r="E783" s="292" t="s">
        <v>1951</v>
      </c>
      <c r="F783" s="292" t="s">
        <v>1952</v>
      </c>
      <c r="G783" s="292" t="s">
        <v>1953</v>
      </c>
      <c r="H783" s="292" t="s">
        <v>1954</v>
      </c>
    </row>
    <row r="784" customFormat="false" ht="39.75" hidden="false" customHeight="true" outlineLevel="0" collapsed="false">
      <c r="A784" s="289" t="s">
        <v>2694</v>
      </c>
      <c r="B784" s="289"/>
      <c r="C784" s="289"/>
      <c r="D784" s="289"/>
      <c r="E784" s="289"/>
      <c r="F784" s="289"/>
      <c r="G784" s="289"/>
      <c r="H784" s="289"/>
    </row>
    <row r="785" customFormat="false" ht="54.75" hidden="false" customHeight="true" outlineLevel="0" collapsed="false">
      <c r="A785" s="83" t="n">
        <v>156</v>
      </c>
      <c r="B785" s="290" t="s">
        <v>419</v>
      </c>
      <c r="C785" s="291" t="s">
        <v>1926</v>
      </c>
      <c r="D785" s="292" t="s">
        <v>2695</v>
      </c>
      <c r="E785" s="292" t="s">
        <v>1928</v>
      </c>
      <c r="F785" s="292" t="s">
        <v>58</v>
      </c>
      <c r="G785" s="292" t="s">
        <v>1929</v>
      </c>
      <c r="H785" s="292" t="s">
        <v>1930</v>
      </c>
    </row>
    <row r="786" customFormat="false" ht="54.75" hidden="false" customHeight="true" outlineLevel="0" collapsed="false">
      <c r="A786" s="83"/>
      <c r="B786" s="293"/>
      <c r="C786" s="294" t="s">
        <v>1931</v>
      </c>
      <c r="D786" s="295" t="s">
        <v>2696</v>
      </c>
      <c r="E786" s="295" t="s">
        <v>1933</v>
      </c>
      <c r="F786" s="295" t="s">
        <v>1934</v>
      </c>
      <c r="G786" s="295" t="s">
        <v>1935</v>
      </c>
      <c r="H786" s="295" t="s">
        <v>1936</v>
      </c>
    </row>
    <row r="787" customFormat="false" ht="54.75" hidden="false" customHeight="true" outlineLevel="0" collapsed="false">
      <c r="A787" s="83"/>
      <c r="B787" s="293"/>
      <c r="C787" s="296" t="s">
        <v>1937</v>
      </c>
      <c r="D787" s="292" t="s">
        <v>2697</v>
      </c>
      <c r="E787" s="292" t="s">
        <v>1939</v>
      </c>
      <c r="F787" s="292" t="s">
        <v>1940</v>
      </c>
      <c r="G787" s="292" t="s">
        <v>1941</v>
      </c>
      <c r="H787" s="292" t="s">
        <v>1942</v>
      </c>
    </row>
    <row r="788" customFormat="false" ht="54.75" hidden="false" customHeight="true" outlineLevel="0" collapsed="false">
      <c r="A788" s="83"/>
      <c r="B788" s="293"/>
      <c r="C788" s="297" t="s">
        <v>1943</v>
      </c>
      <c r="D788" s="295" t="s">
        <v>2698</v>
      </c>
      <c r="E788" s="295" t="s">
        <v>1945</v>
      </c>
      <c r="F788" s="295" t="s">
        <v>1946</v>
      </c>
      <c r="G788" s="295" t="s">
        <v>1947</v>
      </c>
      <c r="H788" s="295" t="s">
        <v>1948</v>
      </c>
    </row>
    <row r="789" customFormat="false" ht="54.75" hidden="false" customHeight="true" outlineLevel="0" collapsed="false">
      <c r="A789" s="83"/>
      <c r="B789" s="293"/>
      <c r="C789" s="298" t="s">
        <v>1949</v>
      </c>
      <c r="D789" s="292" t="s">
        <v>2699</v>
      </c>
      <c r="E789" s="292" t="s">
        <v>1951</v>
      </c>
      <c r="F789" s="292" t="s">
        <v>1952</v>
      </c>
      <c r="G789" s="292" t="s">
        <v>1953</v>
      </c>
      <c r="H789" s="292" t="s">
        <v>1954</v>
      </c>
    </row>
    <row r="790" customFormat="false" ht="54.75" hidden="false" customHeight="true" outlineLevel="0" collapsed="false">
      <c r="A790" s="83" t="n">
        <v>157</v>
      </c>
      <c r="B790" s="299" t="s">
        <v>420</v>
      </c>
      <c r="C790" s="291" t="s">
        <v>1926</v>
      </c>
      <c r="D790" s="292" t="s">
        <v>2700</v>
      </c>
      <c r="E790" s="292" t="s">
        <v>1928</v>
      </c>
      <c r="F790" s="292" t="s">
        <v>58</v>
      </c>
      <c r="G790" s="292" t="s">
        <v>1929</v>
      </c>
      <c r="H790" s="292" t="s">
        <v>1930</v>
      </c>
    </row>
    <row r="791" customFormat="false" ht="54.75" hidden="false" customHeight="true" outlineLevel="0" collapsed="false">
      <c r="A791" s="83"/>
      <c r="B791" s="300"/>
      <c r="C791" s="294" t="s">
        <v>1931</v>
      </c>
      <c r="D791" s="295" t="s">
        <v>2701</v>
      </c>
      <c r="E791" s="295" t="s">
        <v>1933</v>
      </c>
      <c r="F791" s="295" t="s">
        <v>1934</v>
      </c>
      <c r="G791" s="295" t="s">
        <v>1935</v>
      </c>
      <c r="H791" s="295" t="s">
        <v>1936</v>
      </c>
    </row>
    <row r="792" customFormat="false" ht="54.75" hidden="false" customHeight="true" outlineLevel="0" collapsed="false">
      <c r="A792" s="83"/>
      <c r="B792" s="300"/>
      <c r="C792" s="296" t="s">
        <v>1937</v>
      </c>
      <c r="D792" s="292" t="s">
        <v>2702</v>
      </c>
      <c r="E792" s="292" t="s">
        <v>1939</v>
      </c>
      <c r="F792" s="292" t="s">
        <v>1940</v>
      </c>
      <c r="G792" s="292" t="s">
        <v>1941</v>
      </c>
      <c r="H792" s="292" t="s">
        <v>1942</v>
      </c>
    </row>
    <row r="793" customFormat="false" ht="54.75" hidden="false" customHeight="true" outlineLevel="0" collapsed="false">
      <c r="A793" s="83"/>
      <c r="B793" s="300"/>
      <c r="C793" s="297" t="s">
        <v>1943</v>
      </c>
      <c r="D793" s="295" t="s">
        <v>2703</v>
      </c>
      <c r="E793" s="295" t="s">
        <v>1945</v>
      </c>
      <c r="F793" s="295" t="s">
        <v>1946</v>
      </c>
      <c r="G793" s="295" t="s">
        <v>1947</v>
      </c>
      <c r="H793" s="295" t="s">
        <v>1948</v>
      </c>
    </row>
    <row r="794" customFormat="false" ht="54.75" hidden="false" customHeight="true" outlineLevel="0" collapsed="false">
      <c r="A794" s="83"/>
      <c r="B794" s="300"/>
      <c r="C794" s="298" t="s">
        <v>1949</v>
      </c>
      <c r="D794" s="292" t="s">
        <v>2704</v>
      </c>
      <c r="E794" s="292" t="s">
        <v>1951</v>
      </c>
      <c r="F794" s="292" t="s">
        <v>1952</v>
      </c>
      <c r="G794" s="292" t="s">
        <v>1953</v>
      </c>
      <c r="H794" s="292" t="s">
        <v>1954</v>
      </c>
    </row>
    <row r="795" customFormat="false" ht="54.75" hidden="false" customHeight="true" outlineLevel="0" collapsed="false">
      <c r="A795" s="83" t="n">
        <v>158</v>
      </c>
      <c r="B795" s="290" t="s">
        <v>421</v>
      </c>
      <c r="C795" s="291" t="s">
        <v>1926</v>
      </c>
      <c r="D795" s="292" t="s">
        <v>2705</v>
      </c>
      <c r="E795" s="292" t="s">
        <v>1928</v>
      </c>
      <c r="F795" s="292" t="s">
        <v>58</v>
      </c>
      <c r="G795" s="292" t="s">
        <v>1929</v>
      </c>
      <c r="H795" s="292" t="s">
        <v>1930</v>
      </c>
    </row>
    <row r="796" customFormat="false" ht="54.75" hidden="false" customHeight="true" outlineLevel="0" collapsed="false">
      <c r="A796" s="83"/>
      <c r="B796" s="293"/>
      <c r="C796" s="294" t="s">
        <v>1931</v>
      </c>
      <c r="D796" s="295" t="s">
        <v>2706</v>
      </c>
      <c r="E796" s="295" t="s">
        <v>1933</v>
      </c>
      <c r="F796" s="295" t="s">
        <v>1934</v>
      </c>
      <c r="G796" s="295" t="s">
        <v>1935</v>
      </c>
      <c r="H796" s="295" t="s">
        <v>1936</v>
      </c>
    </row>
    <row r="797" customFormat="false" ht="54.75" hidden="false" customHeight="true" outlineLevel="0" collapsed="false">
      <c r="A797" s="83"/>
      <c r="B797" s="293"/>
      <c r="C797" s="296" t="s">
        <v>1937</v>
      </c>
      <c r="D797" s="292" t="s">
        <v>2707</v>
      </c>
      <c r="E797" s="292" t="s">
        <v>1939</v>
      </c>
      <c r="F797" s="292" t="s">
        <v>1940</v>
      </c>
      <c r="G797" s="292" t="s">
        <v>1941</v>
      </c>
      <c r="H797" s="292" t="s">
        <v>1942</v>
      </c>
    </row>
    <row r="798" customFormat="false" ht="54.75" hidden="false" customHeight="true" outlineLevel="0" collapsed="false">
      <c r="A798" s="83"/>
      <c r="B798" s="293"/>
      <c r="C798" s="297" t="s">
        <v>1943</v>
      </c>
      <c r="D798" s="295" t="s">
        <v>2708</v>
      </c>
      <c r="E798" s="295" t="s">
        <v>1945</v>
      </c>
      <c r="F798" s="295" t="s">
        <v>1946</v>
      </c>
      <c r="G798" s="295" t="s">
        <v>1947</v>
      </c>
      <c r="H798" s="295" t="s">
        <v>1948</v>
      </c>
    </row>
    <row r="799" customFormat="false" ht="54.75" hidden="false" customHeight="true" outlineLevel="0" collapsed="false">
      <c r="A799" s="83"/>
      <c r="B799" s="293"/>
      <c r="C799" s="298" t="s">
        <v>1949</v>
      </c>
      <c r="D799" s="292" t="s">
        <v>2709</v>
      </c>
      <c r="E799" s="292" t="s">
        <v>1951</v>
      </c>
      <c r="F799" s="292" t="s">
        <v>1952</v>
      </c>
      <c r="G799" s="292" t="s">
        <v>1953</v>
      </c>
      <c r="H799" s="292" t="s">
        <v>1954</v>
      </c>
    </row>
    <row r="800" customFormat="false" ht="54.75" hidden="false" customHeight="true" outlineLevel="0" collapsed="false">
      <c r="A800" s="83" t="n">
        <v>159</v>
      </c>
      <c r="B800" s="299" t="s">
        <v>422</v>
      </c>
      <c r="C800" s="291" t="s">
        <v>1926</v>
      </c>
      <c r="D800" s="292" t="s">
        <v>2710</v>
      </c>
      <c r="E800" s="292" t="s">
        <v>1928</v>
      </c>
      <c r="F800" s="292" t="s">
        <v>58</v>
      </c>
      <c r="G800" s="292" t="s">
        <v>1929</v>
      </c>
      <c r="H800" s="292" t="s">
        <v>1930</v>
      </c>
    </row>
    <row r="801" customFormat="false" ht="54.75" hidden="false" customHeight="true" outlineLevel="0" collapsed="false">
      <c r="A801" s="83"/>
      <c r="B801" s="300"/>
      <c r="C801" s="294" t="s">
        <v>1931</v>
      </c>
      <c r="D801" s="295" t="s">
        <v>2711</v>
      </c>
      <c r="E801" s="295" t="s">
        <v>1933</v>
      </c>
      <c r="F801" s="295" t="s">
        <v>1934</v>
      </c>
      <c r="G801" s="295" t="s">
        <v>1935</v>
      </c>
      <c r="H801" s="295" t="s">
        <v>1936</v>
      </c>
    </row>
    <row r="802" customFormat="false" ht="54.75" hidden="false" customHeight="true" outlineLevel="0" collapsed="false">
      <c r="A802" s="83"/>
      <c r="B802" s="300"/>
      <c r="C802" s="296" t="s">
        <v>1937</v>
      </c>
      <c r="D802" s="292" t="s">
        <v>2712</v>
      </c>
      <c r="E802" s="292" t="s">
        <v>1939</v>
      </c>
      <c r="F802" s="292" t="s">
        <v>1940</v>
      </c>
      <c r="G802" s="292" t="s">
        <v>1941</v>
      </c>
      <c r="H802" s="292" t="s">
        <v>1942</v>
      </c>
    </row>
    <row r="803" customFormat="false" ht="54.75" hidden="false" customHeight="true" outlineLevel="0" collapsed="false">
      <c r="A803" s="83"/>
      <c r="B803" s="300"/>
      <c r="C803" s="297" t="s">
        <v>1943</v>
      </c>
      <c r="D803" s="295" t="s">
        <v>2713</v>
      </c>
      <c r="E803" s="295" t="s">
        <v>1945</v>
      </c>
      <c r="F803" s="295" t="s">
        <v>1946</v>
      </c>
      <c r="G803" s="295" t="s">
        <v>1947</v>
      </c>
      <c r="H803" s="295" t="s">
        <v>1948</v>
      </c>
    </row>
    <row r="804" customFormat="false" ht="54.75" hidden="false" customHeight="true" outlineLevel="0" collapsed="false">
      <c r="A804" s="83"/>
      <c r="B804" s="300"/>
      <c r="C804" s="298" t="s">
        <v>1949</v>
      </c>
      <c r="D804" s="292" t="s">
        <v>2714</v>
      </c>
      <c r="E804" s="292" t="s">
        <v>1951</v>
      </c>
      <c r="F804" s="292" t="s">
        <v>1952</v>
      </c>
      <c r="G804" s="292" t="s">
        <v>1953</v>
      </c>
      <c r="H804" s="292" t="s">
        <v>1954</v>
      </c>
    </row>
    <row r="805" customFormat="false" ht="54.75" hidden="false" customHeight="true" outlineLevel="0" collapsed="false">
      <c r="A805" s="83" t="n">
        <v>160</v>
      </c>
      <c r="B805" s="290" t="s">
        <v>423</v>
      </c>
      <c r="C805" s="291" t="s">
        <v>1926</v>
      </c>
      <c r="D805" s="292" t="s">
        <v>2715</v>
      </c>
      <c r="E805" s="292" t="s">
        <v>1928</v>
      </c>
      <c r="F805" s="292" t="s">
        <v>58</v>
      </c>
      <c r="G805" s="292" t="s">
        <v>1929</v>
      </c>
      <c r="H805" s="292" t="s">
        <v>1930</v>
      </c>
    </row>
    <row r="806" customFormat="false" ht="54.75" hidden="false" customHeight="true" outlineLevel="0" collapsed="false">
      <c r="A806" s="83"/>
      <c r="B806" s="293"/>
      <c r="C806" s="294" t="s">
        <v>1931</v>
      </c>
      <c r="D806" s="295" t="s">
        <v>2716</v>
      </c>
      <c r="E806" s="295" t="s">
        <v>1933</v>
      </c>
      <c r="F806" s="295" t="s">
        <v>1934</v>
      </c>
      <c r="G806" s="295" t="s">
        <v>1935</v>
      </c>
      <c r="H806" s="295" t="s">
        <v>1936</v>
      </c>
    </row>
    <row r="807" customFormat="false" ht="54.75" hidden="false" customHeight="true" outlineLevel="0" collapsed="false">
      <c r="A807" s="83"/>
      <c r="B807" s="293"/>
      <c r="C807" s="296" t="s">
        <v>1937</v>
      </c>
      <c r="D807" s="292" t="s">
        <v>2717</v>
      </c>
      <c r="E807" s="292" t="s">
        <v>1939</v>
      </c>
      <c r="F807" s="292" t="s">
        <v>1940</v>
      </c>
      <c r="G807" s="292" t="s">
        <v>1941</v>
      </c>
      <c r="H807" s="292" t="s">
        <v>1942</v>
      </c>
    </row>
    <row r="808" customFormat="false" ht="54.75" hidden="false" customHeight="true" outlineLevel="0" collapsed="false">
      <c r="A808" s="83"/>
      <c r="B808" s="293"/>
      <c r="C808" s="297" t="s">
        <v>1943</v>
      </c>
      <c r="D808" s="295" t="s">
        <v>2718</v>
      </c>
      <c r="E808" s="295" t="s">
        <v>1945</v>
      </c>
      <c r="F808" s="295" t="s">
        <v>1946</v>
      </c>
      <c r="G808" s="295" t="s">
        <v>1947</v>
      </c>
      <c r="H808" s="295" t="s">
        <v>1948</v>
      </c>
    </row>
    <row r="809" customFormat="false" ht="54.75" hidden="false" customHeight="true" outlineLevel="0" collapsed="false">
      <c r="A809" s="83"/>
      <c r="B809" s="293"/>
      <c r="C809" s="298" t="s">
        <v>1949</v>
      </c>
      <c r="D809" s="292" t="s">
        <v>2719</v>
      </c>
      <c r="E809" s="292" t="s">
        <v>1951</v>
      </c>
      <c r="F809" s="292" t="s">
        <v>1952</v>
      </c>
      <c r="G809" s="292" t="s">
        <v>1953</v>
      </c>
      <c r="H809" s="292" t="s">
        <v>1954</v>
      </c>
    </row>
    <row r="810" customFormat="false" ht="54.75" hidden="false" customHeight="true" outlineLevel="0" collapsed="false">
      <c r="A810" s="83" t="n">
        <v>161</v>
      </c>
      <c r="B810" s="299" t="s">
        <v>424</v>
      </c>
      <c r="C810" s="291" t="s">
        <v>1926</v>
      </c>
      <c r="D810" s="292" t="s">
        <v>2720</v>
      </c>
      <c r="E810" s="292" t="s">
        <v>1928</v>
      </c>
      <c r="F810" s="292" t="s">
        <v>58</v>
      </c>
      <c r="G810" s="292" t="s">
        <v>1929</v>
      </c>
      <c r="H810" s="292" t="s">
        <v>1930</v>
      </c>
    </row>
    <row r="811" customFormat="false" ht="54.75" hidden="false" customHeight="true" outlineLevel="0" collapsed="false">
      <c r="A811" s="83"/>
      <c r="B811" s="300"/>
      <c r="C811" s="294" t="s">
        <v>1931</v>
      </c>
      <c r="D811" s="295" t="s">
        <v>2721</v>
      </c>
      <c r="E811" s="295" t="s">
        <v>1933</v>
      </c>
      <c r="F811" s="295" t="s">
        <v>1934</v>
      </c>
      <c r="G811" s="295" t="s">
        <v>1935</v>
      </c>
      <c r="H811" s="295" t="s">
        <v>1936</v>
      </c>
    </row>
    <row r="812" customFormat="false" ht="54.75" hidden="false" customHeight="true" outlineLevel="0" collapsed="false">
      <c r="A812" s="83"/>
      <c r="B812" s="300"/>
      <c r="C812" s="296" t="s">
        <v>1937</v>
      </c>
      <c r="D812" s="292" t="s">
        <v>2722</v>
      </c>
      <c r="E812" s="292" t="s">
        <v>1939</v>
      </c>
      <c r="F812" s="292" t="s">
        <v>1940</v>
      </c>
      <c r="G812" s="292" t="s">
        <v>1941</v>
      </c>
      <c r="H812" s="292" t="s">
        <v>1942</v>
      </c>
    </row>
    <row r="813" customFormat="false" ht="54.75" hidden="false" customHeight="true" outlineLevel="0" collapsed="false">
      <c r="A813" s="83"/>
      <c r="B813" s="300"/>
      <c r="C813" s="297" t="s">
        <v>1943</v>
      </c>
      <c r="D813" s="295" t="s">
        <v>2723</v>
      </c>
      <c r="E813" s="295" t="s">
        <v>1945</v>
      </c>
      <c r="F813" s="295" t="s">
        <v>1946</v>
      </c>
      <c r="G813" s="295" t="s">
        <v>1947</v>
      </c>
      <c r="H813" s="295" t="s">
        <v>1948</v>
      </c>
    </row>
    <row r="814" customFormat="false" ht="54.75" hidden="false" customHeight="true" outlineLevel="0" collapsed="false">
      <c r="A814" s="83"/>
      <c r="B814" s="300"/>
      <c r="C814" s="298" t="s">
        <v>1949</v>
      </c>
      <c r="D814" s="292" t="s">
        <v>2724</v>
      </c>
      <c r="E814" s="292" t="s">
        <v>1951</v>
      </c>
      <c r="F814" s="292" t="s">
        <v>1952</v>
      </c>
      <c r="G814" s="292" t="s">
        <v>1953</v>
      </c>
      <c r="H814" s="292" t="s">
        <v>1954</v>
      </c>
    </row>
    <row r="815" customFormat="false" ht="54.75" hidden="false" customHeight="true" outlineLevel="0" collapsed="false">
      <c r="A815" s="83" t="n">
        <v>162</v>
      </c>
      <c r="B815" s="290" t="s">
        <v>425</v>
      </c>
      <c r="C815" s="291" t="s">
        <v>1926</v>
      </c>
      <c r="D815" s="292" t="s">
        <v>2725</v>
      </c>
      <c r="E815" s="292" t="s">
        <v>1928</v>
      </c>
      <c r="F815" s="292" t="s">
        <v>58</v>
      </c>
      <c r="G815" s="292" t="s">
        <v>1929</v>
      </c>
      <c r="H815" s="292" t="s">
        <v>1930</v>
      </c>
    </row>
    <row r="816" customFormat="false" ht="54.75" hidden="false" customHeight="true" outlineLevel="0" collapsed="false">
      <c r="A816" s="83"/>
      <c r="B816" s="293"/>
      <c r="C816" s="294" t="s">
        <v>1931</v>
      </c>
      <c r="D816" s="295" t="s">
        <v>2726</v>
      </c>
      <c r="E816" s="295" t="s">
        <v>1933</v>
      </c>
      <c r="F816" s="295" t="s">
        <v>1934</v>
      </c>
      <c r="G816" s="295" t="s">
        <v>1935</v>
      </c>
      <c r="H816" s="295" t="s">
        <v>1936</v>
      </c>
    </row>
    <row r="817" customFormat="false" ht="54.75" hidden="false" customHeight="true" outlineLevel="0" collapsed="false">
      <c r="A817" s="83"/>
      <c r="B817" s="293"/>
      <c r="C817" s="296" t="s">
        <v>1937</v>
      </c>
      <c r="D817" s="292" t="s">
        <v>2727</v>
      </c>
      <c r="E817" s="292" t="s">
        <v>1939</v>
      </c>
      <c r="F817" s="292" t="s">
        <v>1940</v>
      </c>
      <c r="G817" s="292" t="s">
        <v>1941</v>
      </c>
      <c r="H817" s="292" t="s">
        <v>1942</v>
      </c>
    </row>
    <row r="818" customFormat="false" ht="54.75" hidden="false" customHeight="true" outlineLevel="0" collapsed="false">
      <c r="A818" s="83"/>
      <c r="B818" s="293"/>
      <c r="C818" s="297" t="s">
        <v>1943</v>
      </c>
      <c r="D818" s="295" t="s">
        <v>2728</v>
      </c>
      <c r="E818" s="295" t="s">
        <v>1945</v>
      </c>
      <c r="F818" s="295" t="s">
        <v>1946</v>
      </c>
      <c r="G818" s="295" t="s">
        <v>1947</v>
      </c>
      <c r="H818" s="295" t="s">
        <v>1948</v>
      </c>
    </row>
    <row r="819" customFormat="false" ht="54.75" hidden="false" customHeight="true" outlineLevel="0" collapsed="false">
      <c r="A819" s="83"/>
      <c r="B819" s="293"/>
      <c r="C819" s="298" t="s">
        <v>1949</v>
      </c>
      <c r="D819" s="292" t="s">
        <v>2729</v>
      </c>
      <c r="E819" s="292" t="s">
        <v>1951</v>
      </c>
      <c r="F819" s="292" t="s">
        <v>1952</v>
      </c>
      <c r="G819" s="292" t="s">
        <v>1953</v>
      </c>
      <c r="H819" s="292" t="s">
        <v>1954</v>
      </c>
    </row>
    <row r="820" customFormat="false" ht="54.75" hidden="false" customHeight="true" outlineLevel="0" collapsed="false">
      <c r="A820" s="83" t="n">
        <v>163</v>
      </c>
      <c r="B820" s="299" t="s">
        <v>426</v>
      </c>
      <c r="C820" s="291" t="s">
        <v>1926</v>
      </c>
      <c r="D820" s="292" t="s">
        <v>2730</v>
      </c>
      <c r="E820" s="292" t="s">
        <v>1928</v>
      </c>
      <c r="F820" s="292" t="s">
        <v>58</v>
      </c>
      <c r="G820" s="292" t="s">
        <v>1929</v>
      </c>
      <c r="H820" s="292" t="s">
        <v>1930</v>
      </c>
    </row>
    <row r="821" customFormat="false" ht="54.75" hidden="false" customHeight="true" outlineLevel="0" collapsed="false">
      <c r="A821" s="83"/>
      <c r="B821" s="300"/>
      <c r="C821" s="294" t="s">
        <v>1931</v>
      </c>
      <c r="D821" s="295" t="s">
        <v>2731</v>
      </c>
      <c r="E821" s="295" t="s">
        <v>1933</v>
      </c>
      <c r="F821" s="295" t="s">
        <v>1934</v>
      </c>
      <c r="G821" s="295" t="s">
        <v>1935</v>
      </c>
      <c r="H821" s="295" t="s">
        <v>1936</v>
      </c>
    </row>
    <row r="822" customFormat="false" ht="54.75" hidden="false" customHeight="true" outlineLevel="0" collapsed="false">
      <c r="A822" s="83"/>
      <c r="B822" s="300"/>
      <c r="C822" s="296" t="s">
        <v>1937</v>
      </c>
      <c r="D822" s="292" t="s">
        <v>2732</v>
      </c>
      <c r="E822" s="292" t="s">
        <v>1939</v>
      </c>
      <c r="F822" s="292" t="s">
        <v>1940</v>
      </c>
      <c r="G822" s="292" t="s">
        <v>1941</v>
      </c>
      <c r="H822" s="292" t="s">
        <v>1942</v>
      </c>
    </row>
    <row r="823" customFormat="false" ht="54.75" hidden="false" customHeight="true" outlineLevel="0" collapsed="false">
      <c r="A823" s="83"/>
      <c r="B823" s="300"/>
      <c r="C823" s="297" t="s">
        <v>1943</v>
      </c>
      <c r="D823" s="295" t="s">
        <v>2733</v>
      </c>
      <c r="E823" s="295" t="s">
        <v>1945</v>
      </c>
      <c r="F823" s="295" t="s">
        <v>1946</v>
      </c>
      <c r="G823" s="295" t="s">
        <v>1947</v>
      </c>
      <c r="H823" s="295" t="s">
        <v>1948</v>
      </c>
    </row>
    <row r="824" customFormat="false" ht="54.75" hidden="false" customHeight="true" outlineLevel="0" collapsed="false">
      <c r="A824" s="83"/>
      <c r="B824" s="300"/>
      <c r="C824" s="298" t="s">
        <v>1949</v>
      </c>
      <c r="D824" s="292" t="s">
        <v>2734</v>
      </c>
      <c r="E824" s="292" t="s">
        <v>1951</v>
      </c>
      <c r="F824" s="292" t="s">
        <v>1952</v>
      </c>
      <c r="G824" s="292" t="s">
        <v>1953</v>
      </c>
      <c r="H824" s="292" t="s">
        <v>1954</v>
      </c>
    </row>
    <row r="825" customFormat="false" ht="54.75" hidden="false" customHeight="true" outlineLevel="0" collapsed="false">
      <c r="A825" s="83" t="n">
        <v>164</v>
      </c>
      <c r="B825" s="290" t="s">
        <v>427</v>
      </c>
      <c r="C825" s="291" t="s">
        <v>1926</v>
      </c>
      <c r="D825" s="292" t="s">
        <v>2735</v>
      </c>
      <c r="E825" s="292" t="s">
        <v>1928</v>
      </c>
      <c r="F825" s="292" t="s">
        <v>58</v>
      </c>
      <c r="G825" s="292" t="s">
        <v>1929</v>
      </c>
      <c r="H825" s="292" t="s">
        <v>1930</v>
      </c>
    </row>
    <row r="826" customFormat="false" ht="54.75" hidden="false" customHeight="true" outlineLevel="0" collapsed="false">
      <c r="A826" s="83"/>
      <c r="B826" s="293"/>
      <c r="C826" s="294" t="s">
        <v>1931</v>
      </c>
      <c r="D826" s="295" t="s">
        <v>2736</v>
      </c>
      <c r="E826" s="295" t="s">
        <v>1933</v>
      </c>
      <c r="F826" s="295" t="s">
        <v>1934</v>
      </c>
      <c r="G826" s="295" t="s">
        <v>1935</v>
      </c>
      <c r="H826" s="295" t="s">
        <v>1936</v>
      </c>
    </row>
    <row r="827" customFormat="false" ht="54.75" hidden="false" customHeight="true" outlineLevel="0" collapsed="false">
      <c r="A827" s="83"/>
      <c r="B827" s="293"/>
      <c r="C827" s="296" t="s">
        <v>1937</v>
      </c>
      <c r="D827" s="292" t="s">
        <v>2737</v>
      </c>
      <c r="E827" s="292" t="s">
        <v>1939</v>
      </c>
      <c r="F827" s="292" t="s">
        <v>1940</v>
      </c>
      <c r="G827" s="292" t="s">
        <v>1941</v>
      </c>
      <c r="H827" s="292" t="s">
        <v>1942</v>
      </c>
    </row>
    <row r="828" customFormat="false" ht="54.75" hidden="false" customHeight="true" outlineLevel="0" collapsed="false">
      <c r="A828" s="83"/>
      <c r="B828" s="293"/>
      <c r="C828" s="297" t="s">
        <v>1943</v>
      </c>
      <c r="D828" s="295" t="s">
        <v>2738</v>
      </c>
      <c r="E828" s="295" t="s">
        <v>1945</v>
      </c>
      <c r="F828" s="295" t="s">
        <v>1946</v>
      </c>
      <c r="G828" s="295" t="s">
        <v>1947</v>
      </c>
      <c r="H828" s="295" t="s">
        <v>1948</v>
      </c>
    </row>
    <row r="829" customFormat="false" ht="54.75" hidden="false" customHeight="true" outlineLevel="0" collapsed="false">
      <c r="A829" s="83"/>
      <c r="B829" s="293"/>
      <c r="C829" s="298" t="s">
        <v>1949</v>
      </c>
      <c r="D829" s="292" t="s">
        <v>2739</v>
      </c>
      <c r="E829" s="292" t="s">
        <v>1951</v>
      </c>
      <c r="F829" s="292" t="s">
        <v>1952</v>
      </c>
      <c r="G829" s="292" t="s">
        <v>1953</v>
      </c>
      <c r="H829" s="292" t="s">
        <v>1954</v>
      </c>
    </row>
    <row r="830" customFormat="false" ht="54.75" hidden="false" customHeight="true" outlineLevel="0" collapsed="false">
      <c r="A830" s="83" t="n">
        <v>165</v>
      </c>
      <c r="B830" s="299" t="s">
        <v>428</v>
      </c>
      <c r="C830" s="291" t="s">
        <v>1926</v>
      </c>
      <c r="D830" s="292" t="s">
        <v>2740</v>
      </c>
      <c r="E830" s="292" t="s">
        <v>1928</v>
      </c>
      <c r="F830" s="292" t="s">
        <v>58</v>
      </c>
      <c r="G830" s="292" t="s">
        <v>1929</v>
      </c>
      <c r="H830" s="292" t="s">
        <v>1930</v>
      </c>
    </row>
    <row r="831" customFormat="false" ht="54.75" hidden="false" customHeight="true" outlineLevel="0" collapsed="false">
      <c r="A831" s="83"/>
      <c r="B831" s="300"/>
      <c r="C831" s="294" t="s">
        <v>1931</v>
      </c>
      <c r="D831" s="295" t="s">
        <v>2741</v>
      </c>
      <c r="E831" s="295" t="s">
        <v>1933</v>
      </c>
      <c r="F831" s="295" t="s">
        <v>1934</v>
      </c>
      <c r="G831" s="295" t="s">
        <v>1935</v>
      </c>
      <c r="H831" s="295" t="s">
        <v>1936</v>
      </c>
    </row>
    <row r="832" customFormat="false" ht="54.75" hidden="false" customHeight="true" outlineLevel="0" collapsed="false">
      <c r="A832" s="83"/>
      <c r="B832" s="300"/>
      <c r="C832" s="296" t="s">
        <v>1937</v>
      </c>
      <c r="D832" s="292" t="s">
        <v>2742</v>
      </c>
      <c r="E832" s="292" t="s">
        <v>1939</v>
      </c>
      <c r="F832" s="292" t="s">
        <v>1940</v>
      </c>
      <c r="G832" s="292" t="s">
        <v>1941</v>
      </c>
      <c r="H832" s="292" t="s">
        <v>1942</v>
      </c>
    </row>
    <row r="833" customFormat="false" ht="54.75" hidden="false" customHeight="true" outlineLevel="0" collapsed="false">
      <c r="A833" s="83"/>
      <c r="B833" s="300"/>
      <c r="C833" s="297" t="s">
        <v>1943</v>
      </c>
      <c r="D833" s="295" t="s">
        <v>2743</v>
      </c>
      <c r="E833" s="295" t="s">
        <v>1945</v>
      </c>
      <c r="F833" s="295" t="s">
        <v>1946</v>
      </c>
      <c r="G833" s="295" t="s">
        <v>1947</v>
      </c>
      <c r="H833" s="295" t="s">
        <v>1948</v>
      </c>
    </row>
    <row r="834" customFormat="false" ht="54.75" hidden="false" customHeight="true" outlineLevel="0" collapsed="false">
      <c r="A834" s="83"/>
      <c r="B834" s="300"/>
      <c r="C834" s="298" t="s">
        <v>1949</v>
      </c>
      <c r="D834" s="292" t="s">
        <v>2744</v>
      </c>
      <c r="E834" s="292" t="s">
        <v>1951</v>
      </c>
      <c r="F834" s="292" t="s">
        <v>1952</v>
      </c>
      <c r="G834" s="292" t="s">
        <v>1953</v>
      </c>
      <c r="H834" s="292" t="s">
        <v>1954</v>
      </c>
    </row>
    <row r="835" customFormat="false" ht="54.75" hidden="false" customHeight="true" outlineLevel="0" collapsed="false">
      <c r="A835" s="83" t="n">
        <v>166</v>
      </c>
      <c r="B835" s="290" t="s">
        <v>429</v>
      </c>
      <c r="C835" s="291" t="s">
        <v>1926</v>
      </c>
      <c r="D835" s="292" t="s">
        <v>2745</v>
      </c>
      <c r="E835" s="292" t="s">
        <v>1928</v>
      </c>
      <c r="F835" s="292" t="s">
        <v>58</v>
      </c>
      <c r="G835" s="292" t="s">
        <v>1929</v>
      </c>
      <c r="H835" s="292" t="s">
        <v>1930</v>
      </c>
    </row>
    <row r="836" customFormat="false" ht="54.75" hidden="false" customHeight="true" outlineLevel="0" collapsed="false">
      <c r="A836" s="83"/>
      <c r="B836" s="293"/>
      <c r="C836" s="294" t="s">
        <v>1931</v>
      </c>
      <c r="D836" s="295" t="s">
        <v>2746</v>
      </c>
      <c r="E836" s="295" t="s">
        <v>1933</v>
      </c>
      <c r="F836" s="295" t="s">
        <v>1934</v>
      </c>
      <c r="G836" s="295" t="s">
        <v>1935</v>
      </c>
      <c r="H836" s="295" t="s">
        <v>1936</v>
      </c>
    </row>
    <row r="837" customFormat="false" ht="54.75" hidden="false" customHeight="true" outlineLevel="0" collapsed="false">
      <c r="A837" s="83"/>
      <c r="B837" s="293"/>
      <c r="C837" s="296" t="s">
        <v>1937</v>
      </c>
      <c r="D837" s="292" t="s">
        <v>2747</v>
      </c>
      <c r="E837" s="292" t="s">
        <v>1939</v>
      </c>
      <c r="F837" s="292" t="s">
        <v>1940</v>
      </c>
      <c r="G837" s="292" t="s">
        <v>1941</v>
      </c>
      <c r="H837" s="292" t="s">
        <v>1942</v>
      </c>
    </row>
    <row r="838" customFormat="false" ht="54.75" hidden="false" customHeight="true" outlineLevel="0" collapsed="false">
      <c r="A838" s="83"/>
      <c r="B838" s="293"/>
      <c r="C838" s="297" t="s">
        <v>1943</v>
      </c>
      <c r="D838" s="295" t="s">
        <v>2748</v>
      </c>
      <c r="E838" s="295" t="s">
        <v>1945</v>
      </c>
      <c r="F838" s="295" t="s">
        <v>1946</v>
      </c>
      <c r="G838" s="295" t="s">
        <v>1947</v>
      </c>
      <c r="H838" s="295" t="s">
        <v>1948</v>
      </c>
    </row>
    <row r="839" customFormat="false" ht="54.75" hidden="false" customHeight="true" outlineLevel="0" collapsed="false">
      <c r="A839" s="83"/>
      <c r="B839" s="293"/>
      <c r="C839" s="298" t="s">
        <v>1949</v>
      </c>
      <c r="D839" s="292" t="s">
        <v>2749</v>
      </c>
      <c r="E839" s="292" t="s">
        <v>1951</v>
      </c>
      <c r="F839" s="292" t="s">
        <v>1952</v>
      </c>
      <c r="G839" s="292" t="s">
        <v>1953</v>
      </c>
      <c r="H839" s="292" t="s">
        <v>1954</v>
      </c>
    </row>
    <row r="840" customFormat="false" ht="54.75" hidden="false" customHeight="true" outlineLevel="0" collapsed="false">
      <c r="A840" s="83" t="n">
        <v>167</v>
      </c>
      <c r="B840" s="299" t="s">
        <v>430</v>
      </c>
      <c r="C840" s="291" t="s">
        <v>1926</v>
      </c>
      <c r="D840" s="292" t="s">
        <v>2750</v>
      </c>
      <c r="E840" s="292" t="s">
        <v>1928</v>
      </c>
      <c r="F840" s="292" t="s">
        <v>58</v>
      </c>
      <c r="G840" s="292" t="s">
        <v>1929</v>
      </c>
      <c r="H840" s="292" t="s">
        <v>1930</v>
      </c>
    </row>
    <row r="841" customFormat="false" ht="54.75" hidden="false" customHeight="true" outlineLevel="0" collapsed="false">
      <c r="A841" s="83"/>
      <c r="B841" s="300"/>
      <c r="C841" s="294" t="s">
        <v>1931</v>
      </c>
      <c r="D841" s="295" t="s">
        <v>2751</v>
      </c>
      <c r="E841" s="295" t="s">
        <v>1933</v>
      </c>
      <c r="F841" s="295" t="s">
        <v>1934</v>
      </c>
      <c r="G841" s="295" t="s">
        <v>1935</v>
      </c>
      <c r="H841" s="295" t="s">
        <v>1936</v>
      </c>
    </row>
    <row r="842" customFormat="false" ht="54.75" hidden="false" customHeight="true" outlineLevel="0" collapsed="false">
      <c r="A842" s="83"/>
      <c r="B842" s="300"/>
      <c r="C842" s="296" t="s">
        <v>1937</v>
      </c>
      <c r="D842" s="292" t="s">
        <v>2752</v>
      </c>
      <c r="E842" s="292" t="s">
        <v>1939</v>
      </c>
      <c r="F842" s="292" t="s">
        <v>1940</v>
      </c>
      <c r="G842" s="292" t="s">
        <v>1941</v>
      </c>
      <c r="H842" s="292" t="s">
        <v>1942</v>
      </c>
    </row>
    <row r="843" customFormat="false" ht="54.75" hidden="false" customHeight="true" outlineLevel="0" collapsed="false">
      <c r="A843" s="83"/>
      <c r="B843" s="300"/>
      <c r="C843" s="297" t="s">
        <v>1943</v>
      </c>
      <c r="D843" s="295" t="s">
        <v>2753</v>
      </c>
      <c r="E843" s="295" t="s">
        <v>1945</v>
      </c>
      <c r="F843" s="295" t="s">
        <v>1946</v>
      </c>
      <c r="G843" s="295" t="s">
        <v>1947</v>
      </c>
      <c r="H843" s="295" t="s">
        <v>1948</v>
      </c>
    </row>
    <row r="844" customFormat="false" ht="54.75" hidden="false" customHeight="true" outlineLevel="0" collapsed="false">
      <c r="A844" s="83"/>
      <c r="B844" s="300"/>
      <c r="C844" s="298" t="s">
        <v>1949</v>
      </c>
      <c r="D844" s="292" t="s">
        <v>2754</v>
      </c>
      <c r="E844" s="292" t="s">
        <v>1951</v>
      </c>
      <c r="F844" s="292" t="s">
        <v>1952</v>
      </c>
      <c r="G844" s="292" t="s">
        <v>1953</v>
      </c>
      <c r="H844" s="292" t="s">
        <v>1954</v>
      </c>
    </row>
    <row r="845" customFormat="false" ht="54.75" hidden="false" customHeight="true" outlineLevel="0" collapsed="false">
      <c r="A845" s="83" t="n">
        <v>168</v>
      </c>
      <c r="B845" s="290" t="s">
        <v>431</v>
      </c>
      <c r="C845" s="291" t="s">
        <v>1926</v>
      </c>
      <c r="D845" s="292" t="s">
        <v>2755</v>
      </c>
      <c r="E845" s="292" t="s">
        <v>1928</v>
      </c>
      <c r="F845" s="292" t="s">
        <v>58</v>
      </c>
      <c r="G845" s="292" t="s">
        <v>1929</v>
      </c>
      <c r="H845" s="292" t="s">
        <v>1930</v>
      </c>
    </row>
    <row r="846" customFormat="false" ht="54.75" hidden="false" customHeight="true" outlineLevel="0" collapsed="false">
      <c r="A846" s="83"/>
      <c r="B846" s="293"/>
      <c r="C846" s="294" t="s">
        <v>1931</v>
      </c>
      <c r="D846" s="295" t="s">
        <v>2756</v>
      </c>
      <c r="E846" s="295" t="s">
        <v>1933</v>
      </c>
      <c r="F846" s="295" t="s">
        <v>1934</v>
      </c>
      <c r="G846" s="295" t="s">
        <v>1935</v>
      </c>
      <c r="H846" s="295" t="s">
        <v>1936</v>
      </c>
    </row>
    <row r="847" customFormat="false" ht="54.75" hidden="false" customHeight="true" outlineLevel="0" collapsed="false">
      <c r="A847" s="83"/>
      <c r="B847" s="293"/>
      <c r="C847" s="296" t="s">
        <v>1937</v>
      </c>
      <c r="D847" s="292" t="s">
        <v>2757</v>
      </c>
      <c r="E847" s="292" t="s">
        <v>1939</v>
      </c>
      <c r="F847" s="292" t="s">
        <v>1940</v>
      </c>
      <c r="G847" s="292" t="s">
        <v>1941</v>
      </c>
      <c r="H847" s="292" t="s">
        <v>1942</v>
      </c>
    </row>
    <row r="848" customFormat="false" ht="54.75" hidden="false" customHeight="true" outlineLevel="0" collapsed="false">
      <c r="A848" s="83"/>
      <c r="B848" s="293"/>
      <c r="C848" s="297" t="s">
        <v>1943</v>
      </c>
      <c r="D848" s="295" t="s">
        <v>2758</v>
      </c>
      <c r="E848" s="295" t="s">
        <v>1945</v>
      </c>
      <c r="F848" s="295" t="s">
        <v>1946</v>
      </c>
      <c r="G848" s="295" t="s">
        <v>1947</v>
      </c>
      <c r="H848" s="295" t="s">
        <v>1948</v>
      </c>
    </row>
    <row r="849" customFormat="false" ht="54.75" hidden="false" customHeight="true" outlineLevel="0" collapsed="false">
      <c r="A849" s="83"/>
      <c r="B849" s="293"/>
      <c r="C849" s="298" t="s">
        <v>1949</v>
      </c>
      <c r="D849" s="292" t="s">
        <v>2759</v>
      </c>
      <c r="E849" s="292" t="s">
        <v>1951</v>
      </c>
      <c r="F849" s="292" t="s">
        <v>1952</v>
      </c>
      <c r="G849" s="292" t="s">
        <v>1953</v>
      </c>
      <c r="H849" s="292" t="s">
        <v>1954</v>
      </c>
    </row>
    <row r="850" customFormat="false" ht="54.75" hidden="false" customHeight="true" outlineLevel="0" collapsed="false">
      <c r="A850" s="83" t="n">
        <v>169</v>
      </c>
      <c r="B850" s="299" t="s">
        <v>432</v>
      </c>
      <c r="C850" s="291" t="s">
        <v>1926</v>
      </c>
      <c r="D850" s="292" t="s">
        <v>2760</v>
      </c>
      <c r="E850" s="292" t="s">
        <v>1928</v>
      </c>
      <c r="F850" s="292" t="s">
        <v>58</v>
      </c>
      <c r="G850" s="292" t="s">
        <v>1929</v>
      </c>
      <c r="H850" s="292" t="s">
        <v>1930</v>
      </c>
    </row>
    <row r="851" customFormat="false" ht="54.75" hidden="false" customHeight="true" outlineLevel="0" collapsed="false">
      <c r="A851" s="83"/>
      <c r="B851" s="300"/>
      <c r="C851" s="294" t="s">
        <v>1931</v>
      </c>
      <c r="D851" s="295" t="s">
        <v>2761</v>
      </c>
      <c r="E851" s="295" t="s">
        <v>1933</v>
      </c>
      <c r="F851" s="295" t="s">
        <v>1934</v>
      </c>
      <c r="G851" s="295" t="s">
        <v>1935</v>
      </c>
      <c r="H851" s="295" t="s">
        <v>1936</v>
      </c>
    </row>
    <row r="852" customFormat="false" ht="54.75" hidden="false" customHeight="true" outlineLevel="0" collapsed="false">
      <c r="A852" s="83"/>
      <c r="B852" s="300"/>
      <c r="C852" s="296" t="s">
        <v>1937</v>
      </c>
      <c r="D852" s="292" t="s">
        <v>2762</v>
      </c>
      <c r="E852" s="292" t="s">
        <v>1939</v>
      </c>
      <c r="F852" s="292" t="s">
        <v>1940</v>
      </c>
      <c r="G852" s="292" t="s">
        <v>1941</v>
      </c>
      <c r="H852" s="292" t="s">
        <v>1942</v>
      </c>
    </row>
    <row r="853" customFormat="false" ht="54.75" hidden="false" customHeight="true" outlineLevel="0" collapsed="false">
      <c r="A853" s="83"/>
      <c r="B853" s="300"/>
      <c r="C853" s="297" t="s">
        <v>1943</v>
      </c>
      <c r="D853" s="295" t="s">
        <v>2763</v>
      </c>
      <c r="E853" s="295" t="s">
        <v>1945</v>
      </c>
      <c r="F853" s="295" t="s">
        <v>1946</v>
      </c>
      <c r="G853" s="295" t="s">
        <v>1947</v>
      </c>
      <c r="H853" s="295" t="s">
        <v>1948</v>
      </c>
    </row>
    <row r="854" customFormat="false" ht="54.75" hidden="false" customHeight="true" outlineLevel="0" collapsed="false">
      <c r="A854" s="83"/>
      <c r="B854" s="300"/>
      <c r="C854" s="298" t="s">
        <v>1949</v>
      </c>
      <c r="D854" s="292" t="s">
        <v>2764</v>
      </c>
      <c r="E854" s="292" t="s">
        <v>1951</v>
      </c>
      <c r="F854" s="292" t="s">
        <v>1952</v>
      </c>
      <c r="G854" s="292" t="s">
        <v>1953</v>
      </c>
      <c r="H854" s="292" t="s">
        <v>1954</v>
      </c>
    </row>
    <row r="855" customFormat="false" ht="54.75" hidden="false" customHeight="true" outlineLevel="0" collapsed="false">
      <c r="A855" s="83" t="n">
        <v>170</v>
      </c>
      <c r="B855" s="290" t="s">
        <v>433</v>
      </c>
      <c r="C855" s="291" t="s">
        <v>1926</v>
      </c>
      <c r="D855" s="292" t="s">
        <v>2765</v>
      </c>
      <c r="E855" s="292" t="s">
        <v>1928</v>
      </c>
      <c r="F855" s="292" t="s">
        <v>58</v>
      </c>
      <c r="G855" s="292" t="s">
        <v>1929</v>
      </c>
      <c r="H855" s="292" t="s">
        <v>1930</v>
      </c>
    </row>
    <row r="856" customFormat="false" ht="54.75" hidden="false" customHeight="true" outlineLevel="0" collapsed="false">
      <c r="A856" s="83"/>
      <c r="B856" s="293"/>
      <c r="C856" s="294" t="s">
        <v>1931</v>
      </c>
      <c r="D856" s="295" t="s">
        <v>2766</v>
      </c>
      <c r="E856" s="295" t="s">
        <v>1933</v>
      </c>
      <c r="F856" s="295" t="s">
        <v>1934</v>
      </c>
      <c r="G856" s="295" t="s">
        <v>1935</v>
      </c>
      <c r="H856" s="295" t="s">
        <v>1936</v>
      </c>
    </row>
    <row r="857" customFormat="false" ht="54.75" hidden="false" customHeight="true" outlineLevel="0" collapsed="false">
      <c r="A857" s="83"/>
      <c r="B857" s="293"/>
      <c r="C857" s="296" t="s">
        <v>1937</v>
      </c>
      <c r="D857" s="292" t="s">
        <v>2767</v>
      </c>
      <c r="E857" s="292" t="s">
        <v>1939</v>
      </c>
      <c r="F857" s="292" t="s">
        <v>1940</v>
      </c>
      <c r="G857" s="292" t="s">
        <v>1941</v>
      </c>
      <c r="H857" s="292" t="s">
        <v>1942</v>
      </c>
    </row>
    <row r="858" customFormat="false" ht="54.75" hidden="false" customHeight="true" outlineLevel="0" collapsed="false">
      <c r="A858" s="83"/>
      <c r="B858" s="293"/>
      <c r="C858" s="297" t="s">
        <v>1943</v>
      </c>
      <c r="D858" s="295" t="s">
        <v>2768</v>
      </c>
      <c r="E858" s="295" t="s">
        <v>1945</v>
      </c>
      <c r="F858" s="295" t="s">
        <v>1946</v>
      </c>
      <c r="G858" s="295" t="s">
        <v>1947</v>
      </c>
      <c r="H858" s="295" t="s">
        <v>1948</v>
      </c>
    </row>
    <row r="859" customFormat="false" ht="54.75" hidden="false" customHeight="true" outlineLevel="0" collapsed="false">
      <c r="A859" s="83"/>
      <c r="B859" s="293"/>
      <c r="C859" s="298" t="s">
        <v>1949</v>
      </c>
      <c r="D859" s="292" t="s">
        <v>2769</v>
      </c>
      <c r="E859" s="292" t="s">
        <v>1951</v>
      </c>
      <c r="F859" s="292" t="s">
        <v>1952</v>
      </c>
      <c r="G859" s="292" t="s">
        <v>1953</v>
      </c>
      <c r="H859" s="292" t="s">
        <v>1954</v>
      </c>
    </row>
    <row r="860" customFormat="false" ht="54.75" hidden="false" customHeight="true" outlineLevel="0" collapsed="false">
      <c r="A860" s="83" t="n">
        <v>171</v>
      </c>
      <c r="B860" s="299" t="s">
        <v>434</v>
      </c>
      <c r="C860" s="291" t="s">
        <v>1926</v>
      </c>
      <c r="D860" s="292" t="s">
        <v>2770</v>
      </c>
      <c r="E860" s="292" t="s">
        <v>1928</v>
      </c>
      <c r="F860" s="292" t="s">
        <v>58</v>
      </c>
      <c r="G860" s="292" t="s">
        <v>1929</v>
      </c>
      <c r="H860" s="292" t="s">
        <v>1930</v>
      </c>
    </row>
    <row r="861" customFormat="false" ht="54.75" hidden="false" customHeight="true" outlineLevel="0" collapsed="false">
      <c r="A861" s="83"/>
      <c r="B861" s="300"/>
      <c r="C861" s="294" t="s">
        <v>1931</v>
      </c>
      <c r="D861" s="295" t="s">
        <v>2771</v>
      </c>
      <c r="E861" s="295" t="s">
        <v>1933</v>
      </c>
      <c r="F861" s="295" t="s">
        <v>1934</v>
      </c>
      <c r="G861" s="295" t="s">
        <v>1935</v>
      </c>
      <c r="H861" s="295" t="s">
        <v>1936</v>
      </c>
    </row>
    <row r="862" customFormat="false" ht="54.75" hidden="false" customHeight="true" outlineLevel="0" collapsed="false">
      <c r="A862" s="83"/>
      <c r="B862" s="300"/>
      <c r="C862" s="296" t="s">
        <v>1937</v>
      </c>
      <c r="D862" s="292" t="s">
        <v>2772</v>
      </c>
      <c r="E862" s="292" t="s">
        <v>1939</v>
      </c>
      <c r="F862" s="292" t="s">
        <v>1940</v>
      </c>
      <c r="G862" s="292" t="s">
        <v>1941</v>
      </c>
      <c r="H862" s="292" t="s">
        <v>1942</v>
      </c>
    </row>
    <row r="863" customFormat="false" ht="54.75" hidden="false" customHeight="true" outlineLevel="0" collapsed="false">
      <c r="A863" s="83"/>
      <c r="B863" s="300"/>
      <c r="C863" s="297" t="s">
        <v>1943</v>
      </c>
      <c r="D863" s="295" t="s">
        <v>2773</v>
      </c>
      <c r="E863" s="295" t="s">
        <v>1945</v>
      </c>
      <c r="F863" s="295" t="s">
        <v>1946</v>
      </c>
      <c r="G863" s="295" t="s">
        <v>1947</v>
      </c>
      <c r="H863" s="295" t="s">
        <v>1948</v>
      </c>
    </row>
    <row r="864" customFormat="false" ht="54.75" hidden="false" customHeight="true" outlineLevel="0" collapsed="false">
      <c r="A864" s="83"/>
      <c r="B864" s="300"/>
      <c r="C864" s="298" t="s">
        <v>1949</v>
      </c>
      <c r="D864" s="292" t="s">
        <v>2774</v>
      </c>
      <c r="E864" s="292" t="s">
        <v>1951</v>
      </c>
      <c r="F864" s="292" t="s">
        <v>1952</v>
      </c>
      <c r="G864" s="292" t="s">
        <v>1953</v>
      </c>
      <c r="H864" s="292" t="s">
        <v>1954</v>
      </c>
    </row>
    <row r="865" customFormat="false" ht="39.75" hidden="false" customHeight="true" outlineLevel="0" collapsed="false">
      <c r="A865" s="289" t="s">
        <v>2775</v>
      </c>
      <c r="B865" s="289"/>
      <c r="C865" s="289"/>
      <c r="D865" s="289"/>
      <c r="E865" s="289"/>
      <c r="F865" s="289"/>
      <c r="G865" s="289"/>
      <c r="H865" s="289"/>
    </row>
    <row r="866" customFormat="false" ht="54.75" hidden="false" customHeight="true" outlineLevel="0" collapsed="false">
      <c r="A866" s="83" t="n">
        <v>172</v>
      </c>
      <c r="B866" s="290" t="s">
        <v>436</v>
      </c>
      <c r="C866" s="291" t="s">
        <v>1926</v>
      </c>
      <c r="D866" s="292" t="s">
        <v>2776</v>
      </c>
      <c r="E866" s="292" t="s">
        <v>1928</v>
      </c>
      <c r="F866" s="292" t="s">
        <v>58</v>
      </c>
      <c r="G866" s="292" t="s">
        <v>1929</v>
      </c>
      <c r="H866" s="292" t="s">
        <v>1930</v>
      </c>
    </row>
    <row r="867" customFormat="false" ht="54.75" hidden="false" customHeight="true" outlineLevel="0" collapsed="false">
      <c r="A867" s="83"/>
      <c r="B867" s="293"/>
      <c r="C867" s="294" t="s">
        <v>1931</v>
      </c>
      <c r="D867" s="295" t="s">
        <v>2777</v>
      </c>
      <c r="E867" s="295" t="s">
        <v>1933</v>
      </c>
      <c r="F867" s="295" t="s">
        <v>1934</v>
      </c>
      <c r="G867" s="295" t="s">
        <v>1935</v>
      </c>
      <c r="H867" s="295" t="s">
        <v>1936</v>
      </c>
    </row>
    <row r="868" customFormat="false" ht="54.75" hidden="false" customHeight="true" outlineLevel="0" collapsed="false">
      <c r="A868" s="83"/>
      <c r="B868" s="293"/>
      <c r="C868" s="296" t="s">
        <v>1937</v>
      </c>
      <c r="D868" s="292" t="s">
        <v>2778</v>
      </c>
      <c r="E868" s="292" t="s">
        <v>1939</v>
      </c>
      <c r="F868" s="292" t="s">
        <v>1940</v>
      </c>
      <c r="G868" s="292" t="s">
        <v>1941</v>
      </c>
      <c r="H868" s="292" t="s">
        <v>1942</v>
      </c>
    </row>
    <row r="869" customFormat="false" ht="54.75" hidden="false" customHeight="true" outlineLevel="0" collapsed="false">
      <c r="A869" s="83"/>
      <c r="B869" s="293"/>
      <c r="C869" s="297" t="s">
        <v>1943</v>
      </c>
      <c r="D869" s="295" t="s">
        <v>2779</v>
      </c>
      <c r="E869" s="295" t="s">
        <v>1945</v>
      </c>
      <c r="F869" s="295" t="s">
        <v>1946</v>
      </c>
      <c r="G869" s="295" t="s">
        <v>1947</v>
      </c>
      <c r="H869" s="295" t="s">
        <v>1948</v>
      </c>
    </row>
    <row r="870" customFormat="false" ht="54.75" hidden="false" customHeight="true" outlineLevel="0" collapsed="false">
      <c r="A870" s="83"/>
      <c r="B870" s="293"/>
      <c r="C870" s="298" t="s">
        <v>1949</v>
      </c>
      <c r="D870" s="292" t="s">
        <v>2780</v>
      </c>
      <c r="E870" s="292" t="s">
        <v>1951</v>
      </c>
      <c r="F870" s="292" t="s">
        <v>1952</v>
      </c>
      <c r="G870" s="292" t="s">
        <v>1953</v>
      </c>
      <c r="H870" s="292" t="s">
        <v>1954</v>
      </c>
    </row>
    <row r="871" customFormat="false" ht="54.75" hidden="false" customHeight="true" outlineLevel="0" collapsed="false">
      <c r="A871" s="83" t="n">
        <v>173</v>
      </c>
      <c r="B871" s="299" t="s">
        <v>437</v>
      </c>
      <c r="C871" s="291" t="s">
        <v>1926</v>
      </c>
      <c r="D871" s="292" t="s">
        <v>2781</v>
      </c>
      <c r="E871" s="292" t="s">
        <v>1928</v>
      </c>
      <c r="F871" s="292" t="s">
        <v>58</v>
      </c>
      <c r="G871" s="292" t="s">
        <v>1929</v>
      </c>
      <c r="H871" s="292" t="s">
        <v>1930</v>
      </c>
    </row>
    <row r="872" customFormat="false" ht="54.75" hidden="false" customHeight="true" outlineLevel="0" collapsed="false">
      <c r="A872" s="83"/>
      <c r="B872" s="300"/>
      <c r="C872" s="294" t="s">
        <v>1931</v>
      </c>
      <c r="D872" s="295" t="s">
        <v>2782</v>
      </c>
      <c r="E872" s="295" t="s">
        <v>1933</v>
      </c>
      <c r="F872" s="295" t="s">
        <v>1934</v>
      </c>
      <c r="G872" s="295" t="s">
        <v>1935</v>
      </c>
      <c r="H872" s="295" t="s">
        <v>1936</v>
      </c>
    </row>
    <row r="873" customFormat="false" ht="54.75" hidden="false" customHeight="true" outlineLevel="0" collapsed="false">
      <c r="A873" s="83"/>
      <c r="B873" s="300"/>
      <c r="C873" s="296" t="s">
        <v>1937</v>
      </c>
      <c r="D873" s="292" t="s">
        <v>2783</v>
      </c>
      <c r="E873" s="292" t="s">
        <v>1939</v>
      </c>
      <c r="F873" s="292" t="s">
        <v>1940</v>
      </c>
      <c r="G873" s="292" t="s">
        <v>1941</v>
      </c>
      <c r="H873" s="292" t="s">
        <v>1942</v>
      </c>
    </row>
    <row r="874" customFormat="false" ht="54.75" hidden="false" customHeight="true" outlineLevel="0" collapsed="false">
      <c r="A874" s="83"/>
      <c r="B874" s="300"/>
      <c r="C874" s="297" t="s">
        <v>1943</v>
      </c>
      <c r="D874" s="295" t="s">
        <v>2784</v>
      </c>
      <c r="E874" s="295" t="s">
        <v>1945</v>
      </c>
      <c r="F874" s="295" t="s">
        <v>1946</v>
      </c>
      <c r="G874" s="295" t="s">
        <v>1947</v>
      </c>
      <c r="H874" s="295" t="s">
        <v>1948</v>
      </c>
    </row>
    <row r="875" customFormat="false" ht="54.75" hidden="false" customHeight="true" outlineLevel="0" collapsed="false">
      <c r="A875" s="83"/>
      <c r="B875" s="300"/>
      <c r="C875" s="298" t="s">
        <v>1949</v>
      </c>
      <c r="D875" s="292" t="s">
        <v>2785</v>
      </c>
      <c r="E875" s="292" t="s">
        <v>1951</v>
      </c>
      <c r="F875" s="292" t="s">
        <v>1952</v>
      </c>
      <c r="G875" s="292" t="s">
        <v>1953</v>
      </c>
      <c r="H875" s="292" t="s">
        <v>1954</v>
      </c>
    </row>
    <row r="876" customFormat="false" ht="54.75" hidden="false" customHeight="true" outlineLevel="0" collapsed="false">
      <c r="A876" s="83" t="n">
        <v>174</v>
      </c>
      <c r="B876" s="290" t="s">
        <v>438</v>
      </c>
      <c r="C876" s="291" t="s">
        <v>1926</v>
      </c>
      <c r="D876" s="292" t="s">
        <v>2786</v>
      </c>
      <c r="E876" s="292" t="s">
        <v>1928</v>
      </c>
      <c r="F876" s="292" t="s">
        <v>58</v>
      </c>
      <c r="G876" s="292" t="s">
        <v>1929</v>
      </c>
      <c r="H876" s="292" t="s">
        <v>1930</v>
      </c>
    </row>
    <row r="877" customFormat="false" ht="54.75" hidden="false" customHeight="true" outlineLevel="0" collapsed="false">
      <c r="A877" s="83"/>
      <c r="B877" s="293"/>
      <c r="C877" s="294" t="s">
        <v>1931</v>
      </c>
      <c r="D877" s="295" t="s">
        <v>2787</v>
      </c>
      <c r="E877" s="295" t="s">
        <v>1933</v>
      </c>
      <c r="F877" s="295" t="s">
        <v>1934</v>
      </c>
      <c r="G877" s="295" t="s">
        <v>1935</v>
      </c>
      <c r="H877" s="295" t="s">
        <v>1936</v>
      </c>
    </row>
    <row r="878" customFormat="false" ht="54.75" hidden="false" customHeight="true" outlineLevel="0" collapsed="false">
      <c r="A878" s="83"/>
      <c r="B878" s="293"/>
      <c r="C878" s="296" t="s">
        <v>1937</v>
      </c>
      <c r="D878" s="292" t="s">
        <v>2788</v>
      </c>
      <c r="E878" s="292" t="s">
        <v>1939</v>
      </c>
      <c r="F878" s="292" t="s">
        <v>1940</v>
      </c>
      <c r="G878" s="292" t="s">
        <v>1941</v>
      </c>
      <c r="H878" s="292" t="s">
        <v>1942</v>
      </c>
    </row>
    <row r="879" customFormat="false" ht="54.75" hidden="false" customHeight="true" outlineLevel="0" collapsed="false">
      <c r="A879" s="83"/>
      <c r="B879" s="293"/>
      <c r="C879" s="297" t="s">
        <v>1943</v>
      </c>
      <c r="D879" s="295" t="s">
        <v>2789</v>
      </c>
      <c r="E879" s="295" t="s">
        <v>1945</v>
      </c>
      <c r="F879" s="295" t="s">
        <v>1946</v>
      </c>
      <c r="G879" s="295" t="s">
        <v>1947</v>
      </c>
      <c r="H879" s="295" t="s">
        <v>1948</v>
      </c>
    </row>
    <row r="880" customFormat="false" ht="54.75" hidden="false" customHeight="true" outlineLevel="0" collapsed="false">
      <c r="A880" s="83"/>
      <c r="B880" s="293"/>
      <c r="C880" s="298" t="s">
        <v>1949</v>
      </c>
      <c r="D880" s="292" t="s">
        <v>2790</v>
      </c>
      <c r="E880" s="292" t="s">
        <v>1951</v>
      </c>
      <c r="F880" s="292" t="s">
        <v>1952</v>
      </c>
      <c r="G880" s="292" t="s">
        <v>1953</v>
      </c>
      <c r="H880" s="292" t="s">
        <v>1954</v>
      </c>
    </row>
    <row r="881" customFormat="false" ht="54.75" hidden="false" customHeight="true" outlineLevel="0" collapsed="false">
      <c r="A881" s="83" t="n">
        <v>175</v>
      </c>
      <c r="B881" s="299" t="s">
        <v>439</v>
      </c>
      <c r="C881" s="291" t="s">
        <v>1926</v>
      </c>
      <c r="D881" s="292" t="s">
        <v>2791</v>
      </c>
      <c r="E881" s="292" t="s">
        <v>1928</v>
      </c>
      <c r="F881" s="292" t="s">
        <v>58</v>
      </c>
      <c r="G881" s="292" t="s">
        <v>1929</v>
      </c>
      <c r="H881" s="292" t="s">
        <v>1930</v>
      </c>
    </row>
    <row r="882" customFormat="false" ht="54.75" hidden="false" customHeight="true" outlineLevel="0" collapsed="false">
      <c r="A882" s="83"/>
      <c r="B882" s="300"/>
      <c r="C882" s="294" t="s">
        <v>1931</v>
      </c>
      <c r="D882" s="295" t="s">
        <v>2792</v>
      </c>
      <c r="E882" s="295" t="s">
        <v>1933</v>
      </c>
      <c r="F882" s="295" t="s">
        <v>1934</v>
      </c>
      <c r="G882" s="295" t="s">
        <v>1935</v>
      </c>
      <c r="H882" s="295" t="s">
        <v>1936</v>
      </c>
    </row>
    <row r="883" customFormat="false" ht="54.75" hidden="false" customHeight="true" outlineLevel="0" collapsed="false">
      <c r="A883" s="83"/>
      <c r="B883" s="300"/>
      <c r="C883" s="296" t="s">
        <v>1937</v>
      </c>
      <c r="D883" s="292" t="s">
        <v>2793</v>
      </c>
      <c r="E883" s="292" t="s">
        <v>1939</v>
      </c>
      <c r="F883" s="292" t="s">
        <v>1940</v>
      </c>
      <c r="G883" s="292" t="s">
        <v>1941</v>
      </c>
      <c r="H883" s="292" t="s">
        <v>1942</v>
      </c>
    </row>
    <row r="884" customFormat="false" ht="54.75" hidden="false" customHeight="true" outlineLevel="0" collapsed="false">
      <c r="A884" s="83"/>
      <c r="B884" s="300"/>
      <c r="C884" s="297" t="s">
        <v>1943</v>
      </c>
      <c r="D884" s="295" t="s">
        <v>2794</v>
      </c>
      <c r="E884" s="295" t="s">
        <v>1945</v>
      </c>
      <c r="F884" s="295" t="s">
        <v>1946</v>
      </c>
      <c r="G884" s="295" t="s">
        <v>1947</v>
      </c>
      <c r="H884" s="295" t="s">
        <v>1948</v>
      </c>
    </row>
    <row r="885" customFormat="false" ht="54.75" hidden="false" customHeight="true" outlineLevel="0" collapsed="false">
      <c r="A885" s="83"/>
      <c r="B885" s="300"/>
      <c r="C885" s="298" t="s">
        <v>1949</v>
      </c>
      <c r="D885" s="292" t="s">
        <v>2795</v>
      </c>
      <c r="E885" s="292" t="s">
        <v>1951</v>
      </c>
      <c r="F885" s="292" t="s">
        <v>1952</v>
      </c>
      <c r="G885" s="292" t="s">
        <v>1953</v>
      </c>
      <c r="H885" s="292" t="s">
        <v>1954</v>
      </c>
    </row>
    <row r="886" customFormat="false" ht="54.75" hidden="false" customHeight="true" outlineLevel="0" collapsed="false">
      <c r="A886" s="83" t="n">
        <v>176</v>
      </c>
      <c r="B886" s="290" t="s">
        <v>440</v>
      </c>
      <c r="C886" s="291" t="s">
        <v>1926</v>
      </c>
      <c r="D886" s="292" t="s">
        <v>2796</v>
      </c>
      <c r="E886" s="292" t="s">
        <v>1928</v>
      </c>
      <c r="F886" s="292" t="s">
        <v>58</v>
      </c>
      <c r="G886" s="292" t="s">
        <v>1929</v>
      </c>
      <c r="H886" s="292" t="s">
        <v>1930</v>
      </c>
    </row>
    <row r="887" customFormat="false" ht="54.75" hidden="false" customHeight="true" outlineLevel="0" collapsed="false">
      <c r="A887" s="83"/>
      <c r="B887" s="293"/>
      <c r="C887" s="294" t="s">
        <v>1931</v>
      </c>
      <c r="D887" s="295" t="s">
        <v>2797</v>
      </c>
      <c r="E887" s="295" t="s">
        <v>1933</v>
      </c>
      <c r="F887" s="295" t="s">
        <v>1934</v>
      </c>
      <c r="G887" s="295" t="s">
        <v>1935</v>
      </c>
      <c r="H887" s="295" t="s">
        <v>1936</v>
      </c>
    </row>
    <row r="888" customFormat="false" ht="54.75" hidden="false" customHeight="true" outlineLevel="0" collapsed="false">
      <c r="A888" s="83"/>
      <c r="B888" s="293"/>
      <c r="C888" s="296" t="s">
        <v>1937</v>
      </c>
      <c r="D888" s="292" t="s">
        <v>2798</v>
      </c>
      <c r="E888" s="292" t="s">
        <v>1939</v>
      </c>
      <c r="F888" s="292" t="s">
        <v>1940</v>
      </c>
      <c r="G888" s="292" t="s">
        <v>1941</v>
      </c>
      <c r="H888" s="292" t="s">
        <v>1942</v>
      </c>
    </row>
    <row r="889" customFormat="false" ht="54.75" hidden="false" customHeight="true" outlineLevel="0" collapsed="false">
      <c r="A889" s="83"/>
      <c r="B889" s="293"/>
      <c r="C889" s="297" t="s">
        <v>1943</v>
      </c>
      <c r="D889" s="295" t="s">
        <v>2799</v>
      </c>
      <c r="E889" s="295" t="s">
        <v>1945</v>
      </c>
      <c r="F889" s="295" t="s">
        <v>1946</v>
      </c>
      <c r="G889" s="295" t="s">
        <v>1947</v>
      </c>
      <c r="H889" s="295" t="s">
        <v>1948</v>
      </c>
    </row>
    <row r="890" customFormat="false" ht="54.75" hidden="false" customHeight="true" outlineLevel="0" collapsed="false">
      <c r="A890" s="83"/>
      <c r="B890" s="293"/>
      <c r="C890" s="298" t="s">
        <v>1949</v>
      </c>
      <c r="D890" s="292" t="s">
        <v>2800</v>
      </c>
      <c r="E890" s="292" t="s">
        <v>1951</v>
      </c>
      <c r="F890" s="292" t="s">
        <v>1952</v>
      </c>
      <c r="G890" s="292" t="s">
        <v>1953</v>
      </c>
      <c r="H890" s="292" t="s">
        <v>1954</v>
      </c>
    </row>
    <row r="891" customFormat="false" ht="54.75" hidden="false" customHeight="true" outlineLevel="0" collapsed="false">
      <c r="A891" s="83" t="n">
        <v>177</v>
      </c>
      <c r="B891" s="299" t="s">
        <v>441</v>
      </c>
      <c r="C891" s="291" t="s">
        <v>1926</v>
      </c>
      <c r="D891" s="292" t="s">
        <v>2801</v>
      </c>
      <c r="E891" s="292" t="s">
        <v>1928</v>
      </c>
      <c r="F891" s="292" t="s">
        <v>58</v>
      </c>
      <c r="G891" s="292" t="s">
        <v>1929</v>
      </c>
      <c r="H891" s="292" t="s">
        <v>1930</v>
      </c>
    </row>
    <row r="892" customFormat="false" ht="54.75" hidden="false" customHeight="true" outlineLevel="0" collapsed="false">
      <c r="A892" s="83"/>
      <c r="B892" s="300"/>
      <c r="C892" s="294" t="s">
        <v>1931</v>
      </c>
      <c r="D892" s="295" t="s">
        <v>2802</v>
      </c>
      <c r="E892" s="295" t="s">
        <v>1933</v>
      </c>
      <c r="F892" s="295" t="s">
        <v>1934</v>
      </c>
      <c r="G892" s="295" t="s">
        <v>1935</v>
      </c>
      <c r="H892" s="295" t="s">
        <v>1936</v>
      </c>
    </row>
    <row r="893" customFormat="false" ht="54.75" hidden="false" customHeight="true" outlineLevel="0" collapsed="false">
      <c r="A893" s="83"/>
      <c r="B893" s="300"/>
      <c r="C893" s="296" t="s">
        <v>1937</v>
      </c>
      <c r="D893" s="292" t="s">
        <v>2803</v>
      </c>
      <c r="E893" s="292" t="s">
        <v>1939</v>
      </c>
      <c r="F893" s="292" t="s">
        <v>1940</v>
      </c>
      <c r="G893" s="292" t="s">
        <v>1941</v>
      </c>
      <c r="H893" s="292" t="s">
        <v>1942</v>
      </c>
    </row>
    <row r="894" customFormat="false" ht="54.75" hidden="false" customHeight="true" outlineLevel="0" collapsed="false">
      <c r="A894" s="83"/>
      <c r="B894" s="300"/>
      <c r="C894" s="297" t="s">
        <v>1943</v>
      </c>
      <c r="D894" s="295" t="s">
        <v>2804</v>
      </c>
      <c r="E894" s="295" t="s">
        <v>1945</v>
      </c>
      <c r="F894" s="295" t="s">
        <v>1946</v>
      </c>
      <c r="G894" s="295" t="s">
        <v>1947</v>
      </c>
      <c r="H894" s="295" t="s">
        <v>1948</v>
      </c>
    </row>
    <row r="895" customFormat="false" ht="54.75" hidden="false" customHeight="true" outlineLevel="0" collapsed="false">
      <c r="A895" s="83"/>
      <c r="B895" s="300"/>
      <c r="C895" s="298" t="s">
        <v>1949</v>
      </c>
      <c r="D895" s="292" t="s">
        <v>2805</v>
      </c>
      <c r="E895" s="292" t="s">
        <v>1951</v>
      </c>
      <c r="F895" s="292" t="s">
        <v>1952</v>
      </c>
      <c r="G895" s="292" t="s">
        <v>1953</v>
      </c>
      <c r="H895" s="292" t="s">
        <v>1954</v>
      </c>
    </row>
    <row r="896" customFormat="false" ht="54.75" hidden="false" customHeight="true" outlineLevel="0" collapsed="false">
      <c r="A896" s="83" t="n">
        <v>178</v>
      </c>
      <c r="B896" s="290" t="s">
        <v>442</v>
      </c>
      <c r="C896" s="291" t="s">
        <v>1926</v>
      </c>
      <c r="D896" s="292" t="s">
        <v>2806</v>
      </c>
      <c r="E896" s="292" t="s">
        <v>1928</v>
      </c>
      <c r="F896" s="292" t="s">
        <v>58</v>
      </c>
      <c r="G896" s="292" t="s">
        <v>1929</v>
      </c>
      <c r="H896" s="292" t="s">
        <v>1930</v>
      </c>
    </row>
    <row r="897" customFormat="false" ht="54.75" hidden="false" customHeight="true" outlineLevel="0" collapsed="false">
      <c r="A897" s="83"/>
      <c r="B897" s="293"/>
      <c r="C897" s="294" t="s">
        <v>1931</v>
      </c>
      <c r="D897" s="295" t="s">
        <v>2802</v>
      </c>
      <c r="E897" s="295" t="s">
        <v>1933</v>
      </c>
      <c r="F897" s="295" t="s">
        <v>1934</v>
      </c>
      <c r="G897" s="295" t="s">
        <v>1935</v>
      </c>
      <c r="H897" s="295" t="s">
        <v>1936</v>
      </c>
    </row>
    <row r="898" customFormat="false" ht="54.75" hidden="false" customHeight="true" outlineLevel="0" collapsed="false">
      <c r="A898" s="83"/>
      <c r="B898" s="293"/>
      <c r="C898" s="296" t="s">
        <v>1937</v>
      </c>
      <c r="D898" s="292" t="s">
        <v>2807</v>
      </c>
      <c r="E898" s="292" t="s">
        <v>1939</v>
      </c>
      <c r="F898" s="292" t="s">
        <v>1940</v>
      </c>
      <c r="G898" s="292" t="s">
        <v>1941</v>
      </c>
      <c r="H898" s="292" t="s">
        <v>1942</v>
      </c>
    </row>
    <row r="899" customFormat="false" ht="54.75" hidden="false" customHeight="true" outlineLevel="0" collapsed="false">
      <c r="A899" s="83"/>
      <c r="B899" s="293"/>
      <c r="C899" s="297" t="s">
        <v>1943</v>
      </c>
      <c r="D899" s="295" t="s">
        <v>2808</v>
      </c>
      <c r="E899" s="295" t="s">
        <v>1945</v>
      </c>
      <c r="F899" s="295" t="s">
        <v>1946</v>
      </c>
      <c r="G899" s="295" t="s">
        <v>1947</v>
      </c>
      <c r="H899" s="295" t="s">
        <v>1948</v>
      </c>
    </row>
    <row r="900" customFormat="false" ht="54.75" hidden="false" customHeight="true" outlineLevel="0" collapsed="false">
      <c r="A900" s="83"/>
      <c r="B900" s="293"/>
      <c r="C900" s="298" t="s">
        <v>1949</v>
      </c>
      <c r="D900" s="292" t="s">
        <v>2809</v>
      </c>
      <c r="E900" s="292" t="s">
        <v>1951</v>
      </c>
      <c r="F900" s="292" t="s">
        <v>1952</v>
      </c>
      <c r="G900" s="292" t="s">
        <v>1953</v>
      </c>
      <c r="H900" s="292" t="s">
        <v>1954</v>
      </c>
    </row>
    <row r="901" customFormat="false" ht="54.75" hidden="false" customHeight="true" outlineLevel="0" collapsed="false">
      <c r="A901" s="83" t="n">
        <v>179</v>
      </c>
      <c r="B901" s="299" t="s">
        <v>443</v>
      </c>
      <c r="C901" s="291" t="s">
        <v>1926</v>
      </c>
      <c r="D901" s="292" t="s">
        <v>2810</v>
      </c>
      <c r="E901" s="292" t="s">
        <v>1928</v>
      </c>
      <c r="F901" s="292" t="s">
        <v>58</v>
      </c>
      <c r="G901" s="292" t="s">
        <v>1929</v>
      </c>
      <c r="H901" s="292" t="s">
        <v>1930</v>
      </c>
    </row>
    <row r="902" customFormat="false" ht="54.75" hidden="false" customHeight="true" outlineLevel="0" collapsed="false">
      <c r="A902" s="83"/>
      <c r="B902" s="300"/>
      <c r="C902" s="294" t="s">
        <v>1931</v>
      </c>
      <c r="D902" s="295" t="s">
        <v>2802</v>
      </c>
      <c r="E902" s="295" t="s">
        <v>1933</v>
      </c>
      <c r="F902" s="295" t="s">
        <v>1934</v>
      </c>
      <c r="G902" s="295" t="s">
        <v>1935</v>
      </c>
      <c r="H902" s="295" t="s">
        <v>1936</v>
      </c>
    </row>
    <row r="903" customFormat="false" ht="54.75" hidden="false" customHeight="true" outlineLevel="0" collapsed="false">
      <c r="A903" s="83"/>
      <c r="B903" s="300"/>
      <c r="C903" s="296" t="s">
        <v>1937</v>
      </c>
      <c r="D903" s="292" t="s">
        <v>2811</v>
      </c>
      <c r="E903" s="292" t="s">
        <v>1939</v>
      </c>
      <c r="F903" s="292" t="s">
        <v>1940</v>
      </c>
      <c r="G903" s="292" t="s">
        <v>1941</v>
      </c>
      <c r="H903" s="292" t="s">
        <v>1942</v>
      </c>
    </row>
    <row r="904" customFormat="false" ht="54.75" hidden="false" customHeight="true" outlineLevel="0" collapsed="false">
      <c r="A904" s="83"/>
      <c r="B904" s="300"/>
      <c r="C904" s="297" t="s">
        <v>1943</v>
      </c>
      <c r="D904" s="295" t="s">
        <v>2812</v>
      </c>
      <c r="E904" s="295" t="s">
        <v>1945</v>
      </c>
      <c r="F904" s="295" t="s">
        <v>1946</v>
      </c>
      <c r="G904" s="295" t="s">
        <v>1947</v>
      </c>
      <c r="H904" s="295" t="s">
        <v>1948</v>
      </c>
    </row>
    <row r="905" customFormat="false" ht="54.75" hidden="false" customHeight="true" outlineLevel="0" collapsed="false">
      <c r="A905" s="83"/>
      <c r="B905" s="300"/>
      <c r="C905" s="298" t="s">
        <v>1949</v>
      </c>
      <c r="D905" s="292" t="s">
        <v>2813</v>
      </c>
      <c r="E905" s="292" t="s">
        <v>1951</v>
      </c>
      <c r="F905" s="292" t="s">
        <v>1952</v>
      </c>
      <c r="G905" s="292" t="s">
        <v>1953</v>
      </c>
      <c r="H905" s="292" t="s">
        <v>1954</v>
      </c>
    </row>
    <row r="906" customFormat="false" ht="54.75" hidden="false" customHeight="true" outlineLevel="0" collapsed="false">
      <c r="A906" s="83" t="n">
        <v>180</v>
      </c>
      <c r="B906" s="290" t="s">
        <v>444</v>
      </c>
      <c r="C906" s="291" t="s">
        <v>1926</v>
      </c>
      <c r="D906" s="292" t="s">
        <v>2814</v>
      </c>
      <c r="E906" s="292" t="s">
        <v>1928</v>
      </c>
      <c r="F906" s="292" t="s">
        <v>58</v>
      </c>
      <c r="G906" s="292" t="s">
        <v>1929</v>
      </c>
      <c r="H906" s="292" t="s">
        <v>1930</v>
      </c>
    </row>
    <row r="907" customFormat="false" ht="54.75" hidden="false" customHeight="true" outlineLevel="0" collapsed="false">
      <c r="A907" s="83"/>
      <c r="B907" s="293"/>
      <c r="C907" s="294" t="s">
        <v>1931</v>
      </c>
      <c r="D907" s="295" t="s">
        <v>2802</v>
      </c>
      <c r="E907" s="295" t="s">
        <v>1933</v>
      </c>
      <c r="F907" s="295" t="s">
        <v>1934</v>
      </c>
      <c r="G907" s="295" t="s">
        <v>1935</v>
      </c>
      <c r="H907" s="295" t="s">
        <v>1936</v>
      </c>
    </row>
    <row r="908" customFormat="false" ht="54.75" hidden="false" customHeight="true" outlineLevel="0" collapsed="false">
      <c r="A908" s="83"/>
      <c r="B908" s="293"/>
      <c r="C908" s="296" t="s">
        <v>1937</v>
      </c>
      <c r="D908" s="292" t="s">
        <v>2815</v>
      </c>
      <c r="E908" s="292" t="s">
        <v>1939</v>
      </c>
      <c r="F908" s="292" t="s">
        <v>1940</v>
      </c>
      <c r="G908" s="292" t="s">
        <v>1941</v>
      </c>
      <c r="H908" s="292" t="s">
        <v>1942</v>
      </c>
    </row>
    <row r="909" customFormat="false" ht="54.75" hidden="false" customHeight="true" outlineLevel="0" collapsed="false">
      <c r="A909" s="83"/>
      <c r="B909" s="293"/>
      <c r="C909" s="297" t="s">
        <v>1943</v>
      </c>
      <c r="D909" s="295" t="s">
        <v>2816</v>
      </c>
      <c r="E909" s="295" t="s">
        <v>1945</v>
      </c>
      <c r="F909" s="295" t="s">
        <v>1946</v>
      </c>
      <c r="G909" s="295" t="s">
        <v>1947</v>
      </c>
      <c r="H909" s="295" t="s">
        <v>1948</v>
      </c>
    </row>
    <row r="910" customFormat="false" ht="54.75" hidden="false" customHeight="true" outlineLevel="0" collapsed="false">
      <c r="A910" s="83"/>
      <c r="B910" s="293"/>
      <c r="C910" s="298" t="s">
        <v>1949</v>
      </c>
      <c r="D910" s="292" t="s">
        <v>2817</v>
      </c>
      <c r="E910" s="292" t="s">
        <v>1951</v>
      </c>
      <c r="F910" s="292" t="s">
        <v>1952</v>
      </c>
      <c r="G910" s="292" t="s">
        <v>1953</v>
      </c>
      <c r="H910" s="292" t="s">
        <v>1954</v>
      </c>
    </row>
    <row r="911" customFormat="false" ht="54.75" hidden="false" customHeight="true" outlineLevel="0" collapsed="false">
      <c r="A911" s="83" t="n">
        <v>181</v>
      </c>
      <c r="B911" s="299" t="s">
        <v>445</v>
      </c>
      <c r="C911" s="291" t="s">
        <v>1926</v>
      </c>
      <c r="D911" s="292" t="s">
        <v>2818</v>
      </c>
      <c r="E911" s="292" t="s">
        <v>1928</v>
      </c>
      <c r="F911" s="292" t="s">
        <v>58</v>
      </c>
      <c r="G911" s="292" t="s">
        <v>1929</v>
      </c>
      <c r="H911" s="292" t="s">
        <v>1930</v>
      </c>
    </row>
    <row r="912" customFormat="false" ht="54.75" hidden="false" customHeight="true" outlineLevel="0" collapsed="false">
      <c r="A912" s="83"/>
      <c r="B912" s="300"/>
      <c r="C912" s="294" t="s">
        <v>1931</v>
      </c>
      <c r="D912" s="295" t="s">
        <v>2802</v>
      </c>
      <c r="E912" s="295" t="s">
        <v>1933</v>
      </c>
      <c r="F912" s="295" t="s">
        <v>1934</v>
      </c>
      <c r="G912" s="295" t="s">
        <v>1935</v>
      </c>
      <c r="H912" s="295" t="s">
        <v>1936</v>
      </c>
    </row>
    <row r="913" customFormat="false" ht="54.75" hidden="false" customHeight="true" outlineLevel="0" collapsed="false">
      <c r="A913" s="83"/>
      <c r="B913" s="300"/>
      <c r="C913" s="296" t="s">
        <v>1937</v>
      </c>
      <c r="D913" s="292" t="s">
        <v>2819</v>
      </c>
      <c r="E913" s="292" t="s">
        <v>1939</v>
      </c>
      <c r="F913" s="292" t="s">
        <v>1940</v>
      </c>
      <c r="G913" s="292" t="s">
        <v>1941</v>
      </c>
      <c r="H913" s="292" t="s">
        <v>1942</v>
      </c>
    </row>
    <row r="914" customFormat="false" ht="54.75" hidden="false" customHeight="true" outlineLevel="0" collapsed="false">
      <c r="A914" s="83"/>
      <c r="B914" s="300"/>
      <c r="C914" s="297" t="s">
        <v>1943</v>
      </c>
      <c r="D914" s="295" t="s">
        <v>2820</v>
      </c>
      <c r="E914" s="295" t="s">
        <v>1945</v>
      </c>
      <c r="F914" s="295" t="s">
        <v>1946</v>
      </c>
      <c r="G914" s="295" t="s">
        <v>1947</v>
      </c>
      <c r="H914" s="295" t="s">
        <v>1948</v>
      </c>
    </row>
    <row r="915" customFormat="false" ht="54.75" hidden="false" customHeight="true" outlineLevel="0" collapsed="false">
      <c r="A915" s="83"/>
      <c r="B915" s="300"/>
      <c r="C915" s="298" t="s">
        <v>1949</v>
      </c>
      <c r="D915" s="292" t="s">
        <v>2821</v>
      </c>
      <c r="E915" s="292" t="s">
        <v>1951</v>
      </c>
      <c r="F915" s="292" t="s">
        <v>1952</v>
      </c>
      <c r="G915" s="292" t="s">
        <v>1953</v>
      </c>
      <c r="H915" s="292" t="s">
        <v>1954</v>
      </c>
    </row>
    <row r="916" customFormat="false" ht="54.75" hidden="false" customHeight="true" outlineLevel="0" collapsed="false">
      <c r="A916" s="83" t="n">
        <v>182</v>
      </c>
      <c r="B916" s="290" t="s">
        <v>446</v>
      </c>
      <c r="C916" s="291" t="s">
        <v>1926</v>
      </c>
      <c r="D916" s="292" t="s">
        <v>2822</v>
      </c>
      <c r="E916" s="292" t="s">
        <v>1928</v>
      </c>
      <c r="F916" s="292" t="s">
        <v>58</v>
      </c>
      <c r="G916" s="292" t="s">
        <v>1929</v>
      </c>
      <c r="H916" s="292" t="s">
        <v>1930</v>
      </c>
    </row>
    <row r="917" customFormat="false" ht="54.75" hidden="false" customHeight="true" outlineLevel="0" collapsed="false">
      <c r="A917" s="83"/>
      <c r="B917" s="293"/>
      <c r="C917" s="294" t="s">
        <v>1931</v>
      </c>
      <c r="D917" s="295" t="s">
        <v>2802</v>
      </c>
      <c r="E917" s="295" t="s">
        <v>1933</v>
      </c>
      <c r="F917" s="295" t="s">
        <v>1934</v>
      </c>
      <c r="G917" s="295" t="s">
        <v>1935</v>
      </c>
      <c r="H917" s="295" t="s">
        <v>1936</v>
      </c>
    </row>
    <row r="918" customFormat="false" ht="54.75" hidden="false" customHeight="true" outlineLevel="0" collapsed="false">
      <c r="A918" s="83"/>
      <c r="B918" s="293"/>
      <c r="C918" s="296" t="s">
        <v>1937</v>
      </c>
      <c r="D918" s="292" t="s">
        <v>2823</v>
      </c>
      <c r="E918" s="292" t="s">
        <v>1939</v>
      </c>
      <c r="F918" s="292" t="s">
        <v>1940</v>
      </c>
      <c r="G918" s="292" t="s">
        <v>1941</v>
      </c>
      <c r="H918" s="292" t="s">
        <v>1942</v>
      </c>
    </row>
    <row r="919" customFormat="false" ht="54.75" hidden="false" customHeight="true" outlineLevel="0" collapsed="false">
      <c r="A919" s="83"/>
      <c r="B919" s="293"/>
      <c r="C919" s="297" t="s">
        <v>1943</v>
      </c>
      <c r="D919" s="295" t="s">
        <v>2824</v>
      </c>
      <c r="E919" s="295" t="s">
        <v>1945</v>
      </c>
      <c r="F919" s="295" t="s">
        <v>1946</v>
      </c>
      <c r="G919" s="295" t="s">
        <v>1947</v>
      </c>
      <c r="H919" s="295" t="s">
        <v>1948</v>
      </c>
    </row>
    <row r="920" customFormat="false" ht="54.75" hidden="false" customHeight="true" outlineLevel="0" collapsed="false">
      <c r="A920" s="83"/>
      <c r="B920" s="293"/>
      <c r="C920" s="298" t="s">
        <v>1949</v>
      </c>
      <c r="D920" s="292" t="s">
        <v>2825</v>
      </c>
      <c r="E920" s="292" t="s">
        <v>1951</v>
      </c>
      <c r="F920" s="292" t="s">
        <v>1952</v>
      </c>
      <c r="G920" s="292" t="s">
        <v>1953</v>
      </c>
      <c r="H920" s="292" t="s">
        <v>1954</v>
      </c>
    </row>
    <row r="921" customFormat="false" ht="54.75" hidden="false" customHeight="true" outlineLevel="0" collapsed="false">
      <c r="A921" s="83" t="n">
        <v>183</v>
      </c>
      <c r="B921" s="299" t="s">
        <v>447</v>
      </c>
      <c r="C921" s="291" t="s">
        <v>1926</v>
      </c>
      <c r="D921" s="292" t="s">
        <v>2826</v>
      </c>
      <c r="E921" s="292" t="s">
        <v>1928</v>
      </c>
      <c r="F921" s="292" t="s">
        <v>58</v>
      </c>
      <c r="G921" s="292" t="s">
        <v>1929</v>
      </c>
      <c r="H921" s="292" t="s">
        <v>1930</v>
      </c>
    </row>
    <row r="922" customFormat="false" ht="54.75" hidden="false" customHeight="true" outlineLevel="0" collapsed="false">
      <c r="A922" s="83"/>
      <c r="B922" s="300"/>
      <c r="C922" s="294" t="s">
        <v>1931</v>
      </c>
      <c r="D922" s="295" t="s">
        <v>2827</v>
      </c>
      <c r="E922" s="295" t="s">
        <v>1933</v>
      </c>
      <c r="F922" s="295" t="s">
        <v>1934</v>
      </c>
      <c r="G922" s="295" t="s">
        <v>1935</v>
      </c>
      <c r="H922" s="295" t="s">
        <v>1936</v>
      </c>
    </row>
    <row r="923" customFormat="false" ht="54.75" hidden="false" customHeight="true" outlineLevel="0" collapsed="false">
      <c r="A923" s="83"/>
      <c r="B923" s="300"/>
      <c r="C923" s="296" t="s">
        <v>1937</v>
      </c>
      <c r="D923" s="292" t="s">
        <v>2828</v>
      </c>
      <c r="E923" s="292" t="s">
        <v>1939</v>
      </c>
      <c r="F923" s="292" t="s">
        <v>1940</v>
      </c>
      <c r="G923" s="292" t="s">
        <v>1941</v>
      </c>
      <c r="H923" s="292" t="s">
        <v>1942</v>
      </c>
    </row>
    <row r="924" customFormat="false" ht="54.75" hidden="false" customHeight="true" outlineLevel="0" collapsed="false">
      <c r="A924" s="83"/>
      <c r="B924" s="300"/>
      <c r="C924" s="297" t="s">
        <v>1943</v>
      </c>
      <c r="D924" s="295" t="s">
        <v>2829</v>
      </c>
      <c r="E924" s="295" t="s">
        <v>1945</v>
      </c>
      <c r="F924" s="295" t="s">
        <v>1946</v>
      </c>
      <c r="G924" s="295" t="s">
        <v>1947</v>
      </c>
      <c r="H924" s="295" t="s">
        <v>1948</v>
      </c>
    </row>
    <row r="925" customFormat="false" ht="54.75" hidden="false" customHeight="true" outlineLevel="0" collapsed="false">
      <c r="A925" s="83"/>
      <c r="B925" s="300"/>
      <c r="C925" s="298" t="s">
        <v>1949</v>
      </c>
      <c r="D925" s="292" t="s">
        <v>2830</v>
      </c>
      <c r="E925" s="292" t="s">
        <v>1951</v>
      </c>
      <c r="F925" s="292" t="s">
        <v>1952</v>
      </c>
      <c r="G925" s="292" t="s">
        <v>1953</v>
      </c>
      <c r="H925" s="292" t="s">
        <v>1954</v>
      </c>
    </row>
    <row r="926" customFormat="false" ht="54.75" hidden="false" customHeight="true" outlineLevel="0" collapsed="false">
      <c r="A926" s="83" t="n">
        <v>184</v>
      </c>
      <c r="B926" s="290" t="s">
        <v>448</v>
      </c>
      <c r="C926" s="291" t="s">
        <v>1926</v>
      </c>
      <c r="D926" s="292" t="s">
        <v>2831</v>
      </c>
      <c r="E926" s="292" t="s">
        <v>1928</v>
      </c>
      <c r="F926" s="292" t="s">
        <v>58</v>
      </c>
      <c r="G926" s="292" t="s">
        <v>1929</v>
      </c>
      <c r="H926" s="292" t="s">
        <v>1930</v>
      </c>
    </row>
    <row r="927" customFormat="false" ht="54.75" hidden="false" customHeight="true" outlineLevel="0" collapsed="false">
      <c r="A927" s="83"/>
      <c r="B927" s="293"/>
      <c r="C927" s="294" t="s">
        <v>1931</v>
      </c>
      <c r="D927" s="295" t="s">
        <v>2832</v>
      </c>
      <c r="E927" s="295" t="s">
        <v>1933</v>
      </c>
      <c r="F927" s="295" t="s">
        <v>1934</v>
      </c>
      <c r="G927" s="295" t="s">
        <v>1935</v>
      </c>
      <c r="H927" s="295" t="s">
        <v>1936</v>
      </c>
    </row>
    <row r="928" customFormat="false" ht="54.75" hidden="false" customHeight="true" outlineLevel="0" collapsed="false">
      <c r="A928" s="83"/>
      <c r="B928" s="293"/>
      <c r="C928" s="296" t="s">
        <v>1937</v>
      </c>
      <c r="D928" s="292" t="s">
        <v>2833</v>
      </c>
      <c r="E928" s="292" t="s">
        <v>1939</v>
      </c>
      <c r="F928" s="292" t="s">
        <v>1940</v>
      </c>
      <c r="G928" s="292" t="s">
        <v>1941</v>
      </c>
      <c r="H928" s="292" t="s">
        <v>1942</v>
      </c>
    </row>
    <row r="929" customFormat="false" ht="54.75" hidden="false" customHeight="true" outlineLevel="0" collapsed="false">
      <c r="A929" s="83"/>
      <c r="B929" s="293"/>
      <c r="C929" s="297" t="s">
        <v>1943</v>
      </c>
      <c r="D929" s="295" t="s">
        <v>2834</v>
      </c>
      <c r="E929" s="295" t="s">
        <v>1945</v>
      </c>
      <c r="F929" s="295" t="s">
        <v>1946</v>
      </c>
      <c r="G929" s="295" t="s">
        <v>1947</v>
      </c>
      <c r="H929" s="295" t="s">
        <v>1948</v>
      </c>
    </row>
    <row r="930" customFormat="false" ht="54.75" hidden="false" customHeight="true" outlineLevel="0" collapsed="false">
      <c r="A930" s="83"/>
      <c r="B930" s="293"/>
      <c r="C930" s="298" t="s">
        <v>1949</v>
      </c>
      <c r="D930" s="292" t="s">
        <v>2835</v>
      </c>
      <c r="E930" s="292" t="s">
        <v>1951</v>
      </c>
      <c r="F930" s="292" t="s">
        <v>1952</v>
      </c>
      <c r="G930" s="292" t="s">
        <v>1953</v>
      </c>
      <c r="H930" s="292" t="s">
        <v>1954</v>
      </c>
    </row>
    <row r="931" customFormat="false" ht="54.75" hidden="false" customHeight="true" outlineLevel="0" collapsed="false">
      <c r="A931" s="83" t="n">
        <v>185</v>
      </c>
      <c r="B931" s="299" t="s">
        <v>449</v>
      </c>
      <c r="C931" s="291" t="s">
        <v>1926</v>
      </c>
      <c r="D931" s="292" t="s">
        <v>2836</v>
      </c>
      <c r="E931" s="292" t="s">
        <v>1928</v>
      </c>
      <c r="F931" s="292" t="s">
        <v>58</v>
      </c>
      <c r="G931" s="292" t="s">
        <v>1929</v>
      </c>
      <c r="H931" s="292" t="s">
        <v>1930</v>
      </c>
    </row>
    <row r="932" customFormat="false" ht="54.75" hidden="false" customHeight="true" outlineLevel="0" collapsed="false">
      <c r="A932" s="83"/>
      <c r="B932" s="300"/>
      <c r="C932" s="294" t="s">
        <v>1931</v>
      </c>
      <c r="D932" s="295" t="s">
        <v>2837</v>
      </c>
      <c r="E932" s="295" t="s">
        <v>1933</v>
      </c>
      <c r="F932" s="295" t="s">
        <v>1934</v>
      </c>
      <c r="G932" s="295" t="s">
        <v>1935</v>
      </c>
      <c r="H932" s="295" t="s">
        <v>1936</v>
      </c>
    </row>
    <row r="933" customFormat="false" ht="54.75" hidden="false" customHeight="true" outlineLevel="0" collapsed="false">
      <c r="A933" s="83"/>
      <c r="B933" s="300"/>
      <c r="C933" s="296" t="s">
        <v>1937</v>
      </c>
      <c r="D933" s="292" t="s">
        <v>2838</v>
      </c>
      <c r="E933" s="292" t="s">
        <v>1939</v>
      </c>
      <c r="F933" s="292" t="s">
        <v>1940</v>
      </c>
      <c r="G933" s="292" t="s">
        <v>1941</v>
      </c>
      <c r="H933" s="292" t="s">
        <v>1942</v>
      </c>
    </row>
    <row r="934" customFormat="false" ht="54.75" hidden="false" customHeight="true" outlineLevel="0" collapsed="false">
      <c r="A934" s="83"/>
      <c r="B934" s="300"/>
      <c r="C934" s="297" t="s">
        <v>1943</v>
      </c>
      <c r="D934" s="295" t="s">
        <v>2839</v>
      </c>
      <c r="E934" s="295" t="s">
        <v>1945</v>
      </c>
      <c r="F934" s="295" t="s">
        <v>1946</v>
      </c>
      <c r="G934" s="295" t="s">
        <v>1947</v>
      </c>
      <c r="H934" s="295" t="s">
        <v>1948</v>
      </c>
    </row>
    <row r="935" customFormat="false" ht="54.75" hidden="false" customHeight="true" outlineLevel="0" collapsed="false">
      <c r="A935" s="83"/>
      <c r="B935" s="300"/>
      <c r="C935" s="298" t="s">
        <v>1949</v>
      </c>
      <c r="D935" s="292" t="s">
        <v>2840</v>
      </c>
      <c r="E935" s="292" t="s">
        <v>1951</v>
      </c>
      <c r="F935" s="292" t="s">
        <v>1952</v>
      </c>
      <c r="G935" s="292" t="s">
        <v>1953</v>
      </c>
      <c r="H935" s="292" t="s">
        <v>1954</v>
      </c>
    </row>
    <row r="936" customFormat="false" ht="54.75" hidden="false" customHeight="true" outlineLevel="0" collapsed="false">
      <c r="A936" s="83" t="n">
        <v>186</v>
      </c>
      <c r="B936" s="290" t="s">
        <v>450</v>
      </c>
      <c r="C936" s="291" t="s">
        <v>1926</v>
      </c>
      <c r="D936" s="292" t="s">
        <v>2841</v>
      </c>
      <c r="E936" s="292" t="s">
        <v>1928</v>
      </c>
      <c r="F936" s="292" t="s">
        <v>58</v>
      </c>
      <c r="G936" s="292" t="s">
        <v>1929</v>
      </c>
      <c r="H936" s="292" t="s">
        <v>1930</v>
      </c>
    </row>
    <row r="937" customFormat="false" ht="54.75" hidden="false" customHeight="true" outlineLevel="0" collapsed="false">
      <c r="A937" s="83"/>
      <c r="B937" s="293"/>
      <c r="C937" s="294" t="s">
        <v>1931</v>
      </c>
      <c r="D937" s="295" t="s">
        <v>2842</v>
      </c>
      <c r="E937" s="295" t="s">
        <v>1933</v>
      </c>
      <c r="F937" s="295" t="s">
        <v>1934</v>
      </c>
      <c r="G937" s="295" t="s">
        <v>1935</v>
      </c>
      <c r="H937" s="295" t="s">
        <v>1936</v>
      </c>
    </row>
    <row r="938" customFormat="false" ht="54.75" hidden="false" customHeight="true" outlineLevel="0" collapsed="false">
      <c r="A938" s="83"/>
      <c r="B938" s="293"/>
      <c r="C938" s="296" t="s">
        <v>1937</v>
      </c>
      <c r="D938" s="292" t="s">
        <v>2843</v>
      </c>
      <c r="E938" s="292" t="s">
        <v>1939</v>
      </c>
      <c r="F938" s="292" t="s">
        <v>1940</v>
      </c>
      <c r="G938" s="292" t="s">
        <v>1941</v>
      </c>
      <c r="H938" s="292" t="s">
        <v>1942</v>
      </c>
    </row>
    <row r="939" customFormat="false" ht="54.75" hidden="false" customHeight="true" outlineLevel="0" collapsed="false">
      <c r="A939" s="83"/>
      <c r="B939" s="293"/>
      <c r="C939" s="297" t="s">
        <v>1943</v>
      </c>
      <c r="D939" s="295" t="s">
        <v>2844</v>
      </c>
      <c r="E939" s="295" t="s">
        <v>1945</v>
      </c>
      <c r="F939" s="295" t="s">
        <v>1946</v>
      </c>
      <c r="G939" s="295" t="s">
        <v>1947</v>
      </c>
      <c r="H939" s="295" t="s">
        <v>1948</v>
      </c>
    </row>
    <row r="940" customFormat="false" ht="54.75" hidden="false" customHeight="true" outlineLevel="0" collapsed="false">
      <c r="A940" s="83"/>
      <c r="B940" s="293"/>
      <c r="C940" s="298" t="s">
        <v>1949</v>
      </c>
      <c r="D940" s="292" t="s">
        <v>2845</v>
      </c>
      <c r="E940" s="292" t="s">
        <v>1951</v>
      </c>
      <c r="F940" s="292" t="s">
        <v>1952</v>
      </c>
      <c r="G940" s="292" t="s">
        <v>1953</v>
      </c>
      <c r="H940" s="292" t="s">
        <v>1954</v>
      </c>
    </row>
    <row r="941" customFormat="false" ht="54.75" hidden="false" customHeight="true" outlineLevel="0" collapsed="false">
      <c r="A941" s="83" t="n">
        <v>187</v>
      </c>
      <c r="B941" s="299" t="s">
        <v>451</v>
      </c>
      <c r="C941" s="291" t="s">
        <v>1926</v>
      </c>
      <c r="D941" s="292" t="s">
        <v>2846</v>
      </c>
      <c r="E941" s="292" t="s">
        <v>1928</v>
      </c>
      <c r="F941" s="292" t="s">
        <v>58</v>
      </c>
      <c r="G941" s="292" t="s">
        <v>1929</v>
      </c>
      <c r="H941" s="292" t="s">
        <v>1930</v>
      </c>
    </row>
    <row r="942" customFormat="false" ht="54.75" hidden="false" customHeight="true" outlineLevel="0" collapsed="false">
      <c r="A942" s="83"/>
      <c r="B942" s="300"/>
      <c r="C942" s="294" t="s">
        <v>1931</v>
      </c>
      <c r="D942" s="295" t="s">
        <v>2847</v>
      </c>
      <c r="E942" s="295" t="s">
        <v>1933</v>
      </c>
      <c r="F942" s="295" t="s">
        <v>1934</v>
      </c>
      <c r="G942" s="295" t="s">
        <v>1935</v>
      </c>
      <c r="H942" s="295" t="s">
        <v>1936</v>
      </c>
    </row>
    <row r="943" customFormat="false" ht="54.75" hidden="false" customHeight="true" outlineLevel="0" collapsed="false">
      <c r="A943" s="83"/>
      <c r="B943" s="300"/>
      <c r="C943" s="296" t="s">
        <v>1937</v>
      </c>
      <c r="D943" s="292" t="s">
        <v>2848</v>
      </c>
      <c r="E943" s="292" t="s">
        <v>1939</v>
      </c>
      <c r="F943" s="292" t="s">
        <v>1940</v>
      </c>
      <c r="G943" s="292" t="s">
        <v>1941</v>
      </c>
      <c r="H943" s="292" t="s">
        <v>1942</v>
      </c>
    </row>
    <row r="944" customFormat="false" ht="54.75" hidden="false" customHeight="true" outlineLevel="0" collapsed="false">
      <c r="A944" s="83"/>
      <c r="B944" s="300"/>
      <c r="C944" s="297" t="s">
        <v>1943</v>
      </c>
      <c r="D944" s="295" t="s">
        <v>2849</v>
      </c>
      <c r="E944" s="295" t="s">
        <v>1945</v>
      </c>
      <c r="F944" s="295" t="s">
        <v>1946</v>
      </c>
      <c r="G944" s="295" t="s">
        <v>1947</v>
      </c>
      <c r="H944" s="295" t="s">
        <v>1948</v>
      </c>
    </row>
    <row r="945" customFormat="false" ht="54.75" hidden="false" customHeight="true" outlineLevel="0" collapsed="false">
      <c r="A945" s="83"/>
      <c r="B945" s="300"/>
      <c r="C945" s="298" t="s">
        <v>1949</v>
      </c>
      <c r="D945" s="292" t="s">
        <v>2850</v>
      </c>
      <c r="E945" s="292" t="s">
        <v>1951</v>
      </c>
      <c r="F945" s="292" t="s">
        <v>1952</v>
      </c>
      <c r="G945" s="292" t="s">
        <v>1953</v>
      </c>
      <c r="H945" s="292" t="s">
        <v>1954</v>
      </c>
    </row>
    <row r="946" customFormat="false" ht="54.75" hidden="false" customHeight="true" outlineLevel="0" collapsed="false">
      <c r="A946" s="83" t="n">
        <v>188</v>
      </c>
      <c r="B946" s="290" t="s">
        <v>452</v>
      </c>
      <c r="C946" s="291" t="s">
        <v>1926</v>
      </c>
      <c r="D946" s="292" t="s">
        <v>2851</v>
      </c>
      <c r="E946" s="292" t="s">
        <v>1928</v>
      </c>
      <c r="F946" s="292" t="s">
        <v>58</v>
      </c>
      <c r="G946" s="292" t="s">
        <v>1929</v>
      </c>
      <c r="H946" s="292" t="s">
        <v>1930</v>
      </c>
    </row>
    <row r="947" customFormat="false" ht="54.75" hidden="false" customHeight="true" outlineLevel="0" collapsed="false">
      <c r="A947" s="83"/>
      <c r="B947" s="293"/>
      <c r="C947" s="294" t="s">
        <v>1931</v>
      </c>
      <c r="D947" s="295" t="s">
        <v>2852</v>
      </c>
      <c r="E947" s="295" t="s">
        <v>1933</v>
      </c>
      <c r="F947" s="295" t="s">
        <v>1934</v>
      </c>
      <c r="G947" s="295" t="s">
        <v>1935</v>
      </c>
      <c r="H947" s="295" t="s">
        <v>1936</v>
      </c>
    </row>
    <row r="948" customFormat="false" ht="54.75" hidden="false" customHeight="true" outlineLevel="0" collapsed="false">
      <c r="A948" s="83"/>
      <c r="B948" s="293"/>
      <c r="C948" s="296" t="s">
        <v>1937</v>
      </c>
      <c r="D948" s="292" t="s">
        <v>2853</v>
      </c>
      <c r="E948" s="292" t="s">
        <v>1939</v>
      </c>
      <c r="F948" s="292" t="s">
        <v>1940</v>
      </c>
      <c r="G948" s="292" t="s">
        <v>1941</v>
      </c>
      <c r="H948" s="292" t="s">
        <v>1942</v>
      </c>
    </row>
    <row r="949" customFormat="false" ht="54.75" hidden="false" customHeight="true" outlineLevel="0" collapsed="false">
      <c r="A949" s="83"/>
      <c r="B949" s="293"/>
      <c r="C949" s="297" t="s">
        <v>1943</v>
      </c>
      <c r="D949" s="295" t="s">
        <v>2854</v>
      </c>
      <c r="E949" s="295" t="s">
        <v>1945</v>
      </c>
      <c r="F949" s="295" t="s">
        <v>1946</v>
      </c>
      <c r="G949" s="295" t="s">
        <v>1947</v>
      </c>
      <c r="H949" s="295" t="s">
        <v>1948</v>
      </c>
    </row>
    <row r="950" customFormat="false" ht="54.75" hidden="false" customHeight="true" outlineLevel="0" collapsed="false">
      <c r="A950" s="83"/>
      <c r="B950" s="293"/>
      <c r="C950" s="298" t="s">
        <v>1949</v>
      </c>
      <c r="D950" s="292" t="s">
        <v>2855</v>
      </c>
      <c r="E950" s="292" t="s">
        <v>1951</v>
      </c>
      <c r="F950" s="292" t="s">
        <v>1952</v>
      </c>
      <c r="G950" s="292" t="s">
        <v>1953</v>
      </c>
      <c r="H950" s="292" t="s">
        <v>1954</v>
      </c>
    </row>
  </sheetData>
  <mergeCells count="8">
    <mergeCell ref="A1:H1"/>
    <mergeCell ref="A2:H2"/>
    <mergeCell ref="A5:H5"/>
    <mergeCell ref="A146:H146"/>
    <mergeCell ref="A257:H257"/>
    <mergeCell ref="A673:H673"/>
    <mergeCell ref="A784:H784"/>
    <mergeCell ref="A865:H8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55555"/>
    <pageSetUpPr fitToPage="false"/>
  </sheetPr>
  <dimension ref="A1:M4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G8" activeCellId="0" sqref="G8"/>
    </sheetView>
  </sheetViews>
  <sheetFormatPr defaultColWidth="8.66796875" defaultRowHeight="14.25"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3" min="3" style="1" width="22"/>
    <col collapsed="false" customWidth="true" hidden="false" outlineLevel="0" max="4" min="4" style="1" width="12"/>
    <col collapsed="false" customWidth="true" hidden="false" outlineLevel="0" max="10" min="5" style="1" width="10"/>
    <col collapsed="false" customWidth="true" hidden="false" outlineLevel="0" max="11" min="11" style="1" width="13"/>
    <col collapsed="false" customWidth="true" hidden="false" outlineLevel="0" max="12" min="12" style="1" width="20"/>
  </cols>
  <sheetData>
    <row r="1" customFormat="false" ht="49.5" hidden="false" customHeight="true" outlineLevel="0" collapsed="false">
      <c r="A1" s="6" t="s">
        <v>2856</v>
      </c>
      <c r="B1" s="6"/>
      <c r="C1" s="6"/>
      <c r="D1" s="6"/>
      <c r="E1" s="6"/>
      <c r="F1" s="6"/>
      <c r="G1" s="6"/>
      <c r="H1" s="6"/>
      <c r="I1" s="6"/>
      <c r="J1" s="6"/>
      <c r="K1" s="6"/>
      <c r="L1" s="6"/>
      <c r="M1" s="6"/>
    </row>
    <row r="2" customFormat="false" ht="21.75" hidden="false" customHeight="true" outlineLevel="0" collapsed="false">
      <c r="A2" s="3" t="s">
        <v>2857</v>
      </c>
      <c r="B2" s="3"/>
      <c r="C2" s="3"/>
      <c r="D2" s="3"/>
      <c r="E2" s="3"/>
      <c r="F2" s="3"/>
      <c r="G2" s="3"/>
      <c r="H2" s="3"/>
      <c r="I2" s="3"/>
      <c r="J2" s="3"/>
      <c r="K2" s="3"/>
      <c r="L2" s="3"/>
      <c r="M2" s="3"/>
    </row>
    <row r="5" customFormat="false" ht="33.75" hidden="false" customHeight="true" outlineLevel="0" collapsed="false">
      <c r="B5" s="7" t="s">
        <v>2858</v>
      </c>
      <c r="C5" s="7" t="s">
        <v>2859</v>
      </c>
      <c r="D5" s="7" t="s">
        <v>18</v>
      </c>
      <c r="E5" s="7" t="s">
        <v>1378</v>
      </c>
      <c r="F5" s="7" t="s">
        <v>1462</v>
      </c>
      <c r="G5" s="7" t="s">
        <v>1518</v>
      </c>
      <c r="H5" s="7" t="s">
        <v>1744</v>
      </c>
      <c r="I5" s="7" t="s">
        <v>1794</v>
      </c>
      <c r="J5" s="7" t="s">
        <v>1832</v>
      </c>
      <c r="K5" s="7" t="s">
        <v>2860</v>
      </c>
      <c r="L5" s="7" t="s">
        <v>1919</v>
      </c>
    </row>
    <row r="6" customFormat="false" ht="24" hidden="false" customHeight="true" outlineLevel="0" collapsed="false">
      <c r="B6" s="301"/>
      <c r="C6" s="301"/>
      <c r="D6" s="301"/>
      <c r="E6" s="302"/>
      <c r="F6" s="302"/>
      <c r="G6" s="302"/>
      <c r="H6" s="302"/>
      <c r="I6" s="302"/>
      <c r="J6" s="302"/>
      <c r="K6" s="303" t="str">
        <f aca="false">IFERROR(IF(B6="","",IFERROR(E6*0.16,0)+IFERROR(F6*0.1,0)+IFERROR(G6*0.26,0)+IFERROR(H6*0.14,0)+IFERROR(I6*0.11,0)+IFERROR(J6*0.1,0)),"")</f>
        <v/>
      </c>
      <c r="L6" s="5" t="str">
        <f aca="false">IFERROR(IF(K6="","—",IF(K6&lt;1.5,"L1 — Initial",IF(K6&lt;2.5,"L2 — Developing",IF(K6&lt;3.5,"L3 — Defined",IF(K6&lt;4.5,"L4 — Managed","L5 — Optimised"))))),"—")</f>
        <v>—</v>
      </c>
    </row>
    <row r="7" customFormat="false" ht="24" hidden="false" customHeight="true" outlineLevel="0" collapsed="false">
      <c r="B7" s="301"/>
      <c r="C7" s="301"/>
      <c r="D7" s="301"/>
      <c r="E7" s="302"/>
      <c r="F7" s="302"/>
      <c r="G7" s="302"/>
      <c r="H7" s="302"/>
      <c r="I7" s="302"/>
      <c r="J7" s="302"/>
      <c r="K7" s="304" t="str">
        <f aca="false">IFERROR(IF(B7="","",IFERROR(E7*0.16,0)+IFERROR(F7*0.1,0)+IFERROR(G7*0.26,0)+IFERROR(H7*0.14,0)+IFERROR(I7*0.11,0)+IFERROR(J7*0.1,0)),"")</f>
        <v/>
      </c>
      <c r="L7" s="12" t="str">
        <f aca="false">IFERROR(IF(K7="","—",IF(K7&lt;1.5,"L1 — Initial",IF(K7&lt;2.5,"L2 — Developing",IF(K7&lt;3.5,"L3 — Defined",IF(K7&lt;4.5,"L4 — Managed","L5 — Optimised"))))),"—")</f>
        <v>—</v>
      </c>
    </row>
    <row r="8" customFormat="false" ht="24" hidden="false" customHeight="true" outlineLevel="0" collapsed="false">
      <c r="B8" s="301"/>
      <c r="C8" s="301"/>
      <c r="D8" s="301"/>
      <c r="E8" s="302"/>
      <c r="F8" s="302"/>
      <c r="G8" s="302"/>
      <c r="H8" s="302"/>
      <c r="I8" s="302"/>
      <c r="J8" s="302"/>
      <c r="K8" s="303" t="str">
        <f aca="false">IFERROR(IF(B8="","",IFERROR(E8*0.16,0)+IFERROR(F8*0.1,0)+IFERROR(G8*0.26,0)+IFERROR(H8*0.14,0)+IFERROR(I8*0.11,0)+IFERROR(J8*0.1,0)),"")</f>
        <v/>
      </c>
      <c r="L8" s="5" t="str">
        <f aca="false">IFERROR(IF(K8="","—",IF(K8&lt;1.5,"L1 — Initial",IF(K8&lt;2.5,"L2 — Developing",IF(K8&lt;3.5,"L3 — Defined",IF(K8&lt;4.5,"L4 — Managed","L5 — Optimised"))))),"—")</f>
        <v>—</v>
      </c>
    </row>
    <row r="9" customFormat="false" ht="24" hidden="false" customHeight="true" outlineLevel="0" collapsed="false">
      <c r="B9" s="301"/>
      <c r="C9" s="301"/>
      <c r="D9" s="301"/>
      <c r="E9" s="302"/>
      <c r="F9" s="302"/>
      <c r="G9" s="302"/>
      <c r="H9" s="302"/>
      <c r="I9" s="302"/>
      <c r="J9" s="302"/>
      <c r="K9" s="304" t="str">
        <f aca="false">IFERROR(IF(B9="","",IFERROR(E9*0.16,0)+IFERROR(F9*0.1,0)+IFERROR(G9*0.26,0)+IFERROR(H9*0.14,0)+IFERROR(I9*0.11,0)+IFERROR(J9*0.1,0)),"")</f>
        <v/>
      </c>
      <c r="L9" s="12" t="str">
        <f aca="false">IFERROR(IF(K9="","—",IF(K9&lt;1.5,"L1 — Initial",IF(K9&lt;2.5,"L2 — Developing",IF(K9&lt;3.5,"L3 — Defined",IF(K9&lt;4.5,"L4 — Managed","L5 — Optimised"))))),"—")</f>
        <v>—</v>
      </c>
    </row>
    <row r="10" customFormat="false" ht="24" hidden="false" customHeight="true" outlineLevel="0" collapsed="false">
      <c r="B10" s="301"/>
      <c r="C10" s="301"/>
      <c r="D10" s="301"/>
      <c r="E10" s="302"/>
      <c r="F10" s="302"/>
      <c r="G10" s="302"/>
      <c r="H10" s="302"/>
      <c r="I10" s="302"/>
      <c r="J10" s="302"/>
      <c r="K10" s="303" t="str">
        <f aca="false">IFERROR(IF(B10="","",IFERROR(E10*0.16,0)+IFERROR(F10*0.1,0)+IFERROR(G10*0.26,0)+IFERROR(H10*0.14,0)+IFERROR(I10*0.11,0)+IFERROR(J10*0.1,0)),"")</f>
        <v/>
      </c>
      <c r="L10" s="5" t="str">
        <f aca="false">IFERROR(IF(K10="","—",IF(K10&lt;1.5,"L1 — Initial",IF(K10&lt;2.5,"L2 — Developing",IF(K10&lt;3.5,"L3 — Defined",IF(K10&lt;4.5,"L4 — Managed","L5 — Optimised"))))),"—")</f>
        <v>—</v>
      </c>
    </row>
    <row r="11" customFormat="false" ht="24" hidden="false" customHeight="true" outlineLevel="0" collapsed="false">
      <c r="B11" s="301"/>
      <c r="C11" s="301"/>
      <c r="D11" s="301"/>
      <c r="E11" s="302"/>
      <c r="F11" s="302"/>
      <c r="G11" s="302"/>
      <c r="H11" s="302"/>
      <c r="I11" s="302"/>
      <c r="J11" s="302"/>
      <c r="K11" s="304" t="str">
        <f aca="false">IFERROR(IF(B11="","",IFERROR(E11*0.16,0)+IFERROR(F11*0.1,0)+IFERROR(G11*0.26,0)+IFERROR(H11*0.14,0)+IFERROR(I11*0.11,0)+IFERROR(J11*0.1,0)),"")</f>
        <v/>
      </c>
      <c r="L11" s="12" t="str">
        <f aca="false">IFERROR(IF(K11="","—",IF(K11&lt;1.5,"L1 — Initial",IF(K11&lt;2.5,"L2 — Developing",IF(K11&lt;3.5,"L3 — Defined",IF(K11&lt;4.5,"L4 — Managed","L5 — Optimised"))))),"—")</f>
        <v>—</v>
      </c>
    </row>
    <row r="12" customFormat="false" ht="24" hidden="false" customHeight="true" outlineLevel="0" collapsed="false">
      <c r="B12" s="301"/>
      <c r="C12" s="301"/>
      <c r="D12" s="301"/>
      <c r="E12" s="302"/>
      <c r="F12" s="302"/>
      <c r="G12" s="302"/>
      <c r="H12" s="302"/>
      <c r="I12" s="302"/>
      <c r="J12" s="302"/>
      <c r="K12" s="303" t="str">
        <f aca="false">IFERROR(IF(B12="","",IFERROR(E12*0.16,0)+IFERROR(F12*0.1,0)+IFERROR(G12*0.26,0)+IFERROR(H12*0.14,0)+IFERROR(I12*0.11,0)+IFERROR(J12*0.1,0)),"")</f>
        <v/>
      </c>
      <c r="L12" s="5" t="str">
        <f aca="false">IFERROR(IF(K12="","—",IF(K12&lt;1.5,"L1 — Initial",IF(K12&lt;2.5,"L2 — Developing",IF(K12&lt;3.5,"L3 — Defined",IF(K12&lt;4.5,"L4 — Managed","L5 — Optimised"))))),"—")</f>
        <v>—</v>
      </c>
    </row>
    <row r="13" customFormat="false" ht="24" hidden="false" customHeight="true" outlineLevel="0" collapsed="false">
      <c r="B13" s="301"/>
      <c r="C13" s="301"/>
      <c r="D13" s="301"/>
      <c r="E13" s="302"/>
      <c r="F13" s="302"/>
      <c r="G13" s="302"/>
      <c r="H13" s="302"/>
      <c r="I13" s="302"/>
      <c r="J13" s="302"/>
      <c r="K13" s="304" t="str">
        <f aca="false">IFERROR(IF(B13="","",IFERROR(E13*0.16,0)+IFERROR(F13*0.1,0)+IFERROR(G13*0.26,0)+IFERROR(H13*0.14,0)+IFERROR(I13*0.11,0)+IFERROR(J13*0.1,0)),"")</f>
        <v/>
      </c>
      <c r="L13" s="12" t="str">
        <f aca="false">IFERROR(IF(K13="","—",IF(K13&lt;1.5,"L1 — Initial",IF(K13&lt;2.5,"L2 — Developing",IF(K13&lt;3.5,"L3 — Defined",IF(K13&lt;4.5,"L4 — Managed","L5 — Optimised"))))),"—")</f>
        <v>—</v>
      </c>
    </row>
    <row r="14" customFormat="false" ht="24" hidden="false" customHeight="true" outlineLevel="0" collapsed="false">
      <c r="B14" s="301"/>
      <c r="C14" s="301"/>
      <c r="D14" s="301"/>
      <c r="E14" s="302"/>
      <c r="F14" s="302"/>
      <c r="G14" s="302"/>
      <c r="H14" s="302"/>
      <c r="I14" s="302"/>
      <c r="J14" s="302"/>
      <c r="K14" s="303" t="str">
        <f aca="false">IFERROR(IF(B14="","",IFERROR(E14*0.16,0)+IFERROR(F14*0.1,0)+IFERROR(G14*0.26,0)+IFERROR(H14*0.14,0)+IFERROR(I14*0.11,0)+IFERROR(J14*0.1,0)),"")</f>
        <v/>
      </c>
      <c r="L14" s="5" t="str">
        <f aca="false">IFERROR(IF(K14="","—",IF(K14&lt;1.5,"L1 — Initial",IF(K14&lt;2.5,"L2 — Developing",IF(K14&lt;3.5,"L3 — Defined",IF(K14&lt;4.5,"L4 — Managed","L5 — Optimised"))))),"—")</f>
        <v>—</v>
      </c>
    </row>
    <row r="15" customFormat="false" ht="24" hidden="false" customHeight="true" outlineLevel="0" collapsed="false">
      <c r="B15" s="301"/>
      <c r="C15" s="301"/>
      <c r="D15" s="301"/>
      <c r="E15" s="302"/>
      <c r="F15" s="302"/>
      <c r="G15" s="302"/>
      <c r="H15" s="302"/>
      <c r="I15" s="302"/>
      <c r="J15" s="302"/>
      <c r="K15" s="304" t="str">
        <f aca="false">IFERROR(IF(B15="","",IFERROR(E15*0.16,0)+IFERROR(F15*0.1,0)+IFERROR(G15*0.26,0)+IFERROR(H15*0.14,0)+IFERROR(I15*0.11,0)+IFERROR(J15*0.1,0)),"")</f>
        <v/>
      </c>
      <c r="L15" s="12" t="str">
        <f aca="false">IFERROR(IF(K15="","—",IF(K15&lt;1.5,"L1 — Initial",IF(K15&lt;2.5,"L2 — Developing",IF(K15&lt;3.5,"L3 — Defined",IF(K15&lt;4.5,"L4 — Managed","L5 — Optimised"))))),"—")</f>
        <v>—</v>
      </c>
    </row>
    <row r="16" customFormat="false" ht="24" hidden="false" customHeight="true" outlineLevel="0" collapsed="false">
      <c r="B16" s="301"/>
      <c r="C16" s="301"/>
      <c r="D16" s="301"/>
      <c r="E16" s="302"/>
      <c r="F16" s="302"/>
      <c r="G16" s="302"/>
      <c r="H16" s="302"/>
      <c r="I16" s="302"/>
      <c r="J16" s="302"/>
      <c r="K16" s="303" t="str">
        <f aca="false">IFERROR(IF(B16="","",IFERROR(E16*0.16,0)+IFERROR(F16*0.1,0)+IFERROR(G16*0.26,0)+IFERROR(H16*0.14,0)+IFERROR(I16*0.11,0)+IFERROR(J16*0.1,0)),"")</f>
        <v/>
      </c>
      <c r="L16" s="5" t="str">
        <f aca="false">IFERROR(IF(K16="","—",IF(K16&lt;1.5,"L1 — Initial",IF(K16&lt;2.5,"L2 — Developing",IF(K16&lt;3.5,"L3 — Defined",IF(K16&lt;4.5,"L4 — Managed","L5 — Optimised"))))),"—")</f>
        <v>—</v>
      </c>
    </row>
    <row r="17" customFormat="false" ht="24" hidden="false" customHeight="true" outlineLevel="0" collapsed="false">
      <c r="B17" s="301"/>
      <c r="C17" s="301"/>
      <c r="D17" s="301"/>
      <c r="E17" s="302"/>
      <c r="F17" s="302"/>
      <c r="G17" s="302"/>
      <c r="H17" s="302"/>
      <c r="I17" s="302"/>
      <c r="J17" s="302"/>
      <c r="K17" s="304" t="str">
        <f aca="false">IFERROR(IF(B17="","",IFERROR(E17*0.16,0)+IFERROR(F17*0.1,0)+IFERROR(G17*0.26,0)+IFERROR(H17*0.14,0)+IFERROR(I17*0.11,0)+IFERROR(J17*0.1,0)),"")</f>
        <v/>
      </c>
      <c r="L17" s="12" t="str">
        <f aca="false">IFERROR(IF(K17="","—",IF(K17&lt;1.5,"L1 — Initial",IF(K17&lt;2.5,"L2 — Developing",IF(K17&lt;3.5,"L3 — Defined",IF(K17&lt;4.5,"L4 — Managed","L5 — Optimised"))))),"—")</f>
        <v>—</v>
      </c>
    </row>
    <row r="18" customFormat="false" ht="24" hidden="false" customHeight="true" outlineLevel="0" collapsed="false">
      <c r="B18" s="301"/>
      <c r="C18" s="301"/>
      <c r="D18" s="301"/>
      <c r="E18" s="302"/>
      <c r="F18" s="302"/>
      <c r="G18" s="302"/>
      <c r="H18" s="302"/>
      <c r="I18" s="302"/>
      <c r="J18" s="302"/>
      <c r="K18" s="303" t="str">
        <f aca="false">IFERROR(IF(B18="","",IFERROR(E18*0.16,0)+IFERROR(F18*0.1,0)+IFERROR(G18*0.26,0)+IFERROR(H18*0.14,0)+IFERROR(I18*0.11,0)+IFERROR(J18*0.1,0)),"")</f>
        <v/>
      </c>
      <c r="L18" s="5" t="str">
        <f aca="false">IFERROR(IF(K18="","—",IF(K18&lt;1.5,"L1 — Initial",IF(K18&lt;2.5,"L2 — Developing",IF(K18&lt;3.5,"L3 — Defined",IF(K18&lt;4.5,"L4 — Managed","L5 — Optimised"))))),"—")</f>
        <v>—</v>
      </c>
    </row>
    <row r="19" customFormat="false" ht="24" hidden="false" customHeight="true" outlineLevel="0" collapsed="false">
      <c r="B19" s="301"/>
      <c r="C19" s="301"/>
      <c r="D19" s="301"/>
      <c r="E19" s="302"/>
      <c r="F19" s="302"/>
      <c r="G19" s="302"/>
      <c r="H19" s="302"/>
      <c r="I19" s="302"/>
      <c r="J19" s="302"/>
      <c r="K19" s="304" t="str">
        <f aca="false">IFERROR(IF(B19="","",IFERROR(E19*0.16,0)+IFERROR(F19*0.1,0)+IFERROR(G19*0.26,0)+IFERROR(H19*0.14,0)+IFERROR(I19*0.11,0)+IFERROR(J19*0.1,0)),"")</f>
        <v/>
      </c>
      <c r="L19" s="12" t="str">
        <f aca="false">IFERROR(IF(K19="","—",IF(K19&lt;1.5,"L1 — Initial",IF(K19&lt;2.5,"L2 — Developing",IF(K19&lt;3.5,"L3 — Defined",IF(K19&lt;4.5,"L4 — Managed","L5 — Optimised"))))),"—")</f>
        <v>—</v>
      </c>
    </row>
    <row r="20" customFormat="false" ht="24" hidden="false" customHeight="true" outlineLevel="0" collapsed="false">
      <c r="B20" s="301"/>
      <c r="C20" s="301"/>
      <c r="D20" s="301"/>
      <c r="E20" s="302"/>
      <c r="F20" s="302"/>
      <c r="G20" s="302"/>
      <c r="H20" s="302"/>
      <c r="I20" s="302"/>
      <c r="J20" s="302"/>
      <c r="K20" s="303" t="str">
        <f aca="false">IFERROR(IF(B20="","",IFERROR(E20*0.16,0)+IFERROR(F20*0.1,0)+IFERROR(G20*0.26,0)+IFERROR(H20*0.14,0)+IFERROR(I20*0.11,0)+IFERROR(J20*0.1,0)),"")</f>
        <v/>
      </c>
      <c r="L20" s="5" t="str">
        <f aca="false">IFERROR(IF(K20="","—",IF(K20&lt;1.5,"L1 — Initial",IF(K20&lt;2.5,"L2 — Developing",IF(K20&lt;3.5,"L3 — Defined",IF(K20&lt;4.5,"L4 — Managed","L5 — Optimised"))))),"—")</f>
        <v>—</v>
      </c>
    </row>
    <row r="21" customFormat="false" ht="24" hidden="false" customHeight="true" outlineLevel="0" collapsed="false">
      <c r="B21" s="301"/>
      <c r="C21" s="301"/>
      <c r="D21" s="301"/>
      <c r="E21" s="302"/>
      <c r="F21" s="302"/>
      <c r="G21" s="302"/>
      <c r="H21" s="302"/>
      <c r="I21" s="302"/>
      <c r="J21" s="302"/>
      <c r="K21" s="304" t="str">
        <f aca="false">IFERROR(IF(B21="","",IFERROR(E21*0.16,0)+IFERROR(F21*0.1,0)+IFERROR(G21*0.26,0)+IFERROR(H21*0.14,0)+IFERROR(I21*0.11,0)+IFERROR(J21*0.1,0)),"")</f>
        <v/>
      </c>
      <c r="L21" s="12" t="str">
        <f aca="false">IFERROR(IF(K21="","—",IF(K21&lt;1.5,"L1 — Initial",IF(K21&lt;2.5,"L2 — Developing",IF(K21&lt;3.5,"L3 — Defined",IF(K21&lt;4.5,"L4 — Managed","L5 — Optimised"))))),"—")</f>
        <v>—</v>
      </c>
    </row>
    <row r="22" customFormat="false" ht="24" hidden="false" customHeight="true" outlineLevel="0" collapsed="false">
      <c r="B22" s="301"/>
      <c r="C22" s="301"/>
      <c r="D22" s="301"/>
      <c r="E22" s="302"/>
      <c r="F22" s="302"/>
      <c r="G22" s="302"/>
      <c r="H22" s="302"/>
      <c r="I22" s="302"/>
      <c r="J22" s="302"/>
      <c r="K22" s="303" t="str">
        <f aca="false">IFERROR(IF(B22="","",IFERROR(E22*0.16,0)+IFERROR(F22*0.1,0)+IFERROR(G22*0.26,0)+IFERROR(H22*0.14,0)+IFERROR(I22*0.11,0)+IFERROR(J22*0.1,0)),"")</f>
        <v/>
      </c>
      <c r="L22" s="5" t="str">
        <f aca="false">IFERROR(IF(K22="","—",IF(K22&lt;1.5,"L1 — Initial",IF(K22&lt;2.5,"L2 — Developing",IF(K22&lt;3.5,"L3 — Defined",IF(K22&lt;4.5,"L4 — Managed","L5 — Optimised"))))),"—")</f>
        <v>—</v>
      </c>
    </row>
    <row r="23" customFormat="false" ht="24" hidden="false" customHeight="true" outlineLevel="0" collapsed="false">
      <c r="B23" s="301"/>
      <c r="C23" s="301"/>
      <c r="D23" s="301"/>
      <c r="E23" s="302"/>
      <c r="F23" s="302"/>
      <c r="G23" s="302"/>
      <c r="H23" s="302"/>
      <c r="I23" s="302"/>
      <c r="J23" s="302"/>
      <c r="K23" s="304" t="str">
        <f aca="false">IFERROR(IF(B23="","",IFERROR(E23*0.16,0)+IFERROR(F23*0.1,0)+IFERROR(G23*0.26,0)+IFERROR(H23*0.14,0)+IFERROR(I23*0.11,0)+IFERROR(J23*0.1,0)),"")</f>
        <v/>
      </c>
      <c r="L23" s="12" t="str">
        <f aca="false">IFERROR(IF(K23="","—",IF(K23&lt;1.5,"L1 — Initial",IF(K23&lt;2.5,"L2 — Developing",IF(K23&lt;3.5,"L3 — Defined",IF(K23&lt;4.5,"L4 — Managed","L5 — Optimised"))))),"—")</f>
        <v>—</v>
      </c>
    </row>
    <row r="24" customFormat="false" ht="24" hidden="false" customHeight="true" outlineLevel="0" collapsed="false">
      <c r="B24" s="301"/>
      <c r="C24" s="301"/>
      <c r="D24" s="301"/>
      <c r="E24" s="302"/>
      <c r="F24" s="302"/>
      <c r="G24" s="302"/>
      <c r="H24" s="302"/>
      <c r="I24" s="302"/>
      <c r="J24" s="302"/>
      <c r="K24" s="303" t="str">
        <f aca="false">IFERROR(IF(B24="","",IFERROR(E24*0.16,0)+IFERROR(F24*0.1,0)+IFERROR(G24*0.26,0)+IFERROR(H24*0.14,0)+IFERROR(I24*0.11,0)+IFERROR(J24*0.1,0)),"")</f>
        <v/>
      </c>
      <c r="L24" s="5" t="str">
        <f aca="false">IFERROR(IF(K24="","—",IF(K24&lt;1.5,"L1 — Initial",IF(K24&lt;2.5,"L2 — Developing",IF(K24&lt;3.5,"L3 — Defined",IF(K24&lt;4.5,"L4 — Managed","L5 — Optimised"))))),"—")</f>
        <v>—</v>
      </c>
    </row>
    <row r="25" customFormat="false" ht="24" hidden="false" customHeight="true" outlineLevel="0" collapsed="false">
      <c r="B25" s="301"/>
      <c r="C25" s="301"/>
      <c r="D25" s="301"/>
      <c r="E25" s="302"/>
      <c r="F25" s="302"/>
      <c r="G25" s="302"/>
      <c r="H25" s="302"/>
      <c r="I25" s="302"/>
      <c r="J25" s="302"/>
      <c r="K25" s="304" t="str">
        <f aca="false">IFERROR(IF(B25="","",IFERROR(E25*0.16,0)+IFERROR(F25*0.1,0)+IFERROR(G25*0.26,0)+IFERROR(H25*0.14,0)+IFERROR(I25*0.11,0)+IFERROR(J25*0.1,0)),"")</f>
        <v/>
      </c>
      <c r="L25" s="12" t="str">
        <f aca="false">IFERROR(IF(K25="","—",IF(K25&lt;1.5,"L1 — Initial",IF(K25&lt;2.5,"L2 — Developing",IF(K25&lt;3.5,"L3 — Defined",IF(K25&lt;4.5,"L4 — Managed","L5 — Optimised"))))),"—")</f>
        <v>—</v>
      </c>
    </row>
    <row r="26" customFormat="false" ht="24" hidden="false" customHeight="true" outlineLevel="0" collapsed="false">
      <c r="B26" s="301"/>
      <c r="C26" s="301"/>
      <c r="D26" s="301"/>
      <c r="E26" s="302"/>
      <c r="F26" s="302"/>
      <c r="G26" s="302"/>
      <c r="H26" s="302"/>
      <c r="I26" s="302"/>
      <c r="J26" s="302"/>
      <c r="K26" s="303" t="str">
        <f aca="false">IFERROR(IF(B26="","",IFERROR(E26*0.16,0)+IFERROR(F26*0.1,0)+IFERROR(G26*0.26,0)+IFERROR(H26*0.14,0)+IFERROR(I26*0.11,0)+IFERROR(J26*0.1,0)),"")</f>
        <v/>
      </c>
      <c r="L26" s="5" t="str">
        <f aca="false">IFERROR(IF(K26="","—",IF(K26&lt;1.5,"L1 — Initial",IF(K26&lt;2.5,"L2 — Developing",IF(K26&lt;3.5,"L3 — Defined",IF(K26&lt;4.5,"L4 — Managed","L5 — Optimised"))))),"—")</f>
        <v>—</v>
      </c>
    </row>
    <row r="27" customFormat="false" ht="24" hidden="false" customHeight="true" outlineLevel="0" collapsed="false">
      <c r="B27" s="301"/>
      <c r="C27" s="301"/>
      <c r="D27" s="301"/>
      <c r="E27" s="302"/>
      <c r="F27" s="302"/>
      <c r="G27" s="302"/>
      <c r="H27" s="302"/>
      <c r="I27" s="302"/>
      <c r="J27" s="302"/>
      <c r="K27" s="304" t="str">
        <f aca="false">IFERROR(IF(B27="","",IFERROR(E27*0.16,0)+IFERROR(F27*0.1,0)+IFERROR(G27*0.26,0)+IFERROR(H27*0.14,0)+IFERROR(I27*0.11,0)+IFERROR(J27*0.1,0)),"")</f>
        <v/>
      </c>
      <c r="L27" s="12" t="str">
        <f aca="false">IFERROR(IF(K27="","—",IF(K27&lt;1.5,"L1 — Initial",IF(K27&lt;2.5,"L2 — Developing",IF(K27&lt;3.5,"L3 — Defined",IF(K27&lt;4.5,"L4 — Managed","L5 — Optimised"))))),"—")</f>
        <v>—</v>
      </c>
    </row>
    <row r="28" customFormat="false" ht="24" hidden="false" customHeight="true" outlineLevel="0" collapsed="false">
      <c r="B28" s="301"/>
      <c r="C28" s="301"/>
      <c r="D28" s="301"/>
      <c r="E28" s="302"/>
      <c r="F28" s="302"/>
      <c r="G28" s="302"/>
      <c r="H28" s="302"/>
      <c r="I28" s="302"/>
      <c r="J28" s="302"/>
      <c r="K28" s="303" t="str">
        <f aca="false">IFERROR(IF(B28="","",IFERROR(E28*0.16,0)+IFERROR(F28*0.1,0)+IFERROR(G28*0.26,0)+IFERROR(H28*0.14,0)+IFERROR(I28*0.11,0)+IFERROR(J28*0.1,0)),"")</f>
        <v/>
      </c>
      <c r="L28" s="5" t="str">
        <f aca="false">IFERROR(IF(K28="","—",IF(K28&lt;1.5,"L1 — Initial",IF(K28&lt;2.5,"L2 — Developing",IF(K28&lt;3.5,"L3 — Defined",IF(K28&lt;4.5,"L4 — Managed","L5 — Optimised"))))),"—")</f>
        <v>—</v>
      </c>
    </row>
    <row r="29" customFormat="false" ht="24" hidden="false" customHeight="true" outlineLevel="0" collapsed="false">
      <c r="B29" s="301"/>
      <c r="C29" s="301"/>
      <c r="D29" s="301"/>
      <c r="E29" s="302"/>
      <c r="F29" s="302"/>
      <c r="G29" s="302"/>
      <c r="H29" s="302"/>
      <c r="I29" s="302"/>
      <c r="J29" s="302"/>
      <c r="K29" s="304" t="str">
        <f aca="false">IFERROR(IF(B29="","",IFERROR(E29*0.16,0)+IFERROR(F29*0.1,0)+IFERROR(G29*0.26,0)+IFERROR(H29*0.14,0)+IFERROR(I29*0.11,0)+IFERROR(J29*0.1,0)),"")</f>
        <v/>
      </c>
      <c r="L29" s="12" t="str">
        <f aca="false">IFERROR(IF(K29="","—",IF(K29&lt;1.5,"L1 — Initial",IF(K29&lt;2.5,"L2 — Developing",IF(K29&lt;3.5,"L3 — Defined",IF(K29&lt;4.5,"L4 — Managed","L5 — Optimised"))))),"—")</f>
        <v>—</v>
      </c>
    </row>
    <row r="30" customFormat="false" ht="24" hidden="false" customHeight="true" outlineLevel="0" collapsed="false">
      <c r="B30" s="301"/>
      <c r="C30" s="301"/>
      <c r="D30" s="301"/>
      <c r="E30" s="302"/>
      <c r="F30" s="302"/>
      <c r="G30" s="302"/>
      <c r="H30" s="302"/>
      <c r="I30" s="302"/>
      <c r="J30" s="302"/>
      <c r="K30" s="303" t="str">
        <f aca="false">IFERROR(IF(B30="","",IFERROR(E30*0.16,0)+IFERROR(F30*0.1,0)+IFERROR(G30*0.26,0)+IFERROR(H30*0.14,0)+IFERROR(I30*0.11,0)+IFERROR(J30*0.1,0)),"")</f>
        <v/>
      </c>
      <c r="L30" s="5" t="str">
        <f aca="false">IFERROR(IF(K30="","—",IF(K30&lt;1.5,"L1 — Initial",IF(K30&lt;2.5,"L2 — Developing",IF(K30&lt;3.5,"L3 — Defined",IF(K30&lt;4.5,"L4 — Managed","L5 — Optimised"))))),"—")</f>
        <v>—</v>
      </c>
    </row>
    <row r="31" customFormat="false" ht="24" hidden="false" customHeight="true" outlineLevel="0" collapsed="false">
      <c r="B31" s="301"/>
      <c r="C31" s="301"/>
      <c r="D31" s="301"/>
      <c r="E31" s="302"/>
      <c r="F31" s="302"/>
      <c r="G31" s="302"/>
      <c r="H31" s="302"/>
      <c r="I31" s="302"/>
      <c r="J31" s="302"/>
      <c r="K31" s="304" t="str">
        <f aca="false">IFERROR(IF(B31="","",IFERROR(E31*0.16,0)+IFERROR(F31*0.1,0)+IFERROR(G31*0.26,0)+IFERROR(H31*0.14,0)+IFERROR(I31*0.11,0)+IFERROR(J31*0.1,0)),"")</f>
        <v/>
      </c>
      <c r="L31" s="12" t="str">
        <f aca="false">IFERROR(IF(K31="","—",IF(K31&lt;1.5,"L1 — Initial",IF(K31&lt;2.5,"L2 — Developing",IF(K31&lt;3.5,"L3 — Defined",IF(K31&lt;4.5,"L4 — Managed","L5 — Optimised"))))),"—")</f>
        <v>—</v>
      </c>
    </row>
    <row r="32" customFormat="false" ht="24" hidden="false" customHeight="true" outlineLevel="0" collapsed="false">
      <c r="B32" s="301"/>
      <c r="C32" s="301"/>
      <c r="D32" s="301"/>
      <c r="E32" s="302"/>
      <c r="F32" s="302"/>
      <c r="G32" s="302"/>
      <c r="H32" s="302"/>
      <c r="I32" s="302"/>
      <c r="J32" s="302"/>
      <c r="K32" s="303" t="str">
        <f aca="false">IFERROR(IF(B32="","",IFERROR(E32*0.16,0)+IFERROR(F32*0.1,0)+IFERROR(G32*0.26,0)+IFERROR(H32*0.14,0)+IFERROR(I32*0.11,0)+IFERROR(J32*0.1,0)),"")</f>
        <v/>
      </c>
      <c r="L32" s="5" t="str">
        <f aca="false">IFERROR(IF(K32="","—",IF(K32&lt;1.5,"L1 — Initial",IF(K32&lt;2.5,"L2 — Developing",IF(K32&lt;3.5,"L3 — Defined",IF(K32&lt;4.5,"L4 — Managed","L5 — Optimised"))))),"—")</f>
        <v>—</v>
      </c>
    </row>
    <row r="33" customFormat="false" ht="24" hidden="false" customHeight="true" outlineLevel="0" collapsed="false">
      <c r="B33" s="301"/>
      <c r="C33" s="301"/>
      <c r="D33" s="301"/>
      <c r="E33" s="302"/>
      <c r="F33" s="302"/>
      <c r="G33" s="302"/>
      <c r="H33" s="302"/>
      <c r="I33" s="302"/>
      <c r="J33" s="302"/>
      <c r="K33" s="304" t="str">
        <f aca="false">IFERROR(IF(B33="","",IFERROR(E33*0.16,0)+IFERROR(F33*0.1,0)+IFERROR(G33*0.26,0)+IFERROR(H33*0.14,0)+IFERROR(I33*0.11,0)+IFERROR(J33*0.1,0)),"")</f>
        <v/>
      </c>
      <c r="L33" s="12" t="str">
        <f aca="false">IFERROR(IF(K33="","—",IF(K33&lt;1.5,"L1 — Initial",IF(K33&lt;2.5,"L2 — Developing",IF(K33&lt;3.5,"L3 — Defined",IF(K33&lt;4.5,"L4 — Managed","L5 — Optimised"))))),"—")</f>
        <v>—</v>
      </c>
    </row>
    <row r="34" customFormat="false" ht="24" hidden="false" customHeight="true" outlineLevel="0" collapsed="false">
      <c r="B34" s="301"/>
      <c r="C34" s="301"/>
      <c r="D34" s="301"/>
      <c r="E34" s="302"/>
      <c r="F34" s="302"/>
      <c r="G34" s="302"/>
      <c r="H34" s="302"/>
      <c r="I34" s="302"/>
      <c r="J34" s="302"/>
      <c r="K34" s="303" t="str">
        <f aca="false">IFERROR(IF(B34="","",IFERROR(E34*0.16,0)+IFERROR(F34*0.1,0)+IFERROR(G34*0.26,0)+IFERROR(H34*0.14,0)+IFERROR(I34*0.11,0)+IFERROR(J34*0.1,0)),"")</f>
        <v/>
      </c>
      <c r="L34" s="5" t="str">
        <f aca="false">IFERROR(IF(K34="","—",IF(K34&lt;1.5,"L1 — Initial",IF(K34&lt;2.5,"L2 — Developing",IF(K34&lt;3.5,"L3 — Defined",IF(K34&lt;4.5,"L4 — Managed","L5 — Optimised"))))),"—")</f>
        <v>—</v>
      </c>
    </row>
    <row r="35" customFormat="false" ht="24" hidden="false" customHeight="true" outlineLevel="0" collapsed="false">
      <c r="B35" s="301"/>
      <c r="C35" s="301"/>
      <c r="D35" s="301"/>
      <c r="E35" s="302"/>
      <c r="F35" s="302"/>
      <c r="G35" s="302"/>
      <c r="H35" s="302"/>
      <c r="I35" s="302"/>
      <c r="J35" s="302"/>
      <c r="K35" s="304" t="str">
        <f aca="false">IFERROR(IF(B35="","",IFERROR(E35*0.16,0)+IFERROR(F35*0.1,0)+IFERROR(G35*0.26,0)+IFERROR(H35*0.14,0)+IFERROR(I35*0.11,0)+IFERROR(J35*0.1,0)),"")</f>
        <v/>
      </c>
      <c r="L35" s="12" t="str">
        <f aca="false">IFERROR(IF(K35="","—",IF(K35&lt;1.5,"L1 — Initial",IF(K35&lt;2.5,"L2 — Developing",IF(K35&lt;3.5,"L3 — Defined",IF(K35&lt;4.5,"L4 — Managed","L5 — Optimised"))))),"—")</f>
        <v>—</v>
      </c>
    </row>
    <row r="36" customFormat="false" ht="24" hidden="false" customHeight="true" outlineLevel="0" collapsed="false">
      <c r="B36" s="301"/>
      <c r="C36" s="301"/>
      <c r="D36" s="301"/>
      <c r="E36" s="302"/>
      <c r="F36" s="302"/>
      <c r="G36" s="302"/>
      <c r="H36" s="302"/>
      <c r="I36" s="302"/>
      <c r="J36" s="302"/>
      <c r="K36" s="303" t="str">
        <f aca="false">IFERROR(IF(B36="","",IFERROR(E36*0.16,0)+IFERROR(F36*0.1,0)+IFERROR(G36*0.26,0)+IFERROR(H36*0.14,0)+IFERROR(I36*0.11,0)+IFERROR(J36*0.1,0)),"")</f>
        <v/>
      </c>
      <c r="L36" s="5" t="str">
        <f aca="false">IFERROR(IF(K36="","—",IF(K36&lt;1.5,"L1 — Initial",IF(K36&lt;2.5,"L2 — Developing",IF(K36&lt;3.5,"L3 — Defined",IF(K36&lt;4.5,"L4 — Managed","L5 — Optimised"))))),"—")</f>
        <v>—</v>
      </c>
    </row>
    <row r="37" customFormat="false" ht="24" hidden="false" customHeight="true" outlineLevel="0" collapsed="false">
      <c r="B37" s="301"/>
      <c r="C37" s="301"/>
      <c r="D37" s="301"/>
      <c r="E37" s="302"/>
      <c r="F37" s="302"/>
      <c r="G37" s="302"/>
      <c r="H37" s="302"/>
      <c r="I37" s="302"/>
      <c r="J37" s="302"/>
      <c r="K37" s="304" t="str">
        <f aca="false">IFERROR(IF(B37="","",IFERROR(E37*0.16,0)+IFERROR(F37*0.1,0)+IFERROR(G37*0.26,0)+IFERROR(H37*0.14,0)+IFERROR(I37*0.11,0)+IFERROR(J37*0.1,0)),"")</f>
        <v/>
      </c>
      <c r="L37" s="12" t="str">
        <f aca="false">IFERROR(IF(K37="","—",IF(K37&lt;1.5,"L1 — Initial",IF(K37&lt;2.5,"L2 — Developing",IF(K37&lt;3.5,"L3 — Defined",IF(K37&lt;4.5,"L4 — Managed","L5 — Optimised"))))),"—")</f>
        <v>—</v>
      </c>
    </row>
    <row r="38" customFormat="false" ht="24" hidden="false" customHeight="true" outlineLevel="0" collapsed="false">
      <c r="B38" s="301"/>
      <c r="C38" s="301"/>
      <c r="D38" s="301"/>
      <c r="E38" s="302"/>
      <c r="F38" s="302"/>
      <c r="G38" s="302"/>
      <c r="H38" s="302"/>
      <c r="I38" s="302"/>
      <c r="J38" s="302"/>
      <c r="K38" s="303" t="str">
        <f aca="false">IFERROR(IF(B38="","",IFERROR(E38*0.16,0)+IFERROR(F38*0.1,0)+IFERROR(G38*0.26,0)+IFERROR(H38*0.14,0)+IFERROR(I38*0.11,0)+IFERROR(J38*0.1,0)),"")</f>
        <v/>
      </c>
      <c r="L38" s="5" t="str">
        <f aca="false">IFERROR(IF(K38="","—",IF(K38&lt;1.5,"L1 — Initial",IF(K38&lt;2.5,"L2 — Developing",IF(K38&lt;3.5,"L3 — Defined",IF(K38&lt;4.5,"L4 — Managed","L5 — Optimised"))))),"—")</f>
        <v>—</v>
      </c>
    </row>
    <row r="39" customFormat="false" ht="24" hidden="false" customHeight="true" outlineLevel="0" collapsed="false">
      <c r="B39" s="301"/>
      <c r="C39" s="301"/>
      <c r="D39" s="301"/>
      <c r="E39" s="302"/>
      <c r="F39" s="302"/>
      <c r="G39" s="302"/>
      <c r="H39" s="302"/>
      <c r="I39" s="302"/>
      <c r="J39" s="302"/>
      <c r="K39" s="304" t="str">
        <f aca="false">IFERROR(IF(B39="","",IFERROR(E39*0.16,0)+IFERROR(F39*0.1,0)+IFERROR(G39*0.26,0)+IFERROR(H39*0.14,0)+IFERROR(I39*0.11,0)+IFERROR(J39*0.1,0)),"")</f>
        <v/>
      </c>
      <c r="L39" s="12" t="str">
        <f aca="false">IFERROR(IF(K39="","—",IF(K39&lt;1.5,"L1 — Initial",IF(K39&lt;2.5,"L2 — Developing",IF(K39&lt;3.5,"L3 — Defined",IF(K39&lt;4.5,"L4 — Managed","L5 — Optimised"))))),"—")</f>
        <v>—</v>
      </c>
    </row>
    <row r="40" customFormat="false" ht="24" hidden="false" customHeight="true" outlineLevel="0" collapsed="false">
      <c r="B40" s="301"/>
      <c r="C40" s="301"/>
      <c r="D40" s="301"/>
      <c r="E40" s="302"/>
      <c r="F40" s="302"/>
      <c r="G40" s="302"/>
      <c r="H40" s="302"/>
      <c r="I40" s="302"/>
      <c r="J40" s="302"/>
      <c r="K40" s="303" t="str">
        <f aca="false">IFERROR(IF(B40="","",IFERROR(E40*0.16,0)+IFERROR(F40*0.1,0)+IFERROR(G40*0.26,0)+IFERROR(H40*0.14,0)+IFERROR(I40*0.11,0)+IFERROR(J40*0.1,0)),"")</f>
        <v/>
      </c>
      <c r="L40" s="5" t="str">
        <f aca="false">IFERROR(IF(K40="","—",IF(K40&lt;1.5,"L1 — Initial",IF(K40&lt;2.5,"L2 — Developing",IF(K40&lt;3.5,"L3 — Defined",IF(K40&lt;4.5,"L4 — Managed","L5 — Optimised"))))),"—")</f>
        <v>—</v>
      </c>
    </row>
    <row r="41" customFormat="false" ht="24" hidden="false" customHeight="true" outlineLevel="0" collapsed="false">
      <c r="B41" s="301"/>
      <c r="C41" s="301"/>
      <c r="D41" s="301"/>
      <c r="E41" s="302"/>
      <c r="F41" s="302"/>
      <c r="G41" s="302"/>
      <c r="H41" s="302"/>
      <c r="I41" s="302"/>
      <c r="J41" s="302"/>
      <c r="K41" s="304" t="str">
        <f aca="false">IFERROR(IF(B41="","",IFERROR(E41*0.16,0)+IFERROR(F41*0.1,0)+IFERROR(G41*0.26,0)+IFERROR(H41*0.14,0)+IFERROR(I41*0.11,0)+IFERROR(J41*0.1,0)),"")</f>
        <v/>
      </c>
      <c r="L41" s="12" t="str">
        <f aca="false">IFERROR(IF(K41="","—",IF(K41&lt;1.5,"L1 — Initial",IF(K41&lt;2.5,"L2 — Developing",IF(K41&lt;3.5,"L3 — Defined",IF(K41&lt;4.5,"L4 — Managed","L5 — Optimised"))))),"—")</f>
        <v>—</v>
      </c>
    </row>
    <row r="42" customFormat="false" ht="24" hidden="false" customHeight="true" outlineLevel="0" collapsed="false">
      <c r="B42" s="301"/>
      <c r="C42" s="301"/>
      <c r="D42" s="301"/>
      <c r="E42" s="302"/>
      <c r="F42" s="302"/>
      <c r="G42" s="302"/>
      <c r="H42" s="302"/>
      <c r="I42" s="302"/>
      <c r="J42" s="302"/>
      <c r="K42" s="303" t="str">
        <f aca="false">IFERROR(IF(B42="","",IFERROR(E42*0.16,0)+IFERROR(F42*0.1,0)+IFERROR(G42*0.26,0)+IFERROR(H42*0.14,0)+IFERROR(I42*0.11,0)+IFERROR(J42*0.1,0)),"")</f>
        <v/>
      </c>
      <c r="L42" s="5" t="str">
        <f aca="false">IFERROR(IF(K42="","—",IF(K42&lt;1.5,"L1 — Initial",IF(K42&lt;2.5,"L2 — Developing",IF(K42&lt;3.5,"L3 — Defined",IF(K42&lt;4.5,"L4 — Managed","L5 — Optimised"))))),"—")</f>
        <v>—</v>
      </c>
    </row>
    <row r="43" customFormat="false" ht="24" hidden="false" customHeight="true" outlineLevel="0" collapsed="false">
      <c r="B43" s="301"/>
      <c r="C43" s="301"/>
      <c r="D43" s="301"/>
      <c r="E43" s="302"/>
      <c r="F43" s="302"/>
      <c r="G43" s="302"/>
      <c r="H43" s="302"/>
      <c r="I43" s="302"/>
      <c r="J43" s="302"/>
      <c r="K43" s="304" t="str">
        <f aca="false">IFERROR(IF(B43="","",IFERROR(E43*0.16,0)+IFERROR(F43*0.1,0)+IFERROR(G43*0.26,0)+IFERROR(H43*0.14,0)+IFERROR(I43*0.11,0)+IFERROR(J43*0.1,0)),"")</f>
        <v/>
      </c>
      <c r="L43" s="12" t="str">
        <f aca="false">IFERROR(IF(K43="","—",IF(K43&lt;1.5,"L1 — Initial",IF(K43&lt;2.5,"L2 — Developing",IF(K43&lt;3.5,"L3 — Defined",IF(K43&lt;4.5,"L4 — Managed","L5 — Optimised"))))),"—")</f>
        <v>—</v>
      </c>
    </row>
    <row r="44" customFormat="false" ht="24" hidden="false" customHeight="true" outlineLevel="0" collapsed="false">
      <c r="B44" s="301"/>
      <c r="C44" s="301"/>
      <c r="D44" s="301"/>
      <c r="E44" s="302"/>
      <c r="F44" s="302"/>
      <c r="G44" s="302"/>
      <c r="H44" s="302"/>
      <c r="I44" s="302"/>
      <c r="J44" s="302"/>
      <c r="K44" s="303" t="str">
        <f aca="false">IFERROR(IF(B44="","",IFERROR(E44*0.16,0)+IFERROR(F44*0.1,0)+IFERROR(G44*0.26,0)+IFERROR(H44*0.14,0)+IFERROR(I44*0.11,0)+IFERROR(J44*0.1,0)),"")</f>
        <v/>
      </c>
      <c r="L44" s="5" t="str">
        <f aca="false">IFERROR(IF(K44="","—",IF(K44&lt;1.5,"L1 — Initial",IF(K44&lt;2.5,"L2 — Developing",IF(K44&lt;3.5,"L3 — Defined",IF(K44&lt;4.5,"L4 — Managed","L5 — Optimised"))))),"—")</f>
        <v>—</v>
      </c>
    </row>
    <row r="45" customFormat="false" ht="24" hidden="false" customHeight="true" outlineLevel="0" collapsed="false">
      <c r="B45" s="301"/>
      <c r="C45" s="301"/>
      <c r="D45" s="301"/>
      <c r="E45" s="302"/>
      <c r="F45" s="302"/>
      <c r="G45" s="302"/>
      <c r="H45" s="302"/>
      <c r="I45" s="302"/>
      <c r="J45" s="302"/>
      <c r="K45" s="304" t="str">
        <f aca="false">IFERROR(IF(B45="","",IFERROR(E45*0.16,0)+IFERROR(F45*0.1,0)+IFERROR(G45*0.26,0)+IFERROR(H45*0.14,0)+IFERROR(I45*0.11,0)+IFERROR(J45*0.1,0)),"")</f>
        <v/>
      </c>
      <c r="L45" s="12" t="str">
        <f aca="false">IFERROR(IF(K45="","—",IF(K45&lt;1.5,"L1 — Initial",IF(K45&lt;2.5,"L2 — Developing",IF(K45&lt;3.5,"L3 — Defined",IF(K45&lt;4.5,"L4 — Managed","L5 — Optimised"))))),"—")</f>
        <v>—</v>
      </c>
    </row>
    <row r="46" customFormat="false" ht="24" hidden="false" customHeight="true" outlineLevel="0" collapsed="false">
      <c r="B46" s="301"/>
      <c r="C46" s="301"/>
      <c r="D46" s="301"/>
      <c r="E46" s="302"/>
      <c r="F46" s="302"/>
      <c r="G46" s="302"/>
      <c r="H46" s="302"/>
      <c r="I46" s="302"/>
      <c r="J46" s="302"/>
      <c r="K46" s="303" t="str">
        <f aca="false">IFERROR(IF(B46="","",IFERROR(E46*0.16,0)+IFERROR(F46*0.1,0)+IFERROR(G46*0.26,0)+IFERROR(H46*0.14,0)+IFERROR(I46*0.11,0)+IFERROR(J46*0.1,0)),"")</f>
        <v/>
      </c>
      <c r="L46" s="5" t="str">
        <f aca="false">IFERROR(IF(K46="","—",IF(K46&lt;1.5,"L1 — Initial",IF(K46&lt;2.5,"L2 — Developing",IF(K46&lt;3.5,"L3 — Defined",IF(K46&lt;4.5,"L4 — Managed","L5 — Optimised"))))),"—")</f>
        <v>—</v>
      </c>
    </row>
    <row r="47" customFormat="false" ht="24" hidden="false" customHeight="true" outlineLevel="0" collapsed="false">
      <c r="B47" s="301"/>
      <c r="C47" s="301"/>
      <c r="D47" s="301"/>
      <c r="E47" s="302"/>
      <c r="F47" s="302"/>
      <c r="G47" s="302"/>
      <c r="H47" s="302"/>
      <c r="I47" s="302"/>
      <c r="J47" s="302"/>
      <c r="K47" s="304" t="str">
        <f aca="false">IFERROR(IF(B47="","",IFERROR(E47*0.16,0)+IFERROR(F47*0.1,0)+IFERROR(G47*0.26,0)+IFERROR(H47*0.14,0)+IFERROR(I47*0.11,0)+IFERROR(J47*0.1,0)),"")</f>
        <v/>
      </c>
      <c r="L47" s="12" t="str">
        <f aca="false">IFERROR(IF(K47="","—",IF(K47&lt;1.5,"L1 — Initial",IF(K47&lt;2.5,"L2 — Developing",IF(K47&lt;3.5,"L3 — Defined",IF(K47&lt;4.5,"L4 — Managed","L5 — Optimised"))))),"—")</f>
        <v>—</v>
      </c>
    </row>
    <row r="48" customFormat="false" ht="24" hidden="false" customHeight="true" outlineLevel="0" collapsed="false">
      <c r="B48" s="301"/>
      <c r="C48" s="301"/>
      <c r="D48" s="301"/>
      <c r="E48" s="302"/>
      <c r="F48" s="302"/>
      <c r="G48" s="302"/>
      <c r="H48" s="302"/>
      <c r="I48" s="302"/>
      <c r="J48" s="302"/>
      <c r="K48" s="303" t="str">
        <f aca="false">IFERROR(IF(B48="","",IFERROR(E48*0.16,0)+IFERROR(F48*0.1,0)+IFERROR(G48*0.26,0)+IFERROR(H48*0.14,0)+IFERROR(I48*0.11,0)+IFERROR(J48*0.1,0)),"")</f>
        <v/>
      </c>
      <c r="L48" s="5" t="str">
        <f aca="false">IFERROR(IF(K48="","—",IF(K48&lt;1.5,"L1 — Initial",IF(K48&lt;2.5,"L2 — Developing",IF(K48&lt;3.5,"L3 — Defined",IF(K48&lt;4.5,"L4 — Managed","L5 — Optimised"))))),"—")</f>
        <v>—</v>
      </c>
    </row>
    <row r="49" customFormat="false" ht="24" hidden="false" customHeight="true" outlineLevel="0" collapsed="false">
      <c r="B49" s="301"/>
      <c r="C49" s="301"/>
      <c r="D49" s="301"/>
      <c r="E49" s="302"/>
      <c r="F49" s="302"/>
      <c r="G49" s="302"/>
      <c r="H49" s="302"/>
      <c r="I49" s="302"/>
      <c r="J49" s="302"/>
      <c r="K49" s="304" t="str">
        <f aca="false">IFERROR(IF(B49="","",IFERROR(E49*0.16,0)+IFERROR(F49*0.1,0)+IFERROR(G49*0.26,0)+IFERROR(H49*0.14,0)+IFERROR(I49*0.11,0)+IFERROR(J49*0.1,0)),"")</f>
        <v/>
      </c>
      <c r="L49" s="12" t="str">
        <f aca="false">IFERROR(IF(K49="","—",IF(K49&lt;1.5,"L1 — Initial",IF(K49&lt;2.5,"L2 — Developing",IF(K49&lt;3.5,"L3 — Defined",IF(K49&lt;4.5,"L4 — Managed","L5 — Optimised"))))),"—")</f>
        <v>—</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2"/>
    <col collapsed="false" customWidth="true" hidden="false" outlineLevel="0" max="2" min="2" style="1" width="160"/>
  </cols>
  <sheetData>
    <row r="1" customFormat="false" ht="14.25" hidden="false" customHeight="false" outlineLevel="0" collapsed="false">
      <c r="A1" s="305" t="s">
        <v>2861</v>
      </c>
      <c r="B1" s="305" t="s">
        <v>2862</v>
      </c>
    </row>
    <row r="2" customFormat="false" ht="14.25" hidden="false" customHeight="false" outlineLevel="0" collapsed="false">
      <c r="A2" s="1" t="s">
        <v>2863</v>
      </c>
      <c r="B2" s="1" t="s">
        <v>2864</v>
      </c>
    </row>
    <row r="3" customFormat="false" ht="14.25" hidden="false" customHeight="false" outlineLevel="0" collapsed="false">
      <c r="A3" s="1" t="s">
        <v>2865</v>
      </c>
      <c r="B3" s="1" t="s">
        <v>2866</v>
      </c>
    </row>
    <row r="4" customFormat="false" ht="14.25" hidden="false" customHeight="false" outlineLevel="0" collapsed="false">
      <c r="A4" s="1" t="s">
        <v>2867</v>
      </c>
      <c r="B4" s="1" t="s">
        <v>2868</v>
      </c>
    </row>
    <row r="5" customFormat="false" ht="14.25" hidden="false" customHeight="false" outlineLevel="0" collapsed="false">
      <c r="A5" s="1" t="s">
        <v>2869</v>
      </c>
      <c r="B5" s="1" t="s">
        <v>2870</v>
      </c>
    </row>
    <row r="6" customFormat="false" ht="14.25" hidden="false" customHeight="false" outlineLevel="0" collapsed="false">
      <c r="A6" s="1" t="s">
        <v>2871</v>
      </c>
      <c r="B6" s="1" t="s">
        <v>2872</v>
      </c>
    </row>
    <row r="7" customFormat="false" ht="14.25" hidden="false" customHeight="false" outlineLevel="0" collapsed="false">
      <c r="A7" s="1" t="s">
        <v>2873</v>
      </c>
      <c r="B7" s="1" t="s">
        <v>2874</v>
      </c>
    </row>
    <row r="8" customFormat="false" ht="14.25" hidden="false" customHeight="false" outlineLevel="0" collapsed="false">
      <c r="A8" s="1" t="s">
        <v>2875</v>
      </c>
      <c r="B8" s="1" t="s">
        <v>2876</v>
      </c>
    </row>
    <row r="9" customFormat="false" ht="14.25" hidden="false" customHeight="false" outlineLevel="0" collapsed="false">
      <c r="A9" s="1" t="s">
        <v>2877</v>
      </c>
      <c r="B9" s="1" t="s">
        <v>2878</v>
      </c>
    </row>
    <row r="10" customFormat="false" ht="14.25" hidden="false" customHeight="false" outlineLevel="0" collapsed="false">
      <c r="A10" s="1" t="s">
        <v>2879</v>
      </c>
      <c r="B10" s="1" t="s">
        <v>2880</v>
      </c>
    </row>
    <row r="11" customFormat="false" ht="14.25" hidden="false" customHeight="false" outlineLevel="0" collapsed="false">
      <c r="A11" s="1" t="s">
        <v>2881</v>
      </c>
      <c r="B11" s="1" t="s">
        <v>2882</v>
      </c>
    </row>
    <row r="12" customFormat="false" ht="14.25" hidden="false" customHeight="false" outlineLevel="0" collapsed="false">
      <c r="A12" s="1" t="s">
        <v>2883</v>
      </c>
      <c r="B12" s="1" t="s">
        <v>2884</v>
      </c>
    </row>
    <row r="13" customFormat="false" ht="14.25" hidden="false" customHeight="false" outlineLevel="0" collapsed="false">
      <c r="A13" s="1" t="s">
        <v>2885</v>
      </c>
      <c r="B13" s="1" t="s">
        <v>2886</v>
      </c>
    </row>
    <row r="14" customFormat="false" ht="14.25" hidden="false" customHeight="false" outlineLevel="0" collapsed="false">
      <c r="A14" s="1" t="s">
        <v>2887</v>
      </c>
      <c r="B14" s="1" t="s">
        <v>2888</v>
      </c>
    </row>
    <row r="15" customFormat="false" ht="14.25" hidden="false" customHeight="false" outlineLevel="0" collapsed="false">
      <c r="A15" s="1" t="s">
        <v>2889</v>
      </c>
      <c r="B15" s="1" t="s">
        <v>2890</v>
      </c>
    </row>
    <row r="16" customFormat="false" ht="14.25" hidden="false" customHeight="false" outlineLevel="0" collapsed="false">
      <c r="A16" s="1" t="s">
        <v>2891</v>
      </c>
      <c r="B16" s="1" t="s">
        <v>2892</v>
      </c>
    </row>
    <row r="17" customFormat="false" ht="14.25" hidden="false" customHeight="false" outlineLevel="0" collapsed="false">
      <c r="A17" s="1" t="s">
        <v>2893</v>
      </c>
      <c r="B17" s="1" t="s">
        <v>2894</v>
      </c>
    </row>
    <row r="18" customFormat="false" ht="14.25" hidden="false" customHeight="false" outlineLevel="0" collapsed="false">
      <c r="A18" s="1" t="s">
        <v>2895</v>
      </c>
      <c r="B18" s="1" t="s">
        <v>2896</v>
      </c>
    </row>
    <row r="19" customFormat="false" ht="14.25" hidden="false" customHeight="false" outlineLevel="0" collapsed="false">
      <c r="A19" s="1" t="s">
        <v>2897</v>
      </c>
      <c r="B19" s="1" t="s">
        <v>2898</v>
      </c>
    </row>
    <row r="20" customFormat="false" ht="14.25" hidden="false" customHeight="false" outlineLevel="0" collapsed="false">
      <c r="A20" s="1" t="s">
        <v>2899</v>
      </c>
      <c r="B20" s="1" t="s">
        <v>2900</v>
      </c>
    </row>
    <row r="21" customFormat="false" ht="14.25" hidden="false" customHeight="false" outlineLevel="0" collapsed="false">
      <c r="A21" s="1" t="s">
        <v>2901</v>
      </c>
      <c r="B21" s="1" t="s">
        <v>2902</v>
      </c>
    </row>
    <row r="22" customFormat="false" ht="14.25" hidden="false" customHeight="false" outlineLevel="0" collapsed="false">
      <c r="A22" s="1" t="s">
        <v>2903</v>
      </c>
      <c r="B22" s="1" t="s">
        <v>2904</v>
      </c>
    </row>
    <row r="23" customFormat="false" ht="14.25" hidden="false" customHeight="false" outlineLevel="0" collapsed="false">
      <c r="A23" s="1" t="s">
        <v>2905</v>
      </c>
      <c r="B23" s="1" t="s">
        <v>2906</v>
      </c>
    </row>
    <row r="24" customFormat="false" ht="14.25" hidden="false" customHeight="false" outlineLevel="0" collapsed="false">
      <c r="A24" s="1" t="s">
        <v>2907</v>
      </c>
      <c r="B24" s="1" t="s">
        <v>2908</v>
      </c>
    </row>
    <row r="25" customFormat="false" ht="14.25" hidden="false" customHeight="false" outlineLevel="0" collapsed="false">
      <c r="A25" s="1" t="s">
        <v>2909</v>
      </c>
      <c r="B25" s="1" t="s">
        <v>2910</v>
      </c>
    </row>
    <row r="26" customFormat="false" ht="14.25" hidden="false" customHeight="false" outlineLevel="0" collapsed="false">
      <c r="A26" s="1" t="s">
        <v>2911</v>
      </c>
      <c r="B26" s="1" t="s">
        <v>2912</v>
      </c>
    </row>
    <row r="27" customFormat="false" ht="14.25" hidden="false" customHeight="false" outlineLevel="0" collapsed="false">
      <c r="A27" s="1" t="s">
        <v>2913</v>
      </c>
      <c r="B27" s="1" t="s">
        <v>2914</v>
      </c>
    </row>
    <row r="28" customFormat="false" ht="14.25" hidden="false" customHeight="false" outlineLevel="0" collapsed="false">
      <c r="A28" s="1" t="s">
        <v>2915</v>
      </c>
      <c r="B28" s="1" t="s">
        <v>2916</v>
      </c>
    </row>
    <row r="29" customFormat="false" ht="14.25" hidden="false" customHeight="false" outlineLevel="0" collapsed="false">
      <c r="A29" s="1" t="s">
        <v>2917</v>
      </c>
      <c r="B29" s="1" t="s">
        <v>2918</v>
      </c>
    </row>
    <row r="30" customFormat="false" ht="14.25" hidden="false" customHeight="false" outlineLevel="0" collapsed="false">
      <c r="A30" s="1" t="s">
        <v>2919</v>
      </c>
      <c r="B30" s="1" t="s">
        <v>2920</v>
      </c>
    </row>
    <row r="31" customFormat="false" ht="14.25" hidden="false" customHeight="false" outlineLevel="0" collapsed="false">
      <c r="A31" s="1" t="s">
        <v>2921</v>
      </c>
      <c r="B31" s="1" t="s">
        <v>2922</v>
      </c>
    </row>
    <row r="32" customFormat="false" ht="14.25" hidden="false" customHeight="false" outlineLevel="0" collapsed="false">
      <c r="A32" s="1" t="s">
        <v>2923</v>
      </c>
      <c r="B32" s="1" t="s">
        <v>2924</v>
      </c>
    </row>
    <row r="33" customFormat="false" ht="14.25" hidden="false" customHeight="false" outlineLevel="0" collapsed="false">
      <c r="A33" s="1" t="s">
        <v>2925</v>
      </c>
      <c r="B33" s="1" t="s">
        <v>2926</v>
      </c>
    </row>
    <row r="34" customFormat="false" ht="14.25" hidden="false" customHeight="false" outlineLevel="0" collapsed="false">
      <c r="A34" s="1" t="s">
        <v>2927</v>
      </c>
      <c r="B34" s="1" t="s">
        <v>2928</v>
      </c>
    </row>
    <row r="35" customFormat="false" ht="14.25" hidden="false" customHeight="false" outlineLevel="0" collapsed="false">
      <c r="A35" s="1" t="s">
        <v>2929</v>
      </c>
      <c r="B35" s="1" t="s">
        <v>2930</v>
      </c>
    </row>
    <row r="36" customFormat="false" ht="14.25" hidden="false" customHeight="false" outlineLevel="0" collapsed="false">
      <c r="A36" s="1" t="s">
        <v>2931</v>
      </c>
      <c r="B36" s="1" t="s">
        <v>2932</v>
      </c>
    </row>
    <row r="37" customFormat="false" ht="14.25" hidden="false" customHeight="false" outlineLevel="0" collapsed="false">
      <c r="A37" s="1" t="s">
        <v>2933</v>
      </c>
      <c r="B37" s="1" t="s">
        <v>2934</v>
      </c>
    </row>
    <row r="38" customFormat="false" ht="14.25" hidden="false" customHeight="false" outlineLevel="0" collapsed="false">
      <c r="A38" s="1" t="s">
        <v>2935</v>
      </c>
      <c r="B38" s="1" t="s">
        <v>2936</v>
      </c>
    </row>
    <row r="39" customFormat="false" ht="14.25" hidden="false" customHeight="false" outlineLevel="0" collapsed="false">
      <c r="A39" s="1" t="s">
        <v>2937</v>
      </c>
      <c r="B39" s="1" t="s">
        <v>2938</v>
      </c>
    </row>
    <row r="40" customFormat="false" ht="14.25" hidden="false" customHeight="false" outlineLevel="0" collapsed="false">
      <c r="A40" s="1" t="s">
        <v>2939</v>
      </c>
      <c r="B40" s="1" t="s">
        <v>2940</v>
      </c>
    </row>
    <row r="41" customFormat="false" ht="14.25" hidden="false" customHeight="false" outlineLevel="0" collapsed="false">
      <c r="A41" s="1" t="s">
        <v>2941</v>
      </c>
      <c r="B41" s="1" t="s">
        <v>2942</v>
      </c>
    </row>
    <row r="42" customFormat="false" ht="14.25" hidden="false" customHeight="false" outlineLevel="0" collapsed="false">
      <c r="A42" s="1" t="s">
        <v>2943</v>
      </c>
      <c r="B42" s="1" t="s">
        <v>2944</v>
      </c>
    </row>
    <row r="43" customFormat="false" ht="14.25" hidden="false" customHeight="false" outlineLevel="0" collapsed="false">
      <c r="A43" s="1" t="s">
        <v>2945</v>
      </c>
      <c r="B43" s="1" t="s">
        <v>2946</v>
      </c>
    </row>
    <row r="44" customFormat="false" ht="14.25" hidden="false" customHeight="false" outlineLevel="0" collapsed="false">
      <c r="A44" s="1" t="s">
        <v>2947</v>
      </c>
      <c r="B44" s="1" t="s">
        <v>2948</v>
      </c>
    </row>
    <row r="45" customFormat="false" ht="14.25" hidden="false" customHeight="false" outlineLevel="0" collapsed="false">
      <c r="A45" s="1" t="s">
        <v>2949</v>
      </c>
      <c r="B45" s="1" t="s">
        <v>2950</v>
      </c>
    </row>
    <row r="46" customFormat="false" ht="14.25" hidden="false" customHeight="false" outlineLevel="0" collapsed="false">
      <c r="A46" s="1" t="s">
        <v>2951</v>
      </c>
      <c r="B46" s="1" t="s">
        <v>2952</v>
      </c>
    </row>
    <row r="47" customFormat="false" ht="14.25" hidden="false" customHeight="false" outlineLevel="0" collapsed="false">
      <c r="A47" s="1" t="s">
        <v>2953</v>
      </c>
      <c r="B47" s="1" t="s">
        <v>2954</v>
      </c>
    </row>
    <row r="48" customFormat="false" ht="14.25" hidden="false" customHeight="false" outlineLevel="0" collapsed="false">
      <c r="A48" s="1" t="s">
        <v>2955</v>
      </c>
      <c r="B48" s="1" t="s">
        <v>2956</v>
      </c>
    </row>
    <row r="49" customFormat="false" ht="14.25" hidden="false" customHeight="false" outlineLevel="0" collapsed="false">
      <c r="A49" s="1" t="s">
        <v>2957</v>
      </c>
      <c r="B49" s="1" t="s">
        <v>2958</v>
      </c>
    </row>
    <row r="50" customFormat="false" ht="14.25" hidden="false" customHeight="false" outlineLevel="0" collapsed="false">
      <c r="A50" s="1" t="s">
        <v>2959</v>
      </c>
      <c r="B50" s="1" t="s">
        <v>2960</v>
      </c>
    </row>
    <row r="51" customFormat="false" ht="14.25" hidden="false" customHeight="false" outlineLevel="0" collapsed="false">
      <c r="A51" s="1" t="s">
        <v>2961</v>
      </c>
      <c r="B51" s="1" t="s">
        <v>2962</v>
      </c>
    </row>
    <row r="52" customFormat="false" ht="14.25" hidden="false" customHeight="false" outlineLevel="0" collapsed="false">
      <c r="A52" s="1" t="s">
        <v>2963</v>
      </c>
      <c r="B52" s="1" t="s">
        <v>2964</v>
      </c>
    </row>
    <row r="53" customFormat="false" ht="14.25" hidden="false" customHeight="false" outlineLevel="0" collapsed="false">
      <c r="A53" s="1" t="s">
        <v>2965</v>
      </c>
      <c r="B53" s="1" t="s">
        <v>2966</v>
      </c>
    </row>
    <row r="54" customFormat="false" ht="14.25" hidden="false" customHeight="false" outlineLevel="0" collapsed="false">
      <c r="A54" s="1" t="s">
        <v>2967</v>
      </c>
      <c r="B54" s="1" t="s">
        <v>2968</v>
      </c>
    </row>
    <row r="55" customFormat="false" ht="14.25" hidden="false" customHeight="false" outlineLevel="0" collapsed="false">
      <c r="A55" s="1" t="s">
        <v>2969</v>
      </c>
      <c r="B55" s="1" t="s">
        <v>2970</v>
      </c>
    </row>
    <row r="56" customFormat="false" ht="14.25" hidden="false" customHeight="false" outlineLevel="0" collapsed="false">
      <c r="A56" s="1" t="s">
        <v>2971</v>
      </c>
      <c r="B56" s="1" t="s">
        <v>2972</v>
      </c>
    </row>
    <row r="57" customFormat="false" ht="14.25" hidden="false" customHeight="false" outlineLevel="0" collapsed="false">
      <c r="A57" s="1" t="s">
        <v>2973</v>
      </c>
      <c r="B57" s="1" t="s">
        <v>2974</v>
      </c>
    </row>
    <row r="58" customFormat="false" ht="14.25" hidden="false" customHeight="false" outlineLevel="0" collapsed="false">
      <c r="A58" s="1" t="s">
        <v>2975</v>
      </c>
      <c r="B58" s="1" t="s">
        <v>2976</v>
      </c>
    </row>
    <row r="59" customFormat="false" ht="14.25" hidden="false" customHeight="false" outlineLevel="0" collapsed="false">
      <c r="A59" s="1" t="s">
        <v>2977</v>
      </c>
      <c r="B59" s="1" t="s">
        <v>2978</v>
      </c>
    </row>
    <row r="60" customFormat="false" ht="14.25" hidden="false" customHeight="false" outlineLevel="0" collapsed="false">
      <c r="A60" s="1" t="s">
        <v>2979</v>
      </c>
      <c r="B60" s="1" t="s">
        <v>2980</v>
      </c>
    </row>
    <row r="61" customFormat="false" ht="14.25" hidden="false" customHeight="false" outlineLevel="0" collapsed="false">
      <c r="A61" s="1" t="s">
        <v>2981</v>
      </c>
      <c r="B61" s="1" t="s">
        <v>2982</v>
      </c>
    </row>
    <row r="62" customFormat="false" ht="14.25" hidden="false" customHeight="false" outlineLevel="0" collapsed="false">
      <c r="A62" s="1" t="s">
        <v>2983</v>
      </c>
      <c r="B62" s="1" t="s">
        <v>2984</v>
      </c>
    </row>
    <row r="63" customFormat="false" ht="14.25" hidden="false" customHeight="false" outlineLevel="0" collapsed="false">
      <c r="A63" s="1" t="s">
        <v>2985</v>
      </c>
      <c r="B63" s="1" t="s">
        <v>2986</v>
      </c>
    </row>
    <row r="64" customFormat="false" ht="14.25" hidden="false" customHeight="false" outlineLevel="0" collapsed="false">
      <c r="A64" s="1" t="s">
        <v>2987</v>
      </c>
      <c r="B64" s="1" t="s">
        <v>2988</v>
      </c>
    </row>
    <row r="65" customFormat="false" ht="14.25" hidden="false" customHeight="false" outlineLevel="0" collapsed="false">
      <c r="A65" s="1" t="s">
        <v>2989</v>
      </c>
      <c r="B65" s="1" t="s">
        <v>2990</v>
      </c>
    </row>
    <row r="66" customFormat="false" ht="14.25" hidden="false" customHeight="false" outlineLevel="0" collapsed="false">
      <c r="A66" s="1" t="s">
        <v>2991</v>
      </c>
      <c r="B66" s="1" t="s">
        <v>2992</v>
      </c>
    </row>
    <row r="67" customFormat="false" ht="14.25" hidden="false" customHeight="false" outlineLevel="0" collapsed="false">
      <c r="A67" s="1" t="s">
        <v>2993</v>
      </c>
      <c r="B67" s="1" t="s">
        <v>2994</v>
      </c>
    </row>
    <row r="68" customFormat="false" ht="14.25" hidden="false" customHeight="false" outlineLevel="0" collapsed="false">
      <c r="A68" s="1" t="s">
        <v>2995</v>
      </c>
      <c r="B68" s="1" t="s">
        <v>2996</v>
      </c>
    </row>
    <row r="69" customFormat="false" ht="14.25" hidden="false" customHeight="false" outlineLevel="0" collapsed="false">
      <c r="A69" s="1" t="s">
        <v>2997</v>
      </c>
      <c r="B69" s="1" t="s">
        <v>2998</v>
      </c>
    </row>
    <row r="70" customFormat="false" ht="14.25" hidden="false" customHeight="false" outlineLevel="0" collapsed="false">
      <c r="A70" s="1" t="s">
        <v>2999</v>
      </c>
      <c r="B70" s="1" t="s">
        <v>3000</v>
      </c>
    </row>
    <row r="71" customFormat="false" ht="14.25" hidden="false" customHeight="false" outlineLevel="0" collapsed="false">
      <c r="A71" s="1" t="s">
        <v>3001</v>
      </c>
      <c r="B71" s="1" t="s">
        <v>3002</v>
      </c>
    </row>
    <row r="72" customFormat="false" ht="14.25" hidden="false" customHeight="false" outlineLevel="0" collapsed="false">
      <c r="A72" s="1" t="s">
        <v>3003</v>
      </c>
      <c r="B72" s="1" t="s">
        <v>3004</v>
      </c>
    </row>
    <row r="73" customFormat="false" ht="14.25" hidden="false" customHeight="false" outlineLevel="0" collapsed="false">
      <c r="A73" s="1" t="s">
        <v>3005</v>
      </c>
      <c r="B73" s="1" t="s">
        <v>3006</v>
      </c>
    </row>
    <row r="74" customFormat="false" ht="14.25" hidden="false" customHeight="false" outlineLevel="0" collapsed="false">
      <c r="A74" s="1" t="s">
        <v>3007</v>
      </c>
      <c r="B74" s="1" t="s">
        <v>3008</v>
      </c>
    </row>
    <row r="75" customFormat="false" ht="14.25" hidden="false" customHeight="false" outlineLevel="0" collapsed="false">
      <c r="A75" s="1" t="s">
        <v>3009</v>
      </c>
      <c r="B75" s="1" t="s">
        <v>3010</v>
      </c>
    </row>
    <row r="76" customFormat="false" ht="14.25" hidden="false" customHeight="false" outlineLevel="0" collapsed="false">
      <c r="A76" s="1" t="s">
        <v>3011</v>
      </c>
      <c r="B76" s="1" t="s">
        <v>3012</v>
      </c>
    </row>
    <row r="77" customFormat="false" ht="14.25" hidden="false" customHeight="false" outlineLevel="0" collapsed="false">
      <c r="A77" s="1" t="s">
        <v>3013</v>
      </c>
      <c r="B77" s="1" t="s">
        <v>3014</v>
      </c>
    </row>
    <row r="78" customFormat="false" ht="14.25" hidden="false" customHeight="false" outlineLevel="0" collapsed="false">
      <c r="A78" s="1" t="s">
        <v>3015</v>
      </c>
      <c r="B78" s="1" t="s">
        <v>3016</v>
      </c>
    </row>
    <row r="79" customFormat="false" ht="14.25" hidden="false" customHeight="false" outlineLevel="0" collapsed="false">
      <c r="A79" s="1" t="s">
        <v>3017</v>
      </c>
      <c r="B79" s="1" t="s">
        <v>3018</v>
      </c>
    </row>
    <row r="80" customFormat="false" ht="14.25" hidden="false" customHeight="false" outlineLevel="0" collapsed="false">
      <c r="A80" s="1" t="s">
        <v>3019</v>
      </c>
      <c r="B80" s="1" t="s">
        <v>3020</v>
      </c>
    </row>
    <row r="81" customFormat="false" ht="14.25" hidden="false" customHeight="false" outlineLevel="0" collapsed="false">
      <c r="A81" s="1" t="s">
        <v>3021</v>
      </c>
      <c r="B81" s="1" t="s">
        <v>3022</v>
      </c>
    </row>
    <row r="82" customFormat="false" ht="14.25" hidden="false" customHeight="false" outlineLevel="0" collapsed="false">
      <c r="A82" s="1" t="s">
        <v>3023</v>
      </c>
      <c r="B82" s="1" t="s">
        <v>3024</v>
      </c>
    </row>
    <row r="83" customFormat="false" ht="14.25" hidden="false" customHeight="false" outlineLevel="0" collapsed="false">
      <c r="A83" s="1" t="s">
        <v>3025</v>
      </c>
      <c r="B83" s="1" t="s">
        <v>3026</v>
      </c>
    </row>
    <row r="84" customFormat="false" ht="14.25" hidden="false" customHeight="false" outlineLevel="0" collapsed="false">
      <c r="A84" s="1" t="s">
        <v>3027</v>
      </c>
      <c r="B84" s="1" t="s">
        <v>3028</v>
      </c>
    </row>
    <row r="85" customFormat="false" ht="14.25" hidden="false" customHeight="false" outlineLevel="0" collapsed="false">
      <c r="A85" s="1" t="s">
        <v>3029</v>
      </c>
      <c r="B85" s="1" t="s">
        <v>3030</v>
      </c>
    </row>
    <row r="86" customFormat="false" ht="14.25" hidden="false" customHeight="false" outlineLevel="0" collapsed="false">
      <c r="A86" s="1" t="s">
        <v>3031</v>
      </c>
      <c r="B86" s="1" t="s">
        <v>3032</v>
      </c>
    </row>
    <row r="87" customFormat="false" ht="14.25" hidden="false" customHeight="false" outlineLevel="0" collapsed="false">
      <c r="A87" s="1" t="s">
        <v>3033</v>
      </c>
      <c r="B87" s="1" t="s">
        <v>3034</v>
      </c>
    </row>
    <row r="88" customFormat="false" ht="14.25" hidden="false" customHeight="false" outlineLevel="0" collapsed="false">
      <c r="A88" s="1" t="s">
        <v>3035</v>
      </c>
      <c r="B88" s="1" t="s">
        <v>3036</v>
      </c>
    </row>
    <row r="89" customFormat="false" ht="14.25" hidden="false" customHeight="false" outlineLevel="0" collapsed="false">
      <c r="A89" s="1" t="s">
        <v>3037</v>
      </c>
      <c r="B89" s="1" t="s">
        <v>3038</v>
      </c>
    </row>
    <row r="90" customFormat="false" ht="14.25" hidden="false" customHeight="false" outlineLevel="0" collapsed="false">
      <c r="A90" s="1" t="s">
        <v>3039</v>
      </c>
      <c r="B90" s="1" t="s">
        <v>3040</v>
      </c>
    </row>
    <row r="91" customFormat="false" ht="14.25" hidden="false" customHeight="false" outlineLevel="0" collapsed="false">
      <c r="A91" s="1" t="s">
        <v>3041</v>
      </c>
      <c r="B91" s="1" t="s">
        <v>3042</v>
      </c>
    </row>
    <row r="92" customFormat="false" ht="14.25" hidden="false" customHeight="false" outlineLevel="0" collapsed="false">
      <c r="A92" s="1" t="s">
        <v>3043</v>
      </c>
      <c r="B92" s="1" t="s">
        <v>3044</v>
      </c>
    </row>
    <row r="93" customFormat="false" ht="14.25" hidden="false" customHeight="false" outlineLevel="0" collapsed="false">
      <c r="A93" s="1" t="s">
        <v>3045</v>
      </c>
      <c r="B93" s="1" t="s">
        <v>3046</v>
      </c>
    </row>
    <row r="94" customFormat="false" ht="14.25" hidden="false" customHeight="false" outlineLevel="0" collapsed="false">
      <c r="A94" s="1" t="s">
        <v>3047</v>
      </c>
      <c r="B94" s="1" t="s">
        <v>3048</v>
      </c>
    </row>
    <row r="95" customFormat="false" ht="14.25" hidden="false" customHeight="false" outlineLevel="0" collapsed="false">
      <c r="A95" s="1" t="s">
        <v>3049</v>
      </c>
      <c r="B95" s="1" t="s">
        <v>3050</v>
      </c>
    </row>
    <row r="96" customFormat="false" ht="14.25" hidden="false" customHeight="false" outlineLevel="0" collapsed="false">
      <c r="A96" s="1" t="s">
        <v>3051</v>
      </c>
      <c r="B96" s="1" t="s">
        <v>3052</v>
      </c>
    </row>
    <row r="97" customFormat="false" ht="14.25" hidden="false" customHeight="false" outlineLevel="0" collapsed="false">
      <c r="A97" s="1" t="s">
        <v>3053</v>
      </c>
      <c r="B97" s="1" t="s">
        <v>3054</v>
      </c>
    </row>
    <row r="98" customFormat="false" ht="14.25" hidden="false" customHeight="false" outlineLevel="0" collapsed="false">
      <c r="A98" s="1" t="s">
        <v>3055</v>
      </c>
      <c r="B98" s="1" t="s">
        <v>3056</v>
      </c>
    </row>
    <row r="99" customFormat="false" ht="14.25" hidden="false" customHeight="false" outlineLevel="0" collapsed="false">
      <c r="A99" s="1" t="s">
        <v>3057</v>
      </c>
      <c r="B99" s="1" t="s">
        <v>3058</v>
      </c>
    </row>
    <row r="100" customFormat="false" ht="14.25" hidden="false" customHeight="false" outlineLevel="0" collapsed="false">
      <c r="A100" s="1" t="s">
        <v>3059</v>
      </c>
      <c r="B100" s="1" t="s">
        <v>3060</v>
      </c>
    </row>
    <row r="101" customFormat="false" ht="14.25" hidden="false" customHeight="false" outlineLevel="0" collapsed="false">
      <c r="A101" s="1" t="s">
        <v>3061</v>
      </c>
      <c r="B101" s="1" t="s">
        <v>3062</v>
      </c>
    </row>
    <row r="102" customFormat="false" ht="14.25" hidden="false" customHeight="false" outlineLevel="0" collapsed="false">
      <c r="A102" s="1" t="s">
        <v>3063</v>
      </c>
      <c r="B102" s="1" t="s">
        <v>3064</v>
      </c>
    </row>
    <row r="103" customFormat="false" ht="14.25" hidden="false" customHeight="false" outlineLevel="0" collapsed="false">
      <c r="A103" s="1" t="s">
        <v>3065</v>
      </c>
      <c r="B103" s="1" t="s">
        <v>3066</v>
      </c>
    </row>
    <row r="104" customFormat="false" ht="14.25" hidden="false" customHeight="false" outlineLevel="0" collapsed="false">
      <c r="A104" s="1" t="s">
        <v>3067</v>
      </c>
      <c r="B104" s="1" t="s">
        <v>3068</v>
      </c>
    </row>
    <row r="105" customFormat="false" ht="14.25" hidden="false" customHeight="false" outlineLevel="0" collapsed="false">
      <c r="A105" s="1" t="s">
        <v>3069</v>
      </c>
      <c r="B105" s="1" t="s">
        <v>3070</v>
      </c>
    </row>
    <row r="106" customFormat="false" ht="14.25" hidden="false" customHeight="false" outlineLevel="0" collapsed="false">
      <c r="A106" s="1" t="s">
        <v>3071</v>
      </c>
      <c r="B106" s="1" t="s">
        <v>3072</v>
      </c>
    </row>
    <row r="107" customFormat="false" ht="14.25" hidden="false" customHeight="false" outlineLevel="0" collapsed="false">
      <c r="A107" s="1" t="s">
        <v>3073</v>
      </c>
      <c r="B107" s="1" t="s">
        <v>3074</v>
      </c>
    </row>
    <row r="108" customFormat="false" ht="14.25" hidden="false" customHeight="false" outlineLevel="0" collapsed="false">
      <c r="A108" s="1" t="s">
        <v>3075</v>
      </c>
      <c r="B108" s="1" t="s">
        <v>3076</v>
      </c>
    </row>
    <row r="109" customFormat="false" ht="14.25" hidden="false" customHeight="false" outlineLevel="0" collapsed="false">
      <c r="A109" s="1" t="s">
        <v>3077</v>
      </c>
      <c r="B109" s="1" t="s">
        <v>3078</v>
      </c>
    </row>
    <row r="110" customFormat="false" ht="14.25" hidden="false" customHeight="false" outlineLevel="0" collapsed="false">
      <c r="A110" s="1" t="s">
        <v>3079</v>
      </c>
      <c r="B110" s="1" t="s">
        <v>3080</v>
      </c>
    </row>
    <row r="111" customFormat="false" ht="14.25" hidden="false" customHeight="false" outlineLevel="0" collapsed="false">
      <c r="A111" s="1" t="s">
        <v>3081</v>
      </c>
      <c r="B111" s="1" t="s">
        <v>3082</v>
      </c>
    </row>
    <row r="112" customFormat="false" ht="14.25" hidden="false" customHeight="false" outlineLevel="0" collapsed="false">
      <c r="A112" s="1" t="s">
        <v>3083</v>
      </c>
      <c r="B112" s="1" t="s">
        <v>3084</v>
      </c>
    </row>
    <row r="113" customFormat="false" ht="14.25" hidden="false" customHeight="false" outlineLevel="0" collapsed="false">
      <c r="A113" s="1" t="s">
        <v>3085</v>
      </c>
      <c r="B113" s="1" t="s">
        <v>3086</v>
      </c>
    </row>
    <row r="114" customFormat="false" ht="14.25" hidden="false" customHeight="false" outlineLevel="0" collapsed="false">
      <c r="A114" s="1" t="s">
        <v>3087</v>
      </c>
      <c r="B114" s="1" t="s">
        <v>3088</v>
      </c>
    </row>
    <row r="115" customFormat="false" ht="14.25" hidden="false" customHeight="false" outlineLevel="0" collapsed="false">
      <c r="A115" s="1" t="s">
        <v>3089</v>
      </c>
      <c r="B115" s="1" t="s">
        <v>3090</v>
      </c>
    </row>
    <row r="116" customFormat="false" ht="14.25" hidden="false" customHeight="false" outlineLevel="0" collapsed="false">
      <c r="A116" s="1" t="s">
        <v>3091</v>
      </c>
      <c r="B116" s="1" t="s">
        <v>3092</v>
      </c>
    </row>
    <row r="117" customFormat="false" ht="14.25" hidden="false" customHeight="false" outlineLevel="0" collapsed="false">
      <c r="A117" s="1" t="s">
        <v>3093</v>
      </c>
      <c r="B117" s="1" t="s">
        <v>3094</v>
      </c>
    </row>
    <row r="118" customFormat="false" ht="14.25" hidden="false" customHeight="false" outlineLevel="0" collapsed="false">
      <c r="A118" s="1" t="s">
        <v>3095</v>
      </c>
      <c r="B118" s="1" t="s">
        <v>3096</v>
      </c>
    </row>
    <row r="119" customFormat="false" ht="14.25" hidden="false" customHeight="false" outlineLevel="0" collapsed="false">
      <c r="A119" s="1" t="s">
        <v>3097</v>
      </c>
      <c r="B119" s="1" t="s">
        <v>3098</v>
      </c>
    </row>
    <row r="120" customFormat="false" ht="14.25" hidden="false" customHeight="false" outlineLevel="0" collapsed="false">
      <c r="A120" s="1" t="s">
        <v>3099</v>
      </c>
      <c r="B120" s="1" t="s">
        <v>3100</v>
      </c>
    </row>
    <row r="121" customFormat="false" ht="14.25" hidden="false" customHeight="false" outlineLevel="0" collapsed="false">
      <c r="A121" s="1" t="s">
        <v>3101</v>
      </c>
      <c r="B121" s="1" t="s">
        <v>3102</v>
      </c>
    </row>
    <row r="122" customFormat="false" ht="14.25" hidden="false" customHeight="false" outlineLevel="0" collapsed="false">
      <c r="A122" s="1" t="s">
        <v>3103</v>
      </c>
      <c r="B122" s="1" t="s">
        <v>3104</v>
      </c>
    </row>
    <row r="123" customFormat="false" ht="14.25" hidden="false" customHeight="false" outlineLevel="0" collapsed="false">
      <c r="A123" s="1" t="s">
        <v>3105</v>
      </c>
      <c r="B123" s="1" t="s">
        <v>3106</v>
      </c>
    </row>
    <row r="124" customFormat="false" ht="14.25" hidden="false" customHeight="false" outlineLevel="0" collapsed="false">
      <c r="A124" s="1" t="s">
        <v>3107</v>
      </c>
      <c r="B124" s="1" t="s">
        <v>3108</v>
      </c>
    </row>
    <row r="125" customFormat="false" ht="14.25" hidden="false" customHeight="false" outlineLevel="0" collapsed="false">
      <c r="A125" s="1" t="s">
        <v>3109</v>
      </c>
      <c r="B125" s="1" t="s">
        <v>3110</v>
      </c>
    </row>
    <row r="126" customFormat="false" ht="14.25" hidden="false" customHeight="false" outlineLevel="0" collapsed="false">
      <c r="A126" s="1" t="s">
        <v>3111</v>
      </c>
      <c r="B126" s="1" t="s">
        <v>3112</v>
      </c>
    </row>
    <row r="127" customFormat="false" ht="14.25" hidden="false" customHeight="false" outlineLevel="0" collapsed="false">
      <c r="A127" s="1" t="s">
        <v>3113</v>
      </c>
      <c r="B127" s="1" t="s">
        <v>3114</v>
      </c>
    </row>
    <row r="128" customFormat="false" ht="14.25" hidden="false" customHeight="false" outlineLevel="0" collapsed="false">
      <c r="A128" s="1" t="s">
        <v>3115</v>
      </c>
      <c r="B128" s="1" t="s">
        <v>3116</v>
      </c>
    </row>
    <row r="129" customFormat="false" ht="14.25" hidden="false" customHeight="false" outlineLevel="0" collapsed="false">
      <c r="A129" s="1" t="s">
        <v>3117</v>
      </c>
      <c r="B129" s="1" t="s">
        <v>3118</v>
      </c>
    </row>
    <row r="130" customFormat="false" ht="14.25" hidden="false" customHeight="false" outlineLevel="0" collapsed="false">
      <c r="A130" s="1" t="s">
        <v>3119</v>
      </c>
      <c r="B130" s="1" t="s">
        <v>3120</v>
      </c>
    </row>
    <row r="131" customFormat="false" ht="14.25" hidden="false" customHeight="false" outlineLevel="0" collapsed="false">
      <c r="A131" s="1" t="s">
        <v>3121</v>
      </c>
      <c r="B131" s="1" t="s">
        <v>3122</v>
      </c>
    </row>
    <row r="132" customFormat="false" ht="14.25" hidden="false" customHeight="false" outlineLevel="0" collapsed="false">
      <c r="A132" s="1" t="s">
        <v>3123</v>
      </c>
      <c r="B132" s="1" t="s">
        <v>3124</v>
      </c>
    </row>
    <row r="133" customFormat="false" ht="14.25" hidden="false" customHeight="false" outlineLevel="0" collapsed="false">
      <c r="A133" s="1" t="s">
        <v>3125</v>
      </c>
      <c r="B133" s="1" t="s">
        <v>3126</v>
      </c>
    </row>
    <row r="134" customFormat="false" ht="14.25" hidden="false" customHeight="false" outlineLevel="0" collapsed="false">
      <c r="A134" s="1" t="s">
        <v>3127</v>
      </c>
      <c r="B134" s="1" t="s">
        <v>3128</v>
      </c>
    </row>
    <row r="135" customFormat="false" ht="14.25" hidden="false" customHeight="false" outlineLevel="0" collapsed="false">
      <c r="A135" s="1" t="s">
        <v>3129</v>
      </c>
      <c r="B135" s="1" t="s">
        <v>3130</v>
      </c>
    </row>
    <row r="136" customFormat="false" ht="14.25" hidden="false" customHeight="false" outlineLevel="0" collapsed="false">
      <c r="A136" s="1" t="s">
        <v>3131</v>
      </c>
      <c r="B136" s="1" t="s">
        <v>3132</v>
      </c>
    </row>
    <row r="137" customFormat="false" ht="14.25" hidden="false" customHeight="false" outlineLevel="0" collapsed="false">
      <c r="A137" s="1" t="s">
        <v>3133</v>
      </c>
      <c r="B137" s="1" t="s">
        <v>3134</v>
      </c>
    </row>
    <row r="138" customFormat="false" ht="14.25" hidden="false" customHeight="false" outlineLevel="0" collapsed="false">
      <c r="A138" s="1" t="s">
        <v>3135</v>
      </c>
      <c r="B138" s="1" t="s">
        <v>3136</v>
      </c>
    </row>
    <row r="139" customFormat="false" ht="14.25" hidden="false" customHeight="false" outlineLevel="0" collapsed="false">
      <c r="A139" s="1" t="s">
        <v>3137</v>
      </c>
      <c r="B139" s="1" t="s">
        <v>3138</v>
      </c>
    </row>
    <row r="140" customFormat="false" ht="14.25" hidden="false" customHeight="false" outlineLevel="0" collapsed="false">
      <c r="A140" s="1" t="s">
        <v>3139</v>
      </c>
      <c r="B140" s="1" t="s">
        <v>3140</v>
      </c>
    </row>
    <row r="141" customFormat="false" ht="14.25" hidden="false" customHeight="false" outlineLevel="0" collapsed="false">
      <c r="A141" s="1" t="s">
        <v>3141</v>
      </c>
      <c r="B141" s="1" t="s">
        <v>3142</v>
      </c>
    </row>
    <row r="142" customFormat="false" ht="14.25" hidden="false" customHeight="false" outlineLevel="0" collapsed="false">
      <c r="A142" s="1" t="s">
        <v>3143</v>
      </c>
      <c r="B142" s="1" t="s">
        <v>3144</v>
      </c>
    </row>
    <row r="143" customFormat="false" ht="14.25" hidden="false" customHeight="false" outlineLevel="0" collapsed="false">
      <c r="A143" s="1" t="s">
        <v>3145</v>
      </c>
      <c r="B143" s="1" t="s">
        <v>3146</v>
      </c>
    </row>
    <row r="144" customFormat="false" ht="14.25" hidden="false" customHeight="false" outlineLevel="0" collapsed="false">
      <c r="A144" s="1" t="s">
        <v>3147</v>
      </c>
      <c r="B144" s="1" t="s">
        <v>3148</v>
      </c>
    </row>
    <row r="145" customFormat="false" ht="14.25" hidden="false" customHeight="false" outlineLevel="0" collapsed="false">
      <c r="A145" s="1" t="s">
        <v>3149</v>
      </c>
      <c r="B145" s="1" t="s">
        <v>3150</v>
      </c>
    </row>
    <row r="146" customFormat="false" ht="14.25" hidden="false" customHeight="false" outlineLevel="0" collapsed="false">
      <c r="A146" s="1" t="s">
        <v>3151</v>
      </c>
      <c r="B146" s="1" t="s">
        <v>3152</v>
      </c>
    </row>
    <row r="147" customFormat="false" ht="14.25" hidden="false" customHeight="false" outlineLevel="0" collapsed="false">
      <c r="A147" s="1" t="s">
        <v>3153</v>
      </c>
      <c r="B147" s="1" t="s">
        <v>3154</v>
      </c>
    </row>
    <row r="148" customFormat="false" ht="14.25" hidden="false" customHeight="false" outlineLevel="0" collapsed="false">
      <c r="A148" s="1" t="s">
        <v>3155</v>
      </c>
      <c r="B148" s="1" t="s">
        <v>3156</v>
      </c>
    </row>
    <row r="149" customFormat="false" ht="14.25" hidden="false" customHeight="false" outlineLevel="0" collapsed="false">
      <c r="A149" s="1" t="s">
        <v>3157</v>
      </c>
      <c r="B149" s="1" t="s">
        <v>3158</v>
      </c>
    </row>
    <row r="150" customFormat="false" ht="14.25" hidden="false" customHeight="false" outlineLevel="0" collapsed="false">
      <c r="A150" s="1" t="s">
        <v>3159</v>
      </c>
      <c r="B150" s="1" t="s">
        <v>3160</v>
      </c>
    </row>
    <row r="151" customFormat="false" ht="14.25" hidden="false" customHeight="false" outlineLevel="0" collapsed="false">
      <c r="A151" s="1" t="s">
        <v>3161</v>
      </c>
      <c r="B151" s="1" t="s">
        <v>3162</v>
      </c>
    </row>
    <row r="152" customFormat="false" ht="14.25" hidden="false" customHeight="false" outlineLevel="0" collapsed="false">
      <c r="A152" s="1" t="s">
        <v>3163</v>
      </c>
      <c r="B152" s="1" t="s">
        <v>3164</v>
      </c>
    </row>
    <row r="153" customFormat="false" ht="14.25" hidden="false" customHeight="false" outlineLevel="0" collapsed="false">
      <c r="A153" s="1" t="s">
        <v>3165</v>
      </c>
      <c r="B153" s="1" t="s">
        <v>3166</v>
      </c>
    </row>
    <row r="154" customFormat="false" ht="14.25" hidden="false" customHeight="false" outlineLevel="0" collapsed="false">
      <c r="A154" s="1" t="s">
        <v>3167</v>
      </c>
      <c r="B154" s="1" t="s">
        <v>3168</v>
      </c>
    </row>
    <row r="155" customFormat="false" ht="14.25" hidden="false" customHeight="false" outlineLevel="0" collapsed="false">
      <c r="A155" s="1" t="s">
        <v>3169</v>
      </c>
      <c r="B155" s="1" t="s">
        <v>3170</v>
      </c>
    </row>
    <row r="156" customFormat="false" ht="14.25" hidden="false" customHeight="false" outlineLevel="0" collapsed="false">
      <c r="A156" s="1" t="s">
        <v>3171</v>
      </c>
      <c r="B156" s="1" t="s">
        <v>3172</v>
      </c>
    </row>
    <row r="157" customFormat="false" ht="14.25" hidden="false" customHeight="false" outlineLevel="0" collapsed="false">
      <c r="A157" s="1" t="s">
        <v>3173</v>
      </c>
      <c r="B157" s="1" t="s">
        <v>3174</v>
      </c>
    </row>
    <row r="158" customFormat="false" ht="14.25" hidden="false" customHeight="false" outlineLevel="0" collapsed="false">
      <c r="A158" s="1" t="s">
        <v>3175</v>
      </c>
      <c r="B158" s="1" t="s">
        <v>3176</v>
      </c>
    </row>
    <row r="159" customFormat="false" ht="14.25" hidden="false" customHeight="false" outlineLevel="0" collapsed="false">
      <c r="A159" s="1" t="s">
        <v>3177</v>
      </c>
      <c r="B159" s="1" t="s">
        <v>3178</v>
      </c>
    </row>
    <row r="160" customFormat="false" ht="14.25" hidden="false" customHeight="false" outlineLevel="0" collapsed="false">
      <c r="A160" s="1" t="s">
        <v>3179</v>
      </c>
      <c r="B160" s="1" t="s">
        <v>3180</v>
      </c>
    </row>
    <row r="161" customFormat="false" ht="14.25" hidden="false" customHeight="false" outlineLevel="0" collapsed="false">
      <c r="A161" s="1" t="s">
        <v>3181</v>
      </c>
      <c r="B161" s="1" t="s">
        <v>3182</v>
      </c>
    </row>
    <row r="162" customFormat="false" ht="14.25" hidden="false" customHeight="false" outlineLevel="0" collapsed="false">
      <c r="A162" s="1" t="s">
        <v>3183</v>
      </c>
      <c r="B162" s="1" t="s">
        <v>3184</v>
      </c>
    </row>
    <row r="163" customFormat="false" ht="14.25" hidden="false" customHeight="false" outlineLevel="0" collapsed="false">
      <c r="A163" s="1" t="s">
        <v>3185</v>
      </c>
      <c r="B163" s="1" t="s">
        <v>3186</v>
      </c>
    </row>
    <row r="164" customFormat="false" ht="14.25" hidden="false" customHeight="false" outlineLevel="0" collapsed="false">
      <c r="A164" s="1" t="s">
        <v>3187</v>
      </c>
      <c r="B164" s="1" t="s">
        <v>3188</v>
      </c>
    </row>
    <row r="165" customFormat="false" ht="14.25" hidden="false" customHeight="false" outlineLevel="0" collapsed="false">
      <c r="A165" s="1" t="s">
        <v>3189</v>
      </c>
      <c r="B165" s="1" t="s">
        <v>3190</v>
      </c>
    </row>
    <row r="166" customFormat="false" ht="14.25" hidden="false" customHeight="false" outlineLevel="0" collapsed="false">
      <c r="A166" s="1" t="s">
        <v>3191</v>
      </c>
      <c r="B166" s="1" t="s">
        <v>3192</v>
      </c>
    </row>
    <row r="167" customFormat="false" ht="14.25" hidden="false" customHeight="false" outlineLevel="0" collapsed="false">
      <c r="A167" s="1" t="s">
        <v>3193</v>
      </c>
      <c r="B167" s="1" t="s">
        <v>3194</v>
      </c>
    </row>
    <row r="168" customFormat="false" ht="14.25" hidden="false" customHeight="false" outlineLevel="0" collapsed="false">
      <c r="A168" s="1" t="s">
        <v>3195</v>
      </c>
      <c r="B168" s="1" t="s">
        <v>3196</v>
      </c>
    </row>
    <row r="169" customFormat="false" ht="14.25" hidden="false" customHeight="false" outlineLevel="0" collapsed="false">
      <c r="A169" s="1" t="s">
        <v>3197</v>
      </c>
      <c r="B169" s="1" t="s">
        <v>3198</v>
      </c>
    </row>
    <row r="170" customFormat="false" ht="14.25" hidden="false" customHeight="false" outlineLevel="0" collapsed="false">
      <c r="A170" s="1" t="s">
        <v>3199</v>
      </c>
      <c r="B170" s="1" t="s">
        <v>3200</v>
      </c>
    </row>
    <row r="171" customFormat="false" ht="14.25" hidden="false" customHeight="false" outlineLevel="0" collapsed="false">
      <c r="A171" s="1" t="s">
        <v>3201</v>
      </c>
      <c r="B171" s="1" t="s">
        <v>3202</v>
      </c>
    </row>
    <row r="172" customFormat="false" ht="14.25" hidden="false" customHeight="false" outlineLevel="0" collapsed="false">
      <c r="A172" s="1" t="s">
        <v>3203</v>
      </c>
      <c r="B172" s="1" t="s">
        <v>3204</v>
      </c>
    </row>
    <row r="173" customFormat="false" ht="14.25" hidden="false" customHeight="false" outlineLevel="0" collapsed="false">
      <c r="A173" s="1" t="s">
        <v>3205</v>
      </c>
      <c r="B173" s="1" t="s">
        <v>3206</v>
      </c>
    </row>
    <row r="174" customFormat="false" ht="14.25" hidden="false" customHeight="false" outlineLevel="0" collapsed="false">
      <c r="A174" s="1" t="s">
        <v>3207</v>
      </c>
      <c r="B174" s="1" t="s">
        <v>3208</v>
      </c>
    </row>
    <row r="175" customFormat="false" ht="14.25" hidden="false" customHeight="false" outlineLevel="0" collapsed="false">
      <c r="A175" s="1" t="s">
        <v>3209</v>
      </c>
      <c r="B175" s="1" t="s">
        <v>3210</v>
      </c>
    </row>
    <row r="176" customFormat="false" ht="14.25" hidden="false" customHeight="false" outlineLevel="0" collapsed="false">
      <c r="A176" s="1" t="s">
        <v>3211</v>
      </c>
      <c r="B176" s="1" t="s">
        <v>3212</v>
      </c>
    </row>
    <row r="177" customFormat="false" ht="14.25" hidden="false" customHeight="false" outlineLevel="0" collapsed="false">
      <c r="A177" s="1" t="s">
        <v>3213</v>
      </c>
      <c r="B177" s="1" t="s">
        <v>3214</v>
      </c>
    </row>
    <row r="178" customFormat="false" ht="14.25" hidden="false" customHeight="false" outlineLevel="0" collapsed="false">
      <c r="A178" s="1" t="s">
        <v>3215</v>
      </c>
      <c r="B178" s="1" t="s">
        <v>3216</v>
      </c>
    </row>
    <row r="179" customFormat="false" ht="14.25" hidden="false" customHeight="false" outlineLevel="0" collapsed="false">
      <c r="A179" s="1" t="s">
        <v>3217</v>
      </c>
      <c r="B179" s="1" t="s">
        <v>3218</v>
      </c>
    </row>
    <row r="180" customFormat="false" ht="14.25" hidden="false" customHeight="false" outlineLevel="0" collapsed="false">
      <c r="A180" s="1" t="s">
        <v>3219</v>
      </c>
      <c r="B180" s="1" t="s">
        <v>3220</v>
      </c>
    </row>
    <row r="181" customFormat="false" ht="14.25" hidden="false" customHeight="false" outlineLevel="0" collapsed="false">
      <c r="A181" s="1" t="s">
        <v>3221</v>
      </c>
      <c r="B181" s="1" t="s">
        <v>3222</v>
      </c>
    </row>
    <row r="182" customFormat="false" ht="14.25" hidden="false" customHeight="false" outlineLevel="0" collapsed="false">
      <c r="A182" s="1" t="s">
        <v>3223</v>
      </c>
      <c r="B182" s="1" t="s">
        <v>3224</v>
      </c>
    </row>
    <row r="183" customFormat="false" ht="14.25" hidden="false" customHeight="false" outlineLevel="0" collapsed="false">
      <c r="A183" s="1" t="s">
        <v>3225</v>
      </c>
      <c r="B183" s="1" t="s">
        <v>3226</v>
      </c>
    </row>
    <row r="184" customFormat="false" ht="14.25" hidden="false" customHeight="false" outlineLevel="0" collapsed="false">
      <c r="A184" s="1" t="s">
        <v>3227</v>
      </c>
      <c r="B184" s="1" t="s">
        <v>3228</v>
      </c>
    </row>
    <row r="185" customFormat="false" ht="14.25" hidden="false" customHeight="false" outlineLevel="0" collapsed="false">
      <c r="A185" s="1" t="s">
        <v>3229</v>
      </c>
      <c r="B185" s="1" t="s">
        <v>3230</v>
      </c>
    </row>
    <row r="186" customFormat="false" ht="14.25" hidden="false" customHeight="false" outlineLevel="0" collapsed="false">
      <c r="A186" s="1" t="s">
        <v>3231</v>
      </c>
      <c r="B186" s="1" t="s">
        <v>3232</v>
      </c>
    </row>
    <row r="187" customFormat="false" ht="14.25" hidden="false" customHeight="false" outlineLevel="0" collapsed="false">
      <c r="A187" s="1" t="s">
        <v>3233</v>
      </c>
      <c r="B187" s="1" t="s">
        <v>3234</v>
      </c>
    </row>
    <row r="188" customFormat="false" ht="14.25" hidden="false" customHeight="false" outlineLevel="0" collapsed="false">
      <c r="A188" s="1" t="s">
        <v>3235</v>
      </c>
      <c r="B188" s="1" t="s">
        <v>3236</v>
      </c>
    </row>
    <row r="189" customFormat="false" ht="14.25" hidden="false" customHeight="false" outlineLevel="0" collapsed="false">
      <c r="A189" s="1" t="s">
        <v>3237</v>
      </c>
      <c r="B189" s="1" t="s">
        <v>3238</v>
      </c>
    </row>
    <row r="190" customFormat="false" ht="14.25" hidden="false" customHeight="false" outlineLevel="0" collapsed="false">
      <c r="A190" s="1" t="s">
        <v>3239</v>
      </c>
      <c r="B190" s="1" t="s">
        <v>3240</v>
      </c>
    </row>
    <row r="191" customFormat="false" ht="14.25" hidden="false" customHeight="false" outlineLevel="0" collapsed="false">
      <c r="A191" s="1" t="s">
        <v>3241</v>
      </c>
      <c r="B191" s="1" t="s">
        <v>3242</v>
      </c>
    </row>
    <row r="192" customFormat="false" ht="14.25" hidden="false" customHeight="false" outlineLevel="0" collapsed="false">
      <c r="A192" s="1" t="s">
        <v>3243</v>
      </c>
      <c r="B192" s="1" t="s">
        <v>3244</v>
      </c>
    </row>
    <row r="193" customFormat="false" ht="14.25" hidden="false" customHeight="false" outlineLevel="0" collapsed="false">
      <c r="A193" s="1" t="s">
        <v>3245</v>
      </c>
      <c r="B193" s="1" t="s">
        <v>3246</v>
      </c>
    </row>
    <row r="194" customFormat="false" ht="14.25" hidden="false" customHeight="false" outlineLevel="0" collapsed="false">
      <c r="A194" s="1" t="s">
        <v>3247</v>
      </c>
      <c r="B194" s="1" t="s">
        <v>3248</v>
      </c>
    </row>
    <row r="195" customFormat="false" ht="14.25" hidden="false" customHeight="false" outlineLevel="0" collapsed="false">
      <c r="A195" s="1" t="s">
        <v>3249</v>
      </c>
      <c r="B195" s="1" t="s">
        <v>3250</v>
      </c>
    </row>
    <row r="196" customFormat="false" ht="14.25" hidden="false" customHeight="false" outlineLevel="0" collapsed="false">
      <c r="A196" s="1" t="s">
        <v>3251</v>
      </c>
      <c r="B196" s="1" t="s">
        <v>3252</v>
      </c>
    </row>
    <row r="197" customFormat="false" ht="14.25" hidden="false" customHeight="false" outlineLevel="0" collapsed="false">
      <c r="A197" s="1" t="s">
        <v>3253</v>
      </c>
      <c r="B197" s="1" t="s">
        <v>3254</v>
      </c>
    </row>
    <row r="198" customFormat="false" ht="14.25" hidden="false" customHeight="false" outlineLevel="0" collapsed="false">
      <c r="A198" s="1" t="s">
        <v>3255</v>
      </c>
      <c r="B198" s="1" t="s">
        <v>3256</v>
      </c>
    </row>
    <row r="199" customFormat="false" ht="14.25" hidden="false" customHeight="false" outlineLevel="0" collapsed="false">
      <c r="A199" s="1" t="s">
        <v>3257</v>
      </c>
      <c r="B199" s="1" t="s">
        <v>3258</v>
      </c>
    </row>
    <row r="200" customFormat="false" ht="14.25" hidden="false" customHeight="false" outlineLevel="0" collapsed="false">
      <c r="A200" s="1" t="s">
        <v>3259</v>
      </c>
      <c r="B200" s="1" t="s">
        <v>3260</v>
      </c>
    </row>
    <row r="201" customFormat="false" ht="14.25" hidden="false" customHeight="false" outlineLevel="0" collapsed="false">
      <c r="A201" s="1" t="s">
        <v>3261</v>
      </c>
      <c r="B201" s="1" t="s">
        <v>3262</v>
      </c>
    </row>
    <row r="202" customFormat="false" ht="14.25" hidden="false" customHeight="false" outlineLevel="0" collapsed="false">
      <c r="A202" s="1" t="s">
        <v>3263</v>
      </c>
      <c r="B202" s="1" t="s">
        <v>3264</v>
      </c>
    </row>
    <row r="203" customFormat="false" ht="14.25" hidden="false" customHeight="false" outlineLevel="0" collapsed="false">
      <c r="A203" s="1" t="s">
        <v>3265</v>
      </c>
      <c r="B203" s="1" t="s">
        <v>3266</v>
      </c>
    </row>
    <row r="204" customFormat="false" ht="14.25" hidden="false" customHeight="false" outlineLevel="0" collapsed="false">
      <c r="A204" s="1" t="s">
        <v>3267</v>
      </c>
      <c r="B204" s="1" t="s">
        <v>3268</v>
      </c>
    </row>
    <row r="205" customFormat="false" ht="14.25" hidden="false" customHeight="false" outlineLevel="0" collapsed="false">
      <c r="A205" s="1" t="s">
        <v>3269</v>
      </c>
      <c r="B205" s="1" t="s">
        <v>3270</v>
      </c>
    </row>
    <row r="206" customFormat="false" ht="14.25" hidden="false" customHeight="false" outlineLevel="0" collapsed="false">
      <c r="A206" s="1" t="s">
        <v>3271</v>
      </c>
      <c r="B206" s="1" t="s">
        <v>3272</v>
      </c>
    </row>
    <row r="207" customFormat="false" ht="14.25" hidden="false" customHeight="false" outlineLevel="0" collapsed="false">
      <c r="A207" s="1" t="s">
        <v>3273</v>
      </c>
      <c r="B207" s="1" t="s">
        <v>3274</v>
      </c>
    </row>
    <row r="208" customFormat="false" ht="14.25" hidden="false" customHeight="false" outlineLevel="0" collapsed="false">
      <c r="A208" s="1" t="s">
        <v>3275</v>
      </c>
      <c r="B208" s="1" t="s">
        <v>3276</v>
      </c>
    </row>
    <row r="209" customFormat="false" ht="14.25" hidden="false" customHeight="false" outlineLevel="0" collapsed="false">
      <c r="A209" s="1" t="s">
        <v>3277</v>
      </c>
      <c r="B209" s="1" t="s">
        <v>3278</v>
      </c>
    </row>
    <row r="210" customFormat="false" ht="14.25" hidden="false" customHeight="false" outlineLevel="0" collapsed="false">
      <c r="A210" s="1" t="s">
        <v>3279</v>
      </c>
      <c r="B210" s="1" t="s">
        <v>3280</v>
      </c>
    </row>
    <row r="211" customFormat="false" ht="14.25" hidden="false" customHeight="false" outlineLevel="0" collapsed="false">
      <c r="A211" s="1" t="s">
        <v>3281</v>
      </c>
      <c r="B211" s="1" t="s">
        <v>3282</v>
      </c>
    </row>
    <row r="212" customFormat="false" ht="14.25" hidden="false" customHeight="false" outlineLevel="0" collapsed="false">
      <c r="A212" s="1" t="s">
        <v>3283</v>
      </c>
      <c r="B212" s="1" t="s">
        <v>3284</v>
      </c>
    </row>
    <row r="213" customFormat="false" ht="14.25" hidden="false" customHeight="false" outlineLevel="0" collapsed="false">
      <c r="A213" s="1" t="s">
        <v>3285</v>
      </c>
      <c r="B213" s="1" t="s">
        <v>3286</v>
      </c>
    </row>
    <row r="214" customFormat="false" ht="14.25" hidden="false" customHeight="false" outlineLevel="0" collapsed="false">
      <c r="A214" s="1" t="s">
        <v>3287</v>
      </c>
      <c r="B214" s="1" t="s">
        <v>3288</v>
      </c>
    </row>
    <row r="215" customFormat="false" ht="14.25" hidden="false" customHeight="false" outlineLevel="0" collapsed="false">
      <c r="A215" s="1" t="s">
        <v>3289</v>
      </c>
      <c r="B215" s="1" t="s">
        <v>3290</v>
      </c>
    </row>
    <row r="216" customFormat="false" ht="14.25" hidden="false" customHeight="false" outlineLevel="0" collapsed="false">
      <c r="A216" s="1" t="s">
        <v>3291</v>
      </c>
      <c r="B216" s="1" t="s">
        <v>3292</v>
      </c>
    </row>
    <row r="217" customFormat="false" ht="14.25" hidden="false" customHeight="false" outlineLevel="0" collapsed="false">
      <c r="A217" s="1" t="s">
        <v>3293</v>
      </c>
      <c r="B217" s="1" t="s">
        <v>3294</v>
      </c>
    </row>
    <row r="218" customFormat="false" ht="14.25" hidden="false" customHeight="false" outlineLevel="0" collapsed="false">
      <c r="A218" s="1" t="s">
        <v>3295</v>
      </c>
      <c r="B218" s="1" t="s">
        <v>3296</v>
      </c>
    </row>
    <row r="219" customFormat="false" ht="14.25" hidden="false" customHeight="false" outlineLevel="0" collapsed="false">
      <c r="A219" s="1" t="s">
        <v>3297</v>
      </c>
      <c r="B219" s="1" t="s">
        <v>3298</v>
      </c>
    </row>
    <row r="220" customFormat="false" ht="14.25" hidden="false" customHeight="false" outlineLevel="0" collapsed="false">
      <c r="A220" s="1" t="s">
        <v>3299</v>
      </c>
      <c r="B220" s="1" t="s">
        <v>3300</v>
      </c>
    </row>
    <row r="221" customFormat="false" ht="14.25" hidden="false" customHeight="false" outlineLevel="0" collapsed="false">
      <c r="A221" s="1" t="s">
        <v>3301</v>
      </c>
      <c r="B221" s="1" t="s">
        <v>3302</v>
      </c>
    </row>
    <row r="222" customFormat="false" ht="14.25" hidden="false" customHeight="false" outlineLevel="0" collapsed="false">
      <c r="A222" s="1" t="s">
        <v>3303</v>
      </c>
      <c r="B222" s="1" t="s">
        <v>3304</v>
      </c>
    </row>
    <row r="223" customFormat="false" ht="14.25" hidden="false" customHeight="false" outlineLevel="0" collapsed="false">
      <c r="A223" s="1" t="s">
        <v>3305</v>
      </c>
      <c r="B223" s="1" t="s">
        <v>3306</v>
      </c>
    </row>
    <row r="224" customFormat="false" ht="14.25" hidden="false" customHeight="false" outlineLevel="0" collapsed="false">
      <c r="A224" s="1" t="s">
        <v>3307</v>
      </c>
      <c r="B224" s="1" t="s">
        <v>3308</v>
      </c>
    </row>
    <row r="225" customFormat="false" ht="14.25" hidden="false" customHeight="false" outlineLevel="0" collapsed="false">
      <c r="A225" s="1" t="s">
        <v>3309</v>
      </c>
      <c r="B225" s="1" t="s">
        <v>3310</v>
      </c>
    </row>
    <row r="226" customFormat="false" ht="14.25" hidden="false" customHeight="false" outlineLevel="0" collapsed="false">
      <c r="A226" s="1" t="s">
        <v>3311</v>
      </c>
      <c r="B226" s="1" t="s">
        <v>3312</v>
      </c>
    </row>
    <row r="227" customFormat="false" ht="14.25" hidden="false" customHeight="false" outlineLevel="0" collapsed="false">
      <c r="A227" s="1" t="s">
        <v>3313</v>
      </c>
      <c r="B227" s="1" t="s">
        <v>3314</v>
      </c>
    </row>
    <row r="228" customFormat="false" ht="14.25" hidden="false" customHeight="false" outlineLevel="0" collapsed="false">
      <c r="A228" s="1" t="s">
        <v>3315</v>
      </c>
      <c r="B228" s="1" t="s">
        <v>3316</v>
      </c>
    </row>
    <row r="229" customFormat="false" ht="14.25" hidden="false" customHeight="false" outlineLevel="0" collapsed="false">
      <c r="A229" s="1" t="s">
        <v>3317</v>
      </c>
      <c r="B229" s="1" t="s">
        <v>3318</v>
      </c>
    </row>
    <row r="230" customFormat="false" ht="14.25" hidden="false" customHeight="false" outlineLevel="0" collapsed="false">
      <c r="A230" s="1" t="s">
        <v>3319</v>
      </c>
      <c r="B230" s="1" t="s">
        <v>3320</v>
      </c>
    </row>
    <row r="231" customFormat="false" ht="14.25" hidden="false" customHeight="false" outlineLevel="0" collapsed="false">
      <c r="A231" s="1" t="s">
        <v>3321</v>
      </c>
      <c r="B231" s="1" t="s">
        <v>3322</v>
      </c>
    </row>
    <row r="232" customFormat="false" ht="14.25" hidden="false" customHeight="false" outlineLevel="0" collapsed="false">
      <c r="A232" s="1" t="s">
        <v>3323</v>
      </c>
      <c r="B232" s="1" t="s">
        <v>3324</v>
      </c>
    </row>
    <row r="233" customFormat="false" ht="14.25" hidden="false" customHeight="false" outlineLevel="0" collapsed="false">
      <c r="A233" s="1" t="s">
        <v>3325</v>
      </c>
      <c r="B233" s="1" t="s">
        <v>3326</v>
      </c>
    </row>
    <row r="234" customFormat="false" ht="14.25" hidden="false" customHeight="false" outlineLevel="0" collapsed="false">
      <c r="A234" s="1" t="s">
        <v>3327</v>
      </c>
      <c r="B234" s="1" t="s">
        <v>3328</v>
      </c>
    </row>
    <row r="235" customFormat="false" ht="14.25" hidden="false" customHeight="false" outlineLevel="0" collapsed="false">
      <c r="A235" s="1" t="s">
        <v>3329</v>
      </c>
      <c r="B235" s="1" t="s">
        <v>3330</v>
      </c>
    </row>
    <row r="236" customFormat="false" ht="14.25" hidden="false" customHeight="false" outlineLevel="0" collapsed="false">
      <c r="A236" s="1" t="s">
        <v>3331</v>
      </c>
      <c r="B236" s="1" t="s">
        <v>3332</v>
      </c>
    </row>
    <row r="237" customFormat="false" ht="14.25" hidden="false" customHeight="false" outlineLevel="0" collapsed="false">
      <c r="A237" s="1" t="s">
        <v>3333</v>
      </c>
      <c r="B237" s="1" t="s">
        <v>3334</v>
      </c>
    </row>
    <row r="238" customFormat="false" ht="14.25" hidden="false" customHeight="false" outlineLevel="0" collapsed="false">
      <c r="A238" s="1" t="s">
        <v>3335</v>
      </c>
      <c r="B238" s="1" t="s">
        <v>3336</v>
      </c>
    </row>
    <row r="239" customFormat="false" ht="14.25" hidden="false" customHeight="false" outlineLevel="0" collapsed="false">
      <c r="A239" s="1" t="s">
        <v>3337</v>
      </c>
      <c r="B239" s="1" t="s">
        <v>3338</v>
      </c>
    </row>
    <row r="240" customFormat="false" ht="14.25" hidden="false" customHeight="false" outlineLevel="0" collapsed="false">
      <c r="A240" s="1" t="s">
        <v>3339</v>
      </c>
      <c r="B240" s="1" t="s">
        <v>3340</v>
      </c>
    </row>
    <row r="241" customFormat="false" ht="14.25" hidden="false" customHeight="false" outlineLevel="0" collapsed="false">
      <c r="A241" s="1" t="s">
        <v>3341</v>
      </c>
      <c r="B241" s="1" t="s">
        <v>3342</v>
      </c>
    </row>
    <row r="242" customFormat="false" ht="14.25" hidden="false" customHeight="false" outlineLevel="0" collapsed="false">
      <c r="A242" s="1" t="s">
        <v>3343</v>
      </c>
      <c r="B242" s="1" t="s">
        <v>3344</v>
      </c>
    </row>
    <row r="243" customFormat="false" ht="14.25" hidden="false" customHeight="false" outlineLevel="0" collapsed="false">
      <c r="A243" s="1" t="s">
        <v>3345</v>
      </c>
      <c r="B243" s="1" t="s">
        <v>3346</v>
      </c>
    </row>
    <row r="244" customFormat="false" ht="14.25" hidden="false" customHeight="false" outlineLevel="0" collapsed="false">
      <c r="A244" s="1" t="s">
        <v>3347</v>
      </c>
      <c r="B244" s="1" t="s">
        <v>3348</v>
      </c>
    </row>
    <row r="245" customFormat="false" ht="14.25" hidden="false" customHeight="false" outlineLevel="0" collapsed="false">
      <c r="A245" s="1" t="s">
        <v>3349</v>
      </c>
      <c r="B245" s="1" t="s">
        <v>3350</v>
      </c>
    </row>
    <row r="246" customFormat="false" ht="14.25" hidden="false" customHeight="false" outlineLevel="0" collapsed="false">
      <c r="A246" s="1" t="s">
        <v>3351</v>
      </c>
      <c r="B246" s="1" t="s">
        <v>3352</v>
      </c>
    </row>
    <row r="247" customFormat="false" ht="14.25" hidden="false" customHeight="false" outlineLevel="0" collapsed="false">
      <c r="A247" s="1" t="s">
        <v>3353</v>
      </c>
      <c r="B247" s="1" t="s">
        <v>3354</v>
      </c>
    </row>
    <row r="248" customFormat="false" ht="14.25" hidden="false" customHeight="false" outlineLevel="0" collapsed="false">
      <c r="A248" s="1" t="s">
        <v>3355</v>
      </c>
      <c r="B248" s="1" t="s">
        <v>3356</v>
      </c>
    </row>
    <row r="249" customFormat="false" ht="14.25" hidden="false" customHeight="false" outlineLevel="0" collapsed="false">
      <c r="A249" s="1" t="s">
        <v>3357</v>
      </c>
      <c r="B249" s="1" t="s">
        <v>3358</v>
      </c>
    </row>
    <row r="250" customFormat="false" ht="14.25" hidden="false" customHeight="false" outlineLevel="0" collapsed="false">
      <c r="A250" s="1" t="s">
        <v>3359</v>
      </c>
      <c r="B250" s="1" t="s">
        <v>3360</v>
      </c>
    </row>
    <row r="251" customFormat="false" ht="14.25" hidden="false" customHeight="false" outlineLevel="0" collapsed="false">
      <c r="A251" s="1" t="s">
        <v>3361</v>
      </c>
      <c r="B251" s="1" t="s">
        <v>3362</v>
      </c>
    </row>
    <row r="252" customFormat="false" ht="14.25" hidden="false" customHeight="false" outlineLevel="0" collapsed="false">
      <c r="A252" s="1" t="s">
        <v>3363</v>
      </c>
      <c r="B252" s="1" t="s">
        <v>3364</v>
      </c>
    </row>
    <row r="253" customFormat="false" ht="14.25" hidden="false" customHeight="false" outlineLevel="0" collapsed="false">
      <c r="A253" s="1" t="s">
        <v>3365</v>
      </c>
      <c r="B253" s="1" t="s">
        <v>3366</v>
      </c>
    </row>
    <row r="254" customFormat="false" ht="14.25" hidden="false" customHeight="false" outlineLevel="0" collapsed="false">
      <c r="A254" s="1" t="s">
        <v>3367</v>
      </c>
      <c r="B254" s="1" t="s">
        <v>3368</v>
      </c>
    </row>
    <row r="255" customFormat="false" ht="14.25" hidden="false" customHeight="false" outlineLevel="0" collapsed="false">
      <c r="A255" s="1" t="s">
        <v>3369</v>
      </c>
      <c r="B255" s="1" t="s">
        <v>3370</v>
      </c>
    </row>
    <row r="256" customFormat="false" ht="14.25" hidden="false" customHeight="false" outlineLevel="0" collapsed="false">
      <c r="A256" s="1" t="s">
        <v>3371</v>
      </c>
      <c r="B256" s="1" t="s">
        <v>3372</v>
      </c>
    </row>
    <row r="257" customFormat="false" ht="14.25" hidden="false" customHeight="false" outlineLevel="0" collapsed="false">
      <c r="A257" s="1" t="s">
        <v>3373</v>
      </c>
      <c r="B257" s="1" t="s">
        <v>3374</v>
      </c>
    </row>
    <row r="258" customFormat="false" ht="14.25" hidden="false" customHeight="false" outlineLevel="0" collapsed="false">
      <c r="A258" s="1" t="s">
        <v>3375</v>
      </c>
      <c r="B258" s="1" t="s">
        <v>3376</v>
      </c>
    </row>
    <row r="259" customFormat="false" ht="14.25" hidden="false" customHeight="false" outlineLevel="0" collapsed="false">
      <c r="A259" s="1" t="s">
        <v>3377</v>
      </c>
      <c r="B259" s="1" t="s">
        <v>3378</v>
      </c>
    </row>
    <row r="260" customFormat="false" ht="14.25" hidden="false" customHeight="false" outlineLevel="0" collapsed="false">
      <c r="A260" s="1" t="s">
        <v>3379</v>
      </c>
      <c r="B260" s="1" t="s">
        <v>3380</v>
      </c>
    </row>
    <row r="261" customFormat="false" ht="14.25" hidden="false" customHeight="false" outlineLevel="0" collapsed="false">
      <c r="A261" s="1" t="s">
        <v>3381</v>
      </c>
      <c r="B261" s="1" t="s">
        <v>3382</v>
      </c>
    </row>
    <row r="262" customFormat="false" ht="14.25" hidden="false" customHeight="false" outlineLevel="0" collapsed="false">
      <c r="A262" s="1" t="s">
        <v>3383</v>
      </c>
      <c r="B262" s="1" t="s">
        <v>3384</v>
      </c>
    </row>
    <row r="263" customFormat="false" ht="14.25" hidden="false" customHeight="false" outlineLevel="0" collapsed="false">
      <c r="A263" s="1" t="s">
        <v>3385</v>
      </c>
      <c r="B263" s="1" t="s">
        <v>3386</v>
      </c>
    </row>
    <row r="264" customFormat="false" ht="14.25" hidden="false" customHeight="false" outlineLevel="0" collapsed="false">
      <c r="A264" s="1" t="s">
        <v>3387</v>
      </c>
      <c r="B264" s="1" t="s">
        <v>3388</v>
      </c>
    </row>
    <row r="265" customFormat="false" ht="14.25" hidden="false" customHeight="false" outlineLevel="0" collapsed="false">
      <c r="A265" s="1" t="s">
        <v>3389</v>
      </c>
      <c r="B265" s="1" t="s">
        <v>3390</v>
      </c>
    </row>
    <row r="266" customFormat="false" ht="14.25" hidden="false" customHeight="false" outlineLevel="0" collapsed="false">
      <c r="A266" s="1" t="s">
        <v>3391</v>
      </c>
      <c r="B266" s="1" t="s">
        <v>3392</v>
      </c>
    </row>
    <row r="267" customFormat="false" ht="14.25" hidden="false" customHeight="false" outlineLevel="0" collapsed="false">
      <c r="A267" s="1" t="s">
        <v>3393</v>
      </c>
      <c r="B267" s="1" t="s">
        <v>3394</v>
      </c>
    </row>
    <row r="268" customFormat="false" ht="14.25" hidden="false" customHeight="false" outlineLevel="0" collapsed="false">
      <c r="A268" s="1" t="s">
        <v>3395</v>
      </c>
      <c r="B268" s="1" t="s">
        <v>3396</v>
      </c>
    </row>
    <row r="269" customFormat="false" ht="14.25" hidden="false" customHeight="false" outlineLevel="0" collapsed="false">
      <c r="A269" s="1" t="s">
        <v>3397</v>
      </c>
      <c r="B269" s="1" t="s">
        <v>3398</v>
      </c>
    </row>
    <row r="270" customFormat="false" ht="14.25" hidden="false" customHeight="false" outlineLevel="0" collapsed="false">
      <c r="A270" s="1" t="s">
        <v>3399</v>
      </c>
      <c r="B270" s="1" t="s">
        <v>3400</v>
      </c>
    </row>
    <row r="271" customFormat="false" ht="14.25" hidden="false" customHeight="false" outlineLevel="0" collapsed="false">
      <c r="A271" s="1" t="s">
        <v>3401</v>
      </c>
      <c r="B271" s="1" t="s">
        <v>3402</v>
      </c>
    </row>
    <row r="272" customFormat="false" ht="14.25" hidden="false" customHeight="false" outlineLevel="0" collapsed="false">
      <c r="A272" s="1" t="s">
        <v>3403</v>
      </c>
      <c r="B272" s="1" t="s">
        <v>3404</v>
      </c>
    </row>
    <row r="273" customFormat="false" ht="14.25" hidden="false" customHeight="false" outlineLevel="0" collapsed="false">
      <c r="A273" s="1" t="s">
        <v>3405</v>
      </c>
      <c r="B273" s="1" t="s">
        <v>3406</v>
      </c>
    </row>
    <row r="274" customFormat="false" ht="14.25" hidden="false" customHeight="false" outlineLevel="0" collapsed="false">
      <c r="A274" s="1" t="s">
        <v>3407</v>
      </c>
      <c r="B274" s="1" t="s">
        <v>3408</v>
      </c>
    </row>
    <row r="275" customFormat="false" ht="14.25" hidden="false" customHeight="false" outlineLevel="0" collapsed="false">
      <c r="A275" s="1" t="s">
        <v>3409</v>
      </c>
      <c r="B275" s="1" t="s">
        <v>3410</v>
      </c>
    </row>
    <row r="276" customFormat="false" ht="14.25" hidden="false" customHeight="false" outlineLevel="0" collapsed="false">
      <c r="A276" s="1" t="s">
        <v>3411</v>
      </c>
      <c r="B276" s="1" t="s">
        <v>3412</v>
      </c>
    </row>
    <row r="277" customFormat="false" ht="14.25" hidden="false" customHeight="false" outlineLevel="0" collapsed="false">
      <c r="A277" s="1" t="s">
        <v>3413</v>
      </c>
      <c r="B277" s="1" t="s">
        <v>3414</v>
      </c>
    </row>
    <row r="278" customFormat="false" ht="14.25" hidden="false" customHeight="false" outlineLevel="0" collapsed="false">
      <c r="A278" s="1" t="s">
        <v>3415</v>
      </c>
      <c r="B278" s="1" t="s">
        <v>3416</v>
      </c>
    </row>
    <row r="279" customFormat="false" ht="14.25" hidden="false" customHeight="false" outlineLevel="0" collapsed="false">
      <c r="A279" s="1" t="s">
        <v>3417</v>
      </c>
      <c r="B279" s="1" t="s">
        <v>3418</v>
      </c>
    </row>
    <row r="280" customFormat="false" ht="14.25" hidden="false" customHeight="false" outlineLevel="0" collapsed="false">
      <c r="A280" s="1" t="s">
        <v>3419</v>
      </c>
      <c r="B280" s="1" t="s">
        <v>3420</v>
      </c>
    </row>
    <row r="281" customFormat="false" ht="14.25" hidden="false" customHeight="false" outlineLevel="0" collapsed="false">
      <c r="A281" s="1" t="s">
        <v>3421</v>
      </c>
      <c r="B281" s="1" t="s">
        <v>3422</v>
      </c>
    </row>
    <row r="282" customFormat="false" ht="14.25" hidden="false" customHeight="false" outlineLevel="0" collapsed="false">
      <c r="A282" s="1" t="s">
        <v>3423</v>
      </c>
      <c r="B282" s="1" t="s">
        <v>3424</v>
      </c>
    </row>
    <row r="283" customFormat="false" ht="14.25" hidden="false" customHeight="false" outlineLevel="0" collapsed="false">
      <c r="A283" s="1" t="s">
        <v>3425</v>
      </c>
      <c r="B283" s="1" t="s">
        <v>3426</v>
      </c>
    </row>
    <row r="284" customFormat="false" ht="14.25" hidden="false" customHeight="false" outlineLevel="0" collapsed="false">
      <c r="A284" s="1" t="s">
        <v>3427</v>
      </c>
      <c r="B284" s="1" t="s">
        <v>3428</v>
      </c>
    </row>
    <row r="285" customFormat="false" ht="14.25" hidden="false" customHeight="false" outlineLevel="0" collapsed="false">
      <c r="A285" s="1" t="s">
        <v>3429</v>
      </c>
      <c r="B285" s="1" t="s">
        <v>3430</v>
      </c>
    </row>
    <row r="286" customFormat="false" ht="14.25" hidden="false" customHeight="false" outlineLevel="0" collapsed="false">
      <c r="A286" s="1" t="s">
        <v>3431</v>
      </c>
      <c r="B286" s="1" t="s">
        <v>3432</v>
      </c>
    </row>
    <row r="287" customFormat="false" ht="14.25" hidden="false" customHeight="false" outlineLevel="0" collapsed="false">
      <c r="A287" s="1" t="s">
        <v>3433</v>
      </c>
      <c r="B287" s="1" t="s">
        <v>3434</v>
      </c>
    </row>
    <row r="288" customFormat="false" ht="14.25" hidden="false" customHeight="false" outlineLevel="0" collapsed="false">
      <c r="A288" s="1" t="s">
        <v>3435</v>
      </c>
      <c r="B288" s="1" t="s">
        <v>3436</v>
      </c>
    </row>
    <row r="289" customFormat="false" ht="14.25" hidden="false" customHeight="false" outlineLevel="0" collapsed="false">
      <c r="A289" s="1" t="s">
        <v>3437</v>
      </c>
      <c r="B289" s="1" t="s">
        <v>3438</v>
      </c>
    </row>
    <row r="290" customFormat="false" ht="14.25" hidden="false" customHeight="false" outlineLevel="0" collapsed="false">
      <c r="A290" s="1" t="s">
        <v>3439</v>
      </c>
      <c r="B290" s="1" t="s">
        <v>3440</v>
      </c>
    </row>
    <row r="291" customFormat="false" ht="14.25" hidden="false" customHeight="false" outlineLevel="0" collapsed="false">
      <c r="A291" s="1" t="s">
        <v>3441</v>
      </c>
      <c r="B291" s="1" t="s">
        <v>3442</v>
      </c>
    </row>
    <row r="292" customFormat="false" ht="14.25" hidden="false" customHeight="false" outlineLevel="0" collapsed="false">
      <c r="A292" s="1" t="s">
        <v>3443</v>
      </c>
      <c r="B292" s="1" t="s">
        <v>3444</v>
      </c>
    </row>
    <row r="293" customFormat="false" ht="14.25" hidden="false" customHeight="false" outlineLevel="0" collapsed="false">
      <c r="A293" s="1" t="s">
        <v>3445</v>
      </c>
      <c r="B293" s="1" t="s">
        <v>3446</v>
      </c>
    </row>
    <row r="294" customFormat="false" ht="14.25" hidden="false" customHeight="false" outlineLevel="0" collapsed="false">
      <c r="A294" s="1" t="s">
        <v>3447</v>
      </c>
      <c r="B294" s="1" t="s">
        <v>3448</v>
      </c>
    </row>
    <row r="295" customFormat="false" ht="14.25" hidden="false" customHeight="false" outlineLevel="0" collapsed="false">
      <c r="A295" s="1" t="s">
        <v>3449</v>
      </c>
      <c r="B295" s="1" t="s">
        <v>3450</v>
      </c>
    </row>
    <row r="296" customFormat="false" ht="14.25" hidden="false" customHeight="false" outlineLevel="0" collapsed="false">
      <c r="A296" s="1" t="s">
        <v>3451</v>
      </c>
      <c r="B296" s="1" t="s">
        <v>3452</v>
      </c>
    </row>
    <row r="297" customFormat="false" ht="14.25" hidden="false" customHeight="false" outlineLevel="0" collapsed="false">
      <c r="A297" s="1" t="s">
        <v>3453</v>
      </c>
      <c r="B297" s="1" t="s">
        <v>3454</v>
      </c>
    </row>
    <row r="298" customFormat="false" ht="14.25" hidden="false" customHeight="false" outlineLevel="0" collapsed="false">
      <c r="A298" s="1" t="s">
        <v>3455</v>
      </c>
      <c r="B298" s="1" t="s">
        <v>3456</v>
      </c>
    </row>
    <row r="299" customFormat="false" ht="14.25" hidden="false" customHeight="false" outlineLevel="0" collapsed="false">
      <c r="A299" s="1" t="s">
        <v>3457</v>
      </c>
      <c r="B299" s="1" t="s">
        <v>3458</v>
      </c>
    </row>
    <row r="300" customFormat="false" ht="14.25" hidden="false" customHeight="false" outlineLevel="0" collapsed="false">
      <c r="A300" s="1" t="s">
        <v>3459</v>
      </c>
      <c r="B300" s="1" t="s">
        <v>3460</v>
      </c>
    </row>
    <row r="301" customFormat="false" ht="14.25" hidden="false" customHeight="false" outlineLevel="0" collapsed="false">
      <c r="A301" s="1" t="s">
        <v>3461</v>
      </c>
      <c r="B301" s="1" t="s">
        <v>3462</v>
      </c>
    </row>
    <row r="302" customFormat="false" ht="14.25" hidden="false" customHeight="false" outlineLevel="0" collapsed="false">
      <c r="A302" s="1" t="s">
        <v>3463</v>
      </c>
      <c r="B302" s="1" t="s">
        <v>3464</v>
      </c>
    </row>
    <row r="303" customFormat="false" ht="14.25" hidden="false" customHeight="false" outlineLevel="0" collapsed="false">
      <c r="A303" s="1" t="s">
        <v>3465</v>
      </c>
      <c r="B303" s="1" t="s">
        <v>3466</v>
      </c>
    </row>
    <row r="304" customFormat="false" ht="14.25" hidden="false" customHeight="false" outlineLevel="0" collapsed="false">
      <c r="A304" s="1" t="s">
        <v>3467</v>
      </c>
      <c r="B304" s="1" t="s">
        <v>3468</v>
      </c>
    </row>
    <row r="305" customFormat="false" ht="14.25" hidden="false" customHeight="false" outlineLevel="0" collapsed="false">
      <c r="A305" s="1" t="s">
        <v>3469</v>
      </c>
      <c r="B305" s="1" t="s">
        <v>3470</v>
      </c>
    </row>
    <row r="306" customFormat="false" ht="14.25" hidden="false" customHeight="false" outlineLevel="0" collapsed="false">
      <c r="A306" s="1" t="s">
        <v>3471</v>
      </c>
      <c r="B306" s="1" t="s">
        <v>3472</v>
      </c>
    </row>
    <row r="307" customFormat="false" ht="14.25" hidden="false" customHeight="false" outlineLevel="0" collapsed="false">
      <c r="A307" s="1" t="s">
        <v>3473</v>
      </c>
      <c r="B307" s="1" t="s">
        <v>3474</v>
      </c>
    </row>
    <row r="308" customFormat="false" ht="14.25" hidden="false" customHeight="false" outlineLevel="0" collapsed="false">
      <c r="A308" s="1" t="s">
        <v>3475</v>
      </c>
      <c r="B308" s="1" t="s">
        <v>3476</v>
      </c>
    </row>
    <row r="309" customFormat="false" ht="14.25" hidden="false" customHeight="false" outlineLevel="0" collapsed="false">
      <c r="A309" s="1" t="s">
        <v>3477</v>
      </c>
      <c r="B309" s="1" t="s">
        <v>3478</v>
      </c>
    </row>
    <row r="310" customFormat="false" ht="14.25" hidden="false" customHeight="false" outlineLevel="0" collapsed="false">
      <c r="A310" s="1" t="s">
        <v>3479</v>
      </c>
      <c r="B310" s="1" t="s">
        <v>3480</v>
      </c>
    </row>
    <row r="311" customFormat="false" ht="14.25" hidden="false" customHeight="false" outlineLevel="0" collapsed="false">
      <c r="A311" s="1" t="s">
        <v>3481</v>
      </c>
      <c r="B311" s="1" t="s">
        <v>3482</v>
      </c>
    </row>
    <row r="312" customFormat="false" ht="14.25" hidden="false" customHeight="false" outlineLevel="0" collapsed="false">
      <c r="A312" s="1" t="s">
        <v>3483</v>
      </c>
      <c r="B312" s="1" t="s">
        <v>3484</v>
      </c>
    </row>
    <row r="313" customFormat="false" ht="14.25" hidden="false" customHeight="false" outlineLevel="0" collapsed="false">
      <c r="A313" s="1" t="s">
        <v>3485</v>
      </c>
      <c r="B313" s="1" t="s">
        <v>3486</v>
      </c>
    </row>
    <row r="314" customFormat="false" ht="14.25" hidden="false" customHeight="false" outlineLevel="0" collapsed="false">
      <c r="A314" s="1" t="s">
        <v>3487</v>
      </c>
      <c r="B314" s="1" t="s">
        <v>3488</v>
      </c>
    </row>
    <row r="315" customFormat="false" ht="14.25" hidden="false" customHeight="false" outlineLevel="0" collapsed="false">
      <c r="A315" s="1" t="s">
        <v>3489</v>
      </c>
      <c r="B315" s="1" t="s">
        <v>3490</v>
      </c>
    </row>
    <row r="316" customFormat="false" ht="14.25" hidden="false" customHeight="false" outlineLevel="0" collapsed="false">
      <c r="A316" s="1" t="s">
        <v>3491</v>
      </c>
      <c r="B316" s="1" t="s">
        <v>3492</v>
      </c>
    </row>
    <row r="317" customFormat="false" ht="14.25" hidden="false" customHeight="false" outlineLevel="0" collapsed="false">
      <c r="A317" s="1" t="s">
        <v>3493</v>
      </c>
      <c r="B317" s="1" t="s">
        <v>3494</v>
      </c>
    </row>
    <row r="318" customFormat="false" ht="14.25" hidden="false" customHeight="false" outlineLevel="0" collapsed="false">
      <c r="A318" s="1" t="s">
        <v>3495</v>
      </c>
      <c r="B318" s="1" t="s">
        <v>3496</v>
      </c>
    </row>
    <row r="319" customFormat="false" ht="14.25" hidden="false" customHeight="false" outlineLevel="0" collapsed="false">
      <c r="A319" s="1" t="s">
        <v>3497</v>
      </c>
      <c r="B319" s="1" t="s">
        <v>3498</v>
      </c>
    </row>
    <row r="320" customFormat="false" ht="14.25" hidden="false" customHeight="false" outlineLevel="0" collapsed="false">
      <c r="A320" s="1" t="s">
        <v>3499</v>
      </c>
      <c r="B320" s="1" t="s">
        <v>3500</v>
      </c>
    </row>
    <row r="321" customFormat="false" ht="14.25" hidden="false" customHeight="false" outlineLevel="0" collapsed="false">
      <c r="A321" s="1" t="s">
        <v>3501</v>
      </c>
      <c r="B321" s="1" t="s">
        <v>3502</v>
      </c>
    </row>
    <row r="322" customFormat="false" ht="14.25" hidden="false" customHeight="false" outlineLevel="0" collapsed="false">
      <c r="A322" s="1" t="s">
        <v>3503</v>
      </c>
      <c r="B322" s="1" t="s">
        <v>3504</v>
      </c>
    </row>
    <row r="323" customFormat="false" ht="14.25" hidden="false" customHeight="false" outlineLevel="0" collapsed="false">
      <c r="A323" s="1" t="s">
        <v>3505</v>
      </c>
      <c r="B323" s="1" t="s">
        <v>3506</v>
      </c>
    </row>
    <row r="324" customFormat="false" ht="14.25" hidden="false" customHeight="false" outlineLevel="0" collapsed="false">
      <c r="A324" s="1" t="s">
        <v>3507</v>
      </c>
      <c r="B324" s="1" t="s">
        <v>3508</v>
      </c>
    </row>
    <row r="325" customFormat="false" ht="14.25" hidden="false" customHeight="false" outlineLevel="0" collapsed="false">
      <c r="A325" s="1" t="s">
        <v>3509</v>
      </c>
      <c r="B325" s="1" t="s">
        <v>3510</v>
      </c>
    </row>
    <row r="326" customFormat="false" ht="14.25" hidden="false" customHeight="false" outlineLevel="0" collapsed="false">
      <c r="A326" s="1" t="s">
        <v>3511</v>
      </c>
      <c r="B326" s="1" t="s">
        <v>3512</v>
      </c>
    </row>
    <row r="327" customFormat="false" ht="14.25" hidden="false" customHeight="false" outlineLevel="0" collapsed="false">
      <c r="A327" s="1" t="s">
        <v>3513</v>
      </c>
      <c r="B327" s="1" t="s">
        <v>3514</v>
      </c>
    </row>
    <row r="328" customFormat="false" ht="14.25" hidden="false" customHeight="false" outlineLevel="0" collapsed="false">
      <c r="A328" s="1" t="s">
        <v>3515</v>
      </c>
      <c r="B328" s="1" t="s">
        <v>3516</v>
      </c>
    </row>
    <row r="329" customFormat="false" ht="14.25" hidden="false" customHeight="false" outlineLevel="0" collapsed="false">
      <c r="A329" s="1" t="s">
        <v>3517</v>
      </c>
      <c r="B329" s="1" t="s">
        <v>3518</v>
      </c>
    </row>
    <row r="330" customFormat="false" ht="14.25" hidden="false" customHeight="false" outlineLevel="0" collapsed="false">
      <c r="A330" s="1" t="s">
        <v>3519</v>
      </c>
      <c r="B330" s="1" t="s">
        <v>3520</v>
      </c>
    </row>
    <row r="331" customFormat="false" ht="14.25" hidden="false" customHeight="false" outlineLevel="0" collapsed="false">
      <c r="A331" s="1" t="s">
        <v>3521</v>
      </c>
      <c r="B331" s="1" t="s">
        <v>3522</v>
      </c>
    </row>
    <row r="332" customFormat="false" ht="14.25" hidden="false" customHeight="false" outlineLevel="0" collapsed="false">
      <c r="A332" s="1" t="s">
        <v>3523</v>
      </c>
      <c r="B332" s="1" t="s">
        <v>3524</v>
      </c>
    </row>
    <row r="333" customFormat="false" ht="14.25" hidden="false" customHeight="false" outlineLevel="0" collapsed="false">
      <c r="A333" s="1" t="s">
        <v>3525</v>
      </c>
      <c r="B333" s="1" t="s">
        <v>3526</v>
      </c>
    </row>
    <row r="334" customFormat="false" ht="14.25" hidden="false" customHeight="false" outlineLevel="0" collapsed="false">
      <c r="A334" s="1" t="s">
        <v>3527</v>
      </c>
      <c r="B334" s="1" t="s">
        <v>3528</v>
      </c>
    </row>
    <row r="335" customFormat="false" ht="14.25" hidden="false" customHeight="false" outlineLevel="0" collapsed="false">
      <c r="A335" s="1" t="s">
        <v>3529</v>
      </c>
      <c r="B335" s="1" t="s">
        <v>3530</v>
      </c>
    </row>
    <row r="336" customFormat="false" ht="14.25" hidden="false" customHeight="false" outlineLevel="0" collapsed="false">
      <c r="A336" s="1" t="s">
        <v>3531</v>
      </c>
      <c r="B336" s="1" t="s">
        <v>3532</v>
      </c>
    </row>
    <row r="337" customFormat="false" ht="14.25" hidden="false" customHeight="false" outlineLevel="0" collapsed="false">
      <c r="A337" s="1" t="s">
        <v>3533</v>
      </c>
      <c r="B337" s="1" t="s">
        <v>3534</v>
      </c>
    </row>
    <row r="338" customFormat="false" ht="14.25" hidden="false" customHeight="false" outlineLevel="0" collapsed="false">
      <c r="A338" s="1" t="s">
        <v>3535</v>
      </c>
      <c r="B338" s="1" t="s">
        <v>3536</v>
      </c>
    </row>
    <row r="339" customFormat="false" ht="14.25" hidden="false" customHeight="false" outlineLevel="0" collapsed="false">
      <c r="A339" s="1" t="s">
        <v>3537</v>
      </c>
      <c r="B339" s="1" t="s">
        <v>3538</v>
      </c>
    </row>
    <row r="340" customFormat="false" ht="14.25" hidden="false" customHeight="false" outlineLevel="0" collapsed="false">
      <c r="A340" s="1" t="s">
        <v>3539</v>
      </c>
      <c r="B340" s="1" t="s">
        <v>3540</v>
      </c>
    </row>
    <row r="341" customFormat="false" ht="14.25" hidden="false" customHeight="false" outlineLevel="0" collapsed="false">
      <c r="A341" s="1" t="s">
        <v>3541</v>
      </c>
      <c r="B341" s="1" t="s">
        <v>3542</v>
      </c>
    </row>
    <row r="342" customFormat="false" ht="14.25" hidden="false" customHeight="false" outlineLevel="0" collapsed="false">
      <c r="A342" s="1" t="s">
        <v>3543</v>
      </c>
      <c r="B342" s="1" t="s">
        <v>3544</v>
      </c>
    </row>
    <row r="343" customFormat="false" ht="14.25" hidden="false" customHeight="false" outlineLevel="0" collapsed="false">
      <c r="A343" s="1" t="s">
        <v>3545</v>
      </c>
      <c r="B343" s="1" t="s">
        <v>3546</v>
      </c>
    </row>
    <row r="344" customFormat="false" ht="14.25" hidden="false" customHeight="false" outlineLevel="0" collapsed="false">
      <c r="A344" s="1" t="s">
        <v>3547</v>
      </c>
      <c r="B344" s="1" t="s">
        <v>3548</v>
      </c>
    </row>
    <row r="345" customFormat="false" ht="14.25" hidden="false" customHeight="false" outlineLevel="0" collapsed="false">
      <c r="A345" s="1" t="s">
        <v>3549</v>
      </c>
      <c r="B345" s="1" t="s">
        <v>3550</v>
      </c>
    </row>
    <row r="346" customFormat="false" ht="14.25" hidden="false" customHeight="false" outlineLevel="0" collapsed="false">
      <c r="A346" s="1" t="s">
        <v>3551</v>
      </c>
      <c r="B346" s="1" t="s">
        <v>3552</v>
      </c>
    </row>
    <row r="347" customFormat="false" ht="14.25" hidden="false" customHeight="false" outlineLevel="0" collapsed="false">
      <c r="A347" s="1" t="s">
        <v>3553</v>
      </c>
      <c r="B347" s="1" t="s">
        <v>3554</v>
      </c>
    </row>
    <row r="348" customFormat="false" ht="14.25" hidden="false" customHeight="false" outlineLevel="0" collapsed="false">
      <c r="A348" s="1" t="s">
        <v>3555</v>
      </c>
      <c r="B348" s="1" t="s">
        <v>3556</v>
      </c>
    </row>
    <row r="349" customFormat="false" ht="14.25" hidden="false" customHeight="false" outlineLevel="0" collapsed="false">
      <c r="A349" s="1" t="s">
        <v>3557</v>
      </c>
      <c r="B349" s="1" t="s">
        <v>3558</v>
      </c>
    </row>
    <row r="350" customFormat="false" ht="14.25" hidden="false" customHeight="false" outlineLevel="0" collapsed="false">
      <c r="A350" s="1" t="s">
        <v>3559</v>
      </c>
      <c r="B350" s="1" t="s">
        <v>3560</v>
      </c>
    </row>
    <row r="351" customFormat="false" ht="14.25" hidden="false" customHeight="false" outlineLevel="0" collapsed="false">
      <c r="A351" s="1" t="s">
        <v>3561</v>
      </c>
      <c r="B351" s="1" t="s">
        <v>3562</v>
      </c>
    </row>
    <row r="352" customFormat="false" ht="14.25" hidden="false" customHeight="false" outlineLevel="0" collapsed="false">
      <c r="A352" s="1" t="s">
        <v>3563</v>
      </c>
      <c r="B352" s="1" t="s">
        <v>3564</v>
      </c>
    </row>
    <row r="353" customFormat="false" ht="14.25" hidden="false" customHeight="false" outlineLevel="0" collapsed="false">
      <c r="A353" s="1" t="s">
        <v>3565</v>
      </c>
      <c r="B353" s="1" t="s">
        <v>3566</v>
      </c>
    </row>
    <row r="354" customFormat="false" ht="14.25" hidden="false" customHeight="false" outlineLevel="0" collapsed="false">
      <c r="A354" s="1" t="s">
        <v>3567</v>
      </c>
      <c r="B354" s="1" t="s">
        <v>3568</v>
      </c>
    </row>
    <row r="355" customFormat="false" ht="14.25" hidden="false" customHeight="false" outlineLevel="0" collapsed="false">
      <c r="A355" s="1" t="s">
        <v>3569</v>
      </c>
      <c r="B355" s="1" t="s">
        <v>3570</v>
      </c>
    </row>
    <row r="356" customFormat="false" ht="14.25" hidden="false" customHeight="false" outlineLevel="0" collapsed="false">
      <c r="A356" s="1" t="s">
        <v>3571</v>
      </c>
      <c r="B356" s="1" t="s">
        <v>3572</v>
      </c>
    </row>
    <row r="357" customFormat="false" ht="14.25" hidden="false" customHeight="false" outlineLevel="0" collapsed="false">
      <c r="A357" s="1" t="s">
        <v>3573</v>
      </c>
      <c r="B357" s="1" t="s">
        <v>3574</v>
      </c>
    </row>
    <row r="358" customFormat="false" ht="14.25" hidden="false" customHeight="false" outlineLevel="0" collapsed="false">
      <c r="A358" s="1" t="s">
        <v>3575</v>
      </c>
      <c r="B358" s="1" t="s">
        <v>3576</v>
      </c>
    </row>
    <row r="359" customFormat="false" ht="14.25" hidden="false" customHeight="false" outlineLevel="0" collapsed="false">
      <c r="A359" s="1" t="s">
        <v>3577</v>
      </c>
      <c r="B359" s="1" t="s">
        <v>3578</v>
      </c>
    </row>
    <row r="360" customFormat="false" ht="14.25" hidden="false" customHeight="false" outlineLevel="0" collapsed="false">
      <c r="A360" s="1" t="s">
        <v>3579</v>
      </c>
      <c r="B360" s="1" t="s">
        <v>3580</v>
      </c>
    </row>
    <row r="361" customFormat="false" ht="14.25" hidden="false" customHeight="false" outlineLevel="0" collapsed="false">
      <c r="A361" s="1" t="s">
        <v>3581</v>
      </c>
      <c r="B361" s="1" t="s">
        <v>3582</v>
      </c>
    </row>
    <row r="362" customFormat="false" ht="14.25" hidden="false" customHeight="false" outlineLevel="0" collapsed="false">
      <c r="A362" s="1" t="s">
        <v>3583</v>
      </c>
      <c r="B362" s="1" t="s">
        <v>3584</v>
      </c>
    </row>
    <row r="363" customFormat="false" ht="14.25" hidden="false" customHeight="false" outlineLevel="0" collapsed="false">
      <c r="A363" s="1" t="s">
        <v>3585</v>
      </c>
      <c r="B363" s="1" t="s">
        <v>3586</v>
      </c>
    </row>
    <row r="364" customFormat="false" ht="14.25" hidden="false" customHeight="false" outlineLevel="0" collapsed="false">
      <c r="A364" s="1" t="s">
        <v>3587</v>
      </c>
      <c r="B364" s="1" t="s">
        <v>3588</v>
      </c>
    </row>
    <row r="365" customFormat="false" ht="14.25" hidden="false" customHeight="false" outlineLevel="0" collapsed="false">
      <c r="A365" s="1" t="s">
        <v>3589</v>
      </c>
      <c r="B365" s="1" t="s">
        <v>3590</v>
      </c>
    </row>
    <row r="366" customFormat="false" ht="14.25" hidden="false" customHeight="false" outlineLevel="0" collapsed="false">
      <c r="A366" s="1" t="s">
        <v>3591</v>
      </c>
      <c r="B366" s="1" t="s">
        <v>3592</v>
      </c>
    </row>
    <row r="367" customFormat="false" ht="14.25" hidden="false" customHeight="false" outlineLevel="0" collapsed="false">
      <c r="A367" s="1" t="s">
        <v>3593</v>
      </c>
      <c r="B367" s="1" t="s">
        <v>3594</v>
      </c>
    </row>
    <row r="368" customFormat="false" ht="14.25" hidden="false" customHeight="false" outlineLevel="0" collapsed="false">
      <c r="A368" s="1" t="s">
        <v>3595</v>
      </c>
      <c r="B368" s="1" t="s">
        <v>3596</v>
      </c>
    </row>
    <row r="369" customFormat="false" ht="14.25" hidden="false" customHeight="false" outlineLevel="0" collapsed="false">
      <c r="A369" s="1" t="s">
        <v>3597</v>
      </c>
      <c r="B369" s="1" t="s">
        <v>3598</v>
      </c>
    </row>
    <row r="370" customFormat="false" ht="14.25" hidden="false" customHeight="false" outlineLevel="0" collapsed="false">
      <c r="A370" s="1" t="s">
        <v>3599</v>
      </c>
      <c r="B370" s="1" t="s">
        <v>3600</v>
      </c>
    </row>
    <row r="371" customFormat="false" ht="14.25" hidden="false" customHeight="false" outlineLevel="0" collapsed="false">
      <c r="A371" s="1" t="s">
        <v>3601</v>
      </c>
      <c r="B371" s="1" t="s">
        <v>3602</v>
      </c>
    </row>
    <row r="372" customFormat="false" ht="14.25" hidden="false" customHeight="false" outlineLevel="0" collapsed="false">
      <c r="A372" s="1" t="s">
        <v>3603</v>
      </c>
      <c r="B372" s="1" t="s">
        <v>3604</v>
      </c>
    </row>
    <row r="373" customFormat="false" ht="14.25" hidden="false" customHeight="false" outlineLevel="0" collapsed="false">
      <c r="A373" s="1" t="s">
        <v>3605</v>
      </c>
      <c r="B373" s="1" t="s">
        <v>3606</v>
      </c>
    </row>
    <row r="374" customFormat="false" ht="14.25" hidden="false" customHeight="false" outlineLevel="0" collapsed="false">
      <c r="A374" s="1" t="s">
        <v>3607</v>
      </c>
      <c r="B374" s="1" t="s">
        <v>3608</v>
      </c>
    </row>
    <row r="375" customFormat="false" ht="14.25" hidden="false" customHeight="false" outlineLevel="0" collapsed="false">
      <c r="A375" s="1" t="s">
        <v>3609</v>
      </c>
      <c r="B375" s="1" t="s">
        <v>3610</v>
      </c>
    </row>
    <row r="376" customFormat="false" ht="14.25" hidden="false" customHeight="false" outlineLevel="0" collapsed="false">
      <c r="A376" s="1" t="s">
        <v>3611</v>
      </c>
      <c r="B376" s="1" t="s">
        <v>3612</v>
      </c>
    </row>
    <row r="377" customFormat="false" ht="14.25" hidden="false" customHeight="false" outlineLevel="0" collapsed="false">
      <c r="A377" s="1" t="s">
        <v>3613</v>
      </c>
      <c r="B377" s="1" t="s">
        <v>3614</v>
      </c>
    </row>
    <row r="378" customFormat="false" ht="14.25" hidden="false" customHeight="false" outlineLevel="0" collapsed="false">
      <c r="A378" s="1" t="s">
        <v>3615</v>
      </c>
      <c r="B378" s="1" t="s">
        <v>3616</v>
      </c>
    </row>
    <row r="379" customFormat="false" ht="14.25" hidden="false" customHeight="false" outlineLevel="0" collapsed="false">
      <c r="A379" s="1" t="s">
        <v>3617</v>
      </c>
      <c r="B379" s="1" t="s">
        <v>3618</v>
      </c>
    </row>
    <row r="380" customFormat="false" ht="14.25" hidden="false" customHeight="false" outlineLevel="0" collapsed="false">
      <c r="A380" s="1" t="s">
        <v>3619</v>
      </c>
      <c r="B380" s="1" t="s">
        <v>3620</v>
      </c>
    </row>
    <row r="381" customFormat="false" ht="14.25" hidden="false" customHeight="false" outlineLevel="0" collapsed="false">
      <c r="A381" s="1" t="s">
        <v>3621</v>
      </c>
      <c r="B381" s="1" t="s">
        <v>3622</v>
      </c>
    </row>
    <row r="382" customFormat="false" ht="14.25" hidden="false" customHeight="false" outlineLevel="0" collapsed="false">
      <c r="A382" s="1" t="s">
        <v>3623</v>
      </c>
      <c r="B382" s="1" t="s">
        <v>3624</v>
      </c>
    </row>
    <row r="383" customFormat="false" ht="14.25" hidden="false" customHeight="false" outlineLevel="0" collapsed="false">
      <c r="A383" s="1" t="s">
        <v>3625</v>
      </c>
      <c r="B383" s="1" t="s">
        <v>3626</v>
      </c>
    </row>
    <row r="384" customFormat="false" ht="14.25" hidden="false" customHeight="false" outlineLevel="0" collapsed="false">
      <c r="A384" s="1" t="s">
        <v>3627</v>
      </c>
      <c r="B384" s="1" t="s">
        <v>3628</v>
      </c>
    </row>
    <row r="385" customFormat="false" ht="14.25" hidden="false" customHeight="false" outlineLevel="0" collapsed="false">
      <c r="A385" s="1" t="s">
        <v>3629</v>
      </c>
      <c r="B385" s="1" t="s">
        <v>3630</v>
      </c>
    </row>
    <row r="386" customFormat="false" ht="14.25" hidden="false" customHeight="false" outlineLevel="0" collapsed="false">
      <c r="A386" s="1" t="s">
        <v>3631</v>
      </c>
      <c r="B386" s="1" t="s">
        <v>3632</v>
      </c>
    </row>
    <row r="387" customFormat="false" ht="14.25" hidden="false" customHeight="false" outlineLevel="0" collapsed="false">
      <c r="A387" s="1" t="s">
        <v>3633</v>
      </c>
      <c r="B387" s="1" t="s">
        <v>3634</v>
      </c>
    </row>
    <row r="388" customFormat="false" ht="14.25" hidden="false" customHeight="false" outlineLevel="0" collapsed="false">
      <c r="A388" s="1" t="s">
        <v>3635</v>
      </c>
      <c r="B388" s="1" t="s">
        <v>3636</v>
      </c>
    </row>
    <row r="389" customFormat="false" ht="14.25" hidden="false" customHeight="false" outlineLevel="0" collapsed="false">
      <c r="A389" s="1" t="s">
        <v>3637</v>
      </c>
      <c r="B389" s="1" t="s">
        <v>3638</v>
      </c>
    </row>
    <row r="390" customFormat="false" ht="14.25" hidden="false" customHeight="false" outlineLevel="0" collapsed="false">
      <c r="A390" s="1" t="s">
        <v>3639</v>
      </c>
      <c r="B390" s="1" t="s">
        <v>3640</v>
      </c>
    </row>
    <row r="391" customFormat="false" ht="14.25" hidden="false" customHeight="false" outlineLevel="0" collapsed="false">
      <c r="A391" s="1" t="s">
        <v>3641</v>
      </c>
      <c r="B391" s="1" t="s">
        <v>3642</v>
      </c>
    </row>
    <row r="392" customFormat="false" ht="14.25" hidden="false" customHeight="false" outlineLevel="0" collapsed="false">
      <c r="A392" s="1" t="s">
        <v>3643</v>
      </c>
      <c r="B392" s="1" t="s">
        <v>3644</v>
      </c>
    </row>
    <row r="393" customFormat="false" ht="14.25" hidden="false" customHeight="false" outlineLevel="0" collapsed="false">
      <c r="A393" s="1" t="s">
        <v>3645</v>
      </c>
      <c r="B393" s="1" t="s">
        <v>3646</v>
      </c>
    </row>
    <row r="394" customFormat="false" ht="14.25" hidden="false" customHeight="false" outlineLevel="0" collapsed="false">
      <c r="A394" s="1" t="s">
        <v>3647</v>
      </c>
      <c r="B394" s="1" t="s">
        <v>3648</v>
      </c>
    </row>
    <row r="395" customFormat="false" ht="14.25" hidden="false" customHeight="false" outlineLevel="0" collapsed="false">
      <c r="A395" s="1" t="s">
        <v>3649</v>
      </c>
      <c r="B395" s="1" t="s">
        <v>3650</v>
      </c>
    </row>
    <row r="396" customFormat="false" ht="14.25" hidden="false" customHeight="false" outlineLevel="0" collapsed="false">
      <c r="A396" s="1" t="s">
        <v>3651</v>
      </c>
      <c r="B396" s="1" t="s">
        <v>3652</v>
      </c>
    </row>
    <row r="397" customFormat="false" ht="14.25" hidden="false" customHeight="false" outlineLevel="0" collapsed="false">
      <c r="A397" s="1" t="s">
        <v>3653</v>
      </c>
      <c r="B397" s="1" t="s">
        <v>3654</v>
      </c>
    </row>
    <row r="398" customFormat="false" ht="14.25" hidden="false" customHeight="false" outlineLevel="0" collapsed="false">
      <c r="A398" s="1" t="s">
        <v>3655</v>
      </c>
      <c r="B398" s="1" t="s">
        <v>3656</v>
      </c>
    </row>
    <row r="399" customFormat="false" ht="14.25" hidden="false" customHeight="false" outlineLevel="0" collapsed="false">
      <c r="A399" s="1" t="s">
        <v>3657</v>
      </c>
      <c r="B399" s="1" t="s">
        <v>3658</v>
      </c>
    </row>
    <row r="400" customFormat="false" ht="14.25" hidden="false" customHeight="false" outlineLevel="0" collapsed="false">
      <c r="A400" s="1" t="s">
        <v>3659</v>
      </c>
      <c r="B400" s="1" t="s">
        <v>3660</v>
      </c>
    </row>
    <row r="401" customFormat="false" ht="14.25" hidden="false" customHeight="false" outlineLevel="0" collapsed="false">
      <c r="A401" s="1" t="s">
        <v>3661</v>
      </c>
      <c r="B401" s="1" t="s">
        <v>3662</v>
      </c>
    </row>
    <row r="402" customFormat="false" ht="14.25" hidden="false" customHeight="false" outlineLevel="0" collapsed="false">
      <c r="A402" s="1" t="s">
        <v>3663</v>
      </c>
      <c r="B402" s="1" t="s">
        <v>3664</v>
      </c>
    </row>
    <row r="403" customFormat="false" ht="14.25" hidden="false" customHeight="false" outlineLevel="0" collapsed="false">
      <c r="A403" s="1" t="s">
        <v>3665</v>
      </c>
      <c r="B403" s="1" t="s">
        <v>3666</v>
      </c>
    </row>
    <row r="404" customFormat="false" ht="14.25" hidden="false" customHeight="false" outlineLevel="0" collapsed="false">
      <c r="A404" s="1" t="s">
        <v>3667</v>
      </c>
      <c r="B404" s="1" t="s">
        <v>3668</v>
      </c>
    </row>
    <row r="405" customFormat="false" ht="14.25" hidden="false" customHeight="false" outlineLevel="0" collapsed="false">
      <c r="A405" s="1" t="s">
        <v>3669</v>
      </c>
      <c r="B405" s="1" t="s">
        <v>3670</v>
      </c>
    </row>
    <row r="406" customFormat="false" ht="14.25" hidden="false" customHeight="false" outlineLevel="0" collapsed="false">
      <c r="A406" s="1" t="s">
        <v>3671</v>
      </c>
      <c r="B406" s="1" t="s">
        <v>3672</v>
      </c>
    </row>
    <row r="407" customFormat="false" ht="14.25" hidden="false" customHeight="false" outlineLevel="0" collapsed="false">
      <c r="A407" s="1" t="s">
        <v>3673</v>
      </c>
      <c r="B407" s="1" t="s">
        <v>3674</v>
      </c>
    </row>
    <row r="408" customFormat="false" ht="14.25" hidden="false" customHeight="false" outlineLevel="0" collapsed="false">
      <c r="A408" s="1" t="s">
        <v>3675</v>
      </c>
      <c r="B408" s="1" t="s">
        <v>3676</v>
      </c>
    </row>
    <row r="409" customFormat="false" ht="14.25" hidden="false" customHeight="false" outlineLevel="0" collapsed="false">
      <c r="A409" s="1" t="s">
        <v>3677</v>
      </c>
      <c r="B409" s="1" t="s">
        <v>3678</v>
      </c>
    </row>
    <row r="410" customFormat="false" ht="14.25" hidden="false" customHeight="false" outlineLevel="0" collapsed="false">
      <c r="A410" s="1" t="s">
        <v>3679</v>
      </c>
      <c r="B410" s="1" t="s">
        <v>3680</v>
      </c>
    </row>
    <row r="411" customFormat="false" ht="14.25" hidden="false" customHeight="false" outlineLevel="0" collapsed="false">
      <c r="A411" s="1" t="s">
        <v>3681</v>
      </c>
      <c r="B411" s="1" t="s">
        <v>3682</v>
      </c>
    </row>
    <row r="412" customFormat="false" ht="14.25" hidden="false" customHeight="false" outlineLevel="0" collapsed="false">
      <c r="A412" s="1" t="s">
        <v>3683</v>
      </c>
      <c r="B412" s="1" t="s">
        <v>3684</v>
      </c>
    </row>
    <row r="413" customFormat="false" ht="14.25" hidden="false" customHeight="false" outlineLevel="0" collapsed="false">
      <c r="A413" s="1" t="s">
        <v>3685</v>
      </c>
      <c r="B413" s="1" t="s">
        <v>3686</v>
      </c>
    </row>
    <row r="414" customFormat="false" ht="14.25" hidden="false" customHeight="false" outlineLevel="0" collapsed="false">
      <c r="A414" s="1" t="s">
        <v>3687</v>
      </c>
      <c r="B414" s="1" t="s">
        <v>3688</v>
      </c>
    </row>
    <row r="415" customFormat="false" ht="14.25" hidden="false" customHeight="false" outlineLevel="0" collapsed="false">
      <c r="A415" s="1" t="s">
        <v>3689</v>
      </c>
      <c r="B415" s="1" t="s">
        <v>3690</v>
      </c>
    </row>
    <row r="416" customFormat="false" ht="14.25" hidden="false" customHeight="false" outlineLevel="0" collapsed="false">
      <c r="A416" s="1" t="s">
        <v>3691</v>
      </c>
      <c r="B416" s="1" t="s">
        <v>3692</v>
      </c>
    </row>
    <row r="417" customFormat="false" ht="14.25" hidden="false" customHeight="false" outlineLevel="0" collapsed="false">
      <c r="A417" s="1" t="s">
        <v>3693</v>
      </c>
      <c r="B417" s="1" t="s">
        <v>3694</v>
      </c>
    </row>
    <row r="418" customFormat="false" ht="14.25" hidden="false" customHeight="false" outlineLevel="0" collapsed="false">
      <c r="A418" s="1" t="s">
        <v>3695</v>
      </c>
      <c r="B418" s="1" t="s">
        <v>3696</v>
      </c>
    </row>
    <row r="419" customFormat="false" ht="14.25" hidden="false" customHeight="false" outlineLevel="0" collapsed="false">
      <c r="A419" s="1" t="s">
        <v>3697</v>
      </c>
      <c r="B419" s="1" t="s">
        <v>3698</v>
      </c>
    </row>
    <row r="420" customFormat="false" ht="14.25" hidden="false" customHeight="false" outlineLevel="0" collapsed="false">
      <c r="A420" s="1" t="s">
        <v>3699</v>
      </c>
      <c r="B420" s="1" t="s">
        <v>3700</v>
      </c>
    </row>
    <row r="421" customFormat="false" ht="14.25" hidden="false" customHeight="false" outlineLevel="0" collapsed="false">
      <c r="A421" s="1" t="s">
        <v>3701</v>
      </c>
      <c r="B421" s="1" t="s">
        <v>3702</v>
      </c>
    </row>
    <row r="422" customFormat="false" ht="14.25" hidden="false" customHeight="false" outlineLevel="0" collapsed="false">
      <c r="A422" s="1" t="s">
        <v>3703</v>
      </c>
      <c r="B422" s="1" t="s">
        <v>3704</v>
      </c>
    </row>
    <row r="423" customFormat="false" ht="14.25" hidden="false" customHeight="false" outlineLevel="0" collapsed="false">
      <c r="A423" s="1" t="s">
        <v>3705</v>
      </c>
      <c r="B423" s="1" t="s">
        <v>3706</v>
      </c>
    </row>
    <row r="424" customFormat="false" ht="14.25" hidden="false" customHeight="false" outlineLevel="0" collapsed="false">
      <c r="A424" s="1" t="s">
        <v>3707</v>
      </c>
      <c r="B424" s="1" t="s">
        <v>3708</v>
      </c>
    </row>
    <row r="425" customFormat="false" ht="14.25" hidden="false" customHeight="false" outlineLevel="0" collapsed="false">
      <c r="A425" s="1" t="s">
        <v>3709</v>
      </c>
      <c r="B425" s="1" t="s">
        <v>3710</v>
      </c>
    </row>
    <row r="426" customFormat="false" ht="14.25" hidden="false" customHeight="false" outlineLevel="0" collapsed="false">
      <c r="A426" s="1" t="s">
        <v>3711</v>
      </c>
      <c r="B426" s="1" t="s">
        <v>3712</v>
      </c>
    </row>
    <row r="427" customFormat="false" ht="14.25" hidden="false" customHeight="false" outlineLevel="0" collapsed="false">
      <c r="A427" s="1" t="s">
        <v>3713</v>
      </c>
      <c r="B427" s="1" t="s">
        <v>3714</v>
      </c>
    </row>
    <row r="428" customFormat="false" ht="14.25" hidden="false" customHeight="false" outlineLevel="0" collapsed="false">
      <c r="A428" s="1" t="s">
        <v>3715</v>
      </c>
      <c r="B428" s="1" t="s">
        <v>3716</v>
      </c>
    </row>
    <row r="429" customFormat="false" ht="14.25" hidden="false" customHeight="false" outlineLevel="0" collapsed="false">
      <c r="A429" s="1" t="s">
        <v>3717</v>
      </c>
      <c r="B429" s="1" t="s">
        <v>3718</v>
      </c>
    </row>
    <row r="430" customFormat="false" ht="14.25" hidden="false" customHeight="false" outlineLevel="0" collapsed="false">
      <c r="A430" s="1" t="s">
        <v>3719</v>
      </c>
      <c r="B430" s="1" t="s">
        <v>3720</v>
      </c>
    </row>
    <row r="431" customFormat="false" ht="14.25" hidden="false" customHeight="false" outlineLevel="0" collapsed="false">
      <c r="A431" s="1" t="s">
        <v>3721</v>
      </c>
      <c r="B431" s="1" t="s">
        <v>3722</v>
      </c>
    </row>
    <row r="432" customFormat="false" ht="14.25" hidden="false" customHeight="false" outlineLevel="0" collapsed="false">
      <c r="A432" s="1" t="s">
        <v>3723</v>
      </c>
      <c r="B432" s="1" t="s">
        <v>3724</v>
      </c>
    </row>
    <row r="433" customFormat="false" ht="14.25" hidden="false" customHeight="false" outlineLevel="0" collapsed="false">
      <c r="A433" s="1" t="s">
        <v>3725</v>
      </c>
      <c r="B433" s="1" t="s">
        <v>3726</v>
      </c>
    </row>
    <row r="434" customFormat="false" ht="14.25" hidden="false" customHeight="false" outlineLevel="0" collapsed="false">
      <c r="A434" s="1" t="s">
        <v>3727</v>
      </c>
      <c r="B434" s="1" t="s">
        <v>3728</v>
      </c>
    </row>
    <row r="435" customFormat="false" ht="14.25" hidden="false" customHeight="false" outlineLevel="0" collapsed="false">
      <c r="A435" s="1" t="s">
        <v>3729</v>
      </c>
      <c r="B435" s="1" t="s">
        <v>3730</v>
      </c>
    </row>
    <row r="436" customFormat="false" ht="14.25" hidden="false" customHeight="false" outlineLevel="0" collapsed="false">
      <c r="A436" s="1" t="s">
        <v>3731</v>
      </c>
      <c r="B436" s="1" t="s">
        <v>3732</v>
      </c>
    </row>
    <row r="437" customFormat="false" ht="14.25" hidden="false" customHeight="false" outlineLevel="0" collapsed="false">
      <c r="A437" s="1" t="s">
        <v>3733</v>
      </c>
      <c r="B437" s="1" t="s">
        <v>3734</v>
      </c>
    </row>
    <row r="438" customFormat="false" ht="14.25" hidden="false" customHeight="false" outlineLevel="0" collapsed="false">
      <c r="A438" s="1" t="s">
        <v>3735</v>
      </c>
      <c r="B438" s="1" t="s">
        <v>3736</v>
      </c>
    </row>
    <row r="439" customFormat="false" ht="14.25" hidden="false" customHeight="false" outlineLevel="0" collapsed="false">
      <c r="A439" s="1" t="s">
        <v>3737</v>
      </c>
      <c r="B439" s="1" t="s">
        <v>3738</v>
      </c>
    </row>
    <row r="440" customFormat="false" ht="14.25" hidden="false" customHeight="false" outlineLevel="0" collapsed="false">
      <c r="A440" s="1" t="s">
        <v>3739</v>
      </c>
      <c r="B440" s="1" t="s">
        <v>3740</v>
      </c>
    </row>
    <row r="441" customFormat="false" ht="14.25" hidden="false" customHeight="false" outlineLevel="0" collapsed="false">
      <c r="A441" s="1" t="s">
        <v>3741</v>
      </c>
      <c r="B441" s="1" t="s">
        <v>3742</v>
      </c>
    </row>
    <row r="442" customFormat="false" ht="14.25" hidden="false" customHeight="false" outlineLevel="0" collapsed="false">
      <c r="A442" s="1" t="s">
        <v>3743</v>
      </c>
      <c r="B442" s="1" t="s">
        <v>3744</v>
      </c>
    </row>
    <row r="443" customFormat="false" ht="14.25" hidden="false" customHeight="false" outlineLevel="0" collapsed="false">
      <c r="A443" s="1" t="s">
        <v>3745</v>
      </c>
      <c r="B443" s="1" t="s">
        <v>3746</v>
      </c>
    </row>
    <row r="444" customFormat="false" ht="14.25" hidden="false" customHeight="false" outlineLevel="0" collapsed="false">
      <c r="A444" s="1" t="s">
        <v>3747</v>
      </c>
      <c r="B444" s="1" t="s">
        <v>3748</v>
      </c>
    </row>
    <row r="445" customFormat="false" ht="14.25" hidden="false" customHeight="false" outlineLevel="0" collapsed="false">
      <c r="A445" s="1" t="s">
        <v>3749</v>
      </c>
      <c r="B445" s="1" t="s">
        <v>3750</v>
      </c>
    </row>
    <row r="446" customFormat="false" ht="14.25" hidden="false" customHeight="false" outlineLevel="0" collapsed="false">
      <c r="A446" s="1" t="s">
        <v>3751</v>
      </c>
      <c r="B446" s="1" t="s">
        <v>3752</v>
      </c>
    </row>
    <row r="447" customFormat="false" ht="14.25" hidden="false" customHeight="false" outlineLevel="0" collapsed="false">
      <c r="A447" s="1" t="s">
        <v>3753</v>
      </c>
      <c r="B447" s="1" t="s">
        <v>3754</v>
      </c>
    </row>
    <row r="448" customFormat="false" ht="14.25" hidden="false" customHeight="false" outlineLevel="0" collapsed="false">
      <c r="A448" s="1" t="s">
        <v>3755</v>
      </c>
      <c r="B448" s="1" t="s">
        <v>3756</v>
      </c>
    </row>
    <row r="449" customFormat="false" ht="14.25" hidden="false" customHeight="false" outlineLevel="0" collapsed="false">
      <c r="A449" s="1" t="s">
        <v>3757</v>
      </c>
      <c r="B449" s="1" t="s">
        <v>3758</v>
      </c>
    </row>
    <row r="450" customFormat="false" ht="14.25" hidden="false" customHeight="false" outlineLevel="0" collapsed="false">
      <c r="A450" s="1" t="s">
        <v>3759</v>
      </c>
      <c r="B450" s="1" t="s">
        <v>3760</v>
      </c>
    </row>
    <row r="451" customFormat="false" ht="14.25" hidden="false" customHeight="false" outlineLevel="0" collapsed="false">
      <c r="A451" s="1" t="s">
        <v>3761</v>
      </c>
      <c r="B451" s="1" t="s">
        <v>3762</v>
      </c>
    </row>
    <row r="452" customFormat="false" ht="14.25" hidden="false" customHeight="false" outlineLevel="0" collapsed="false">
      <c r="A452" s="1" t="s">
        <v>3763</v>
      </c>
      <c r="B452" s="1" t="s">
        <v>3764</v>
      </c>
    </row>
    <row r="453" customFormat="false" ht="14.25" hidden="false" customHeight="false" outlineLevel="0" collapsed="false">
      <c r="A453" s="1" t="s">
        <v>3765</v>
      </c>
      <c r="B453" s="1" t="s">
        <v>3766</v>
      </c>
    </row>
    <row r="454" customFormat="false" ht="14.25" hidden="false" customHeight="false" outlineLevel="0" collapsed="false">
      <c r="A454" s="1" t="s">
        <v>3767</v>
      </c>
      <c r="B454" s="1" t="s">
        <v>3768</v>
      </c>
    </row>
    <row r="455" customFormat="false" ht="14.25" hidden="false" customHeight="false" outlineLevel="0" collapsed="false">
      <c r="A455" s="1" t="s">
        <v>3769</v>
      </c>
      <c r="B455" s="1" t="s">
        <v>3770</v>
      </c>
    </row>
    <row r="456" customFormat="false" ht="14.25" hidden="false" customHeight="false" outlineLevel="0" collapsed="false">
      <c r="A456" s="1" t="s">
        <v>3771</v>
      </c>
      <c r="B456" s="1" t="s">
        <v>3772</v>
      </c>
    </row>
    <row r="457" customFormat="false" ht="14.25" hidden="false" customHeight="false" outlineLevel="0" collapsed="false">
      <c r="A457" s="1" t="s">
        <v>3773</v>
      </c>
      <c r="B457" s="1" t="s">
        <v>3774</v>
      </c>
    </row>
    <row r="458" customFormat="false" ht="14.25" hidden="false" customHeight="false" outlineLevel="0" collapsed="false">
      <c r="A458" s="1" t="s">
        <v>3775</v>
      </c>
      <c r="B458" s="1" t="s">
        <v>3776</v>
      </c>
    </row>
    <row r="459" customFormat="false" ht="14.25" hidden="false" customHeight="false" outlineLevel="0" collapsed="false">
      <c r="A459" s="1" t="s">
        <v>3777</v>
      </c>
      <c r="B459" s="1" t="s">
        <v>3778</v>
      </c>
    </row>
    <row r="460" customFormat="false" ht="14.25" hidden="false" customHeight="false" outlineLevel="0" collapsed="false">
      <c r="A460" s="1" t="s">
        <v>3779</v>
      </c>
      <c r="B460" s="1" t="s">
        <v>3780</v>
      </c>
    </row>
    <row r="461" customFormat="false" ht="14.25" hidden="false" customHeight="false" outlineLevel="0" collapsed="false">
      <c r="A461" s="1" t="s">
        <v>3781</v>
      </c>
      <c r="B461" s="1" t="s">
        <v>3782</v>
      </c>
    </row>
    <row r="462" customFormat="false" ht="14.25" hidden="false" customHeight="false" outlineLevel="0" collapsed="false">
      <c r="A462" s="1" t="s">
        <v>3783</v>
      </c>
      <c r="B462" s="1" t="s">
        <v>3784</v>
      </c>
    </row>
    <row r="463" customFormat="false" ht="14.25" hidden="false" customHeight="false" outlineLevel="0" collapsed="false">
      <c r="A463" s="1" t="s">
        <v>3785</v>
      </c>
      <c r="B463" s="1" t="s">
        <v>3786</v>
      </c>
    </row>
    <row r="464" customFormat="false" ht="14.25" hidden="false" customHeight="false" outlineLevel="0" collapsed="false">
      <c r="A464" s="1" t="s">
        <v>3787</v>
      </c>
      <c r="B464" s="1" t="s">
        <v>3788</v>
      </c>
    </row>
    <row r="465" customFormat="false" ht="14.25" hidden="false" customHeight="false" outlineLevel="0" collapsed="false">
      <c r="A465" s="1" t="s">
        <v>3789</v>
      </c>
      <c r="B465" s="1" t="s">
        <v>3790</v>
      </c>
    </row>
    <row r="466" customFormat="false" ht="14.25" hidden="false" customHeight="false" outlineLevel="0" collapsed="false">
      <c r="A466" s="1" t="s">
        <v>3791</v>
      </c>
      <c r="B466" s="1" t="s">
        <v>3792</v>
      </c>
    </row>
    <row r="467" customFormat="false" ht="14.25" hidden="false" customHeight="false" outlineLevel="0" collapsed="false">
      <c r="A467" s="1" t="s">
        <v>3793</v>
      </c>
      <c r="B467" s="1" t="s">
        <v>3794</v>
      </c>
    </row>
    <row r="468" customFormat="false" ht="14.25" hidden="false" customHeight="false" outlineLevel="0" collapsed="false">
      <c r="A468" s="1" t="s">
        <v>3795</v>
      </c>
      <c r="B468" s="1" t="s">
        <v>3796</v>
      </c>
    </row>
    <row r="469" customFormat="false" ht="14.25" hidden="false" customHeight="false" outlineLevel="0" collapsed="false">
      <c r="A469" s="1" t="s">
        <v>3797</v>
      </c>
      <c r="B469" s="1" t="s">
        <v>3798</v>
      </c>
    </row>
    <row r="470" customFormat="false" ht="14.25" hidden="false" customHeight="false" outlineLevel="0" collapsed="false">
      <c r="A470" s="1" t="s">
        <v>3799</v>
      </c>
      <c r="B470" s="1" t="s">
        <v>3800</v>
      </c>
    </row>
    <row r="471" customFormat="false" ht="14.25" hidden="false" customHeight="false" outlineLevel="0" collapsed="false">
      <c r="A471" s="1" t="s">
        <v>3801</v>
      </c>
      <c r="B471" s="1" t="s">
        <v>3802</v>
      </c>
    </row>
    <row r="472" customFormat="false" ht="14.25" hidden="false" customHeight="false" outlineLevel="0" collapsed="false">
      <c r="A472" s="1" t="s">
        <v>3803</v>
      </c>
      <c r="B472" s="1" t="s">
        <v>3804</v>
      </c>
    </row>
    <row r="473" customFormat="false" ht="14.25" hidden="false" customHeight="false" outlineLevel="0" collapsed="false">
      <c r="A473" s="1" t="s">
        <v>3805</v>
      </c>
      <c r="B473" s="1" t="s">
        <v>3806</v>
      </c>
    </row>
    <row r="474" customFormat="false" ht="14.25" hidden="false" customHeight="false" outlineLevel="0" collapsed="false">
      <c r="A474" s="1" t="s">
        <v>3807</v>
      </c>
      <c r="B474" s="1" t="s">
        <v>3808</v>
      </c>
    </row>
    <row r="475" customFormat="false" ht="14.25" hidden="false" customHeight="false" outlineLevel="0" collapsed="false">
      <c r="A475" s="1" t="s">
        <v>3809</v>
      </c>
      <c r="B475" s="1" t="s">
        <v>3810</v>
      </c>
    </row>
    <row r="476" customFormat="false" ht="14.25" hidden="false" customHeight="false" outlineLevel="0" collapsed="false">
      <c r="A476" s="1" t="s">
        <v>3811</v>
      </c>
      <c r="B476" s="1" t="s">
        <v>3812</v>
      </c>
    </row>
    <row r="477" customFormat="false" ht="14.25" hidden="false" customHeight="false" outlineLevel="0" collapsed="false">
      <c r="A477" s="1" t="s">
        <v>3813</v>
      </c>
      <c r="B477" s="1" t="s">
        <v>3814</v>
      </c>
    </row>
    <row r="478" customFormat="false" ht="14.25" hidden="false" customHeight="false" outlineLevel="0" collapsed="false">
      <c r="A478" s="1" t="s">
        <v>3815</v>
      </c>
      <c r="B478" s="1" t="s">
        <v>3816</v>
      </c>
    </row>
    <row r="479" customFormat="false" ht="14.25" hidden="false" customHeight="false" outlineLevel="0" collapsed="false">
      <c r="A479" s="1" t="s">
        <v>3817</v>
      </c>
      <c r="B479" s="1" t="s">
        <v>3818</v>
      </c>
    </row>
    <row r="480" customFormat="false" ht="14.25" hidden="false" customHeight="false" outlineLevel="0" collapsed="false">
      <c r="A480" s="1" t="s">
        <v>3819</v>
      </c>
      <c r="B480" s="1" t="s">
        <v>3820</v>
      </c>
    </row>
    <row r="481" customFormat="false" ht="14.25" hidden="false" customHeight="false" outlineLevel="0" collapsed="false">
      <c r="A481" s="1" t="s">
        <v>3821</v>
      </c>
      <c r="B481" s="1" t="s">
        <v>3822</v>
      </c>
    </row>
    <row r="482" customFormat="false" ht="14.25" hidden="false" customHeight="false" outlineLevel="0" collapsed="false">
      <c r="A482" s="1" t="s">
        <v>3823</v>
      </c>
      <c r="B482" s="1" t="s">
        <v>3824</v>
      </c>
    </row>
    <row r="483" customFormat="false" ht="14.25" hidden="false" customHeight="false" outlineLevel="0" collapsed="false">
      <c r="A483" s="1" t="s">
        <v>3825</v>
      </c>
      <c r="B483" s="1" t="s">
        <v>3826</v>
      </c>
    </row>
    <row r="484" customFormat="false" ht="14.25" hidden="false" customHeight="false" outlineLevel="0" collapsed="false">
      <c r="A484" s="1" t="s">
        <v>3827</v>
      </c>
      <c r="B484" s="1" t="s">
        <v>3828</v>
      </c>
    </row>
    <row r="485" customFormat="false" ht="14.25" hidden="false" customHeight="false" outlineLevel="0" collapsed="false">
      <c r="A485" s="1" t="s">
        <v>3829</v>
      </c>
      <c r="B485" s="1" t="s">
        <v>3830</v>
      </c>
    </row>
    <row r="486" customFormat="false" ht="14.25" hidden="false" customHeight="false" outlineLevel="0" collapsed="false">
      <c r="A486" s="1" t="s">
        <v>3831</v>
      </c>
      <c r="B486" s="1" t="s">
        <v>3832</v>
      </c>
    </row>
    <row r="487" customFormat="false" ht="14.25" hidden="false" customHeight="false" outlineLevel="0" collapsed="false">
      <c r="A487" s="1" t="s">
        <v>3833</v>
      </c>
      <c r="B487" s="1" t="s">
        <v>3834</v>
      </c>
    </row>
    <row r="488" customFormat="false" ht="14.25" hidden="false" customHeight="false" outlineLevel="0" collapsed="false">
      <c r="A488" s="1" t="s">
        <v>3835</v>
      </c>
      <c r="B488" s="1" t="s">
        <v>3836</v>
      </c>
    </row>
    <row r="489" customFormat="false" ht="14.25" hidden="false" customHeight="false" outlineLevel="0" collapsed="false">
      <c r="A489" s="1" t="s">
        <v>3837</v>
      </c>
      <c r="B489" s="1" t="s">
        <v>3838</v>
      </c>
    </row>
    <row r="490" customFormat="false" ht="14.25" hidden="false" customHeight="false" outlineLevel="0" collapsed="false">
      <c r="A490" s="1" t="s">
        <v>3839</v>
      </c>
      <c r="B490" s="1" t="s">
        <v>3840</v>
      </c>
    </row>
    <row r="491" customFormat="false" ht="14.25" hidden="false" customHeight="false" outlineLevel="0" collapsed="false">
      <c r="A491" s="1" t="s">
        <v>3841</v>
      </c>
      <c r="B491" s="1" t="s">
        <v>3842</v>
      </c>
    </row>
    <row r="492" customFormat="false" ht="14.25" hidden="false" customHeight="false" outlineLevel="0" collapsed="false">
      <c r="A492" s="1" t="s">
        <v>3843</v>
      </c>
      <c r="B492" s="1" t="s">
        <v>3844</v>
      </c>
    </row>
    <row r="493" customFormat="false" ht="14.25" hidden="false" customHeight="false" outlineLevel="0" collapsed="false">
      <c r="A493" s="1" t="s">
        <v>3845</v>
      </c>
      <c r="B493" s="1" t="s">
        <v>3846</v>
      </c>
    </row>
    <row r="494" customFormat="false" ht="14.25" hidden="false" customHeight="false" outlineLevel="0" collapsed="false">
      <c r="A494" s="1" t="s">
        <v>3847</v>
      </c>
      <c r="B494" s="1" t="s">
        <v>3848</v>
      </c>
    </row>
    <row r="495" customFormat="false" ht="14.25" hidden="false" customHeight="false" outlineLevel="0" collapsed="false">
      <c r="A495" s="1" t="s">
        <v>3849</v>
      </c>
      <c r="B495" s="1" t="s">
        <v>3850</v>
      </c>
    </row>
    <row r="496" customFormat="false" ht="14.25" hidden="false" customHeight="false" outlineLevel="0" collapsed="false">
      <c r="A496" s="1" t="s">
        <v>3851</v>
      </c>
      <c r="B496" s="1" t="s">
        <v>3852</v>
      </c>
    </row>
    <row r="497" customFormat="false" ht="14.25" hidden="false" customHeight="false" outlineLevel="0" collapsed="false">
      <c r="A497" s="1" t="s">
        <v>3853</v>
      </c>
      <c r="B497" s="1" t="s">
        <v>3854</v>
      </c>
    </row>
    <row r="498" customFormat="false" ht="14.25" hidden="false" customHeight="false" outlineLevel="0" collapsed="false">
      <c r="A498" s="1" t="s">
        <v>3855</v>
      </c>
      <c r="B498" s="1" t="s">
        <v>3856</v>
      </c>
    </row>
    <row r="499" customFormat="false" ht="14.25" hidden="false" customHeight="false" outlineLevel="0" collapsed="false">
      <c r="A499" s="1" t="s">
        <v>3857</v>
      </c>
      <c r="B499" s="1" t="s">
        <v>3858</v>
      </c>
    </row>
    <row r="500" customFormat="false" ht="14.25" hidden="false" customHeight="false" outlineLevel="0" collapsed="false">
      <c r="A500" s="1" t="s">
        <v>3859</v>
      </c>
      <c r="B500" s="1" t="s">
        <v>3860</v>
      </c>
    </row>
    <row r="501" customFormat="false" ht="14.25" hidden="false" customHeight="false" outlineLevel="0" collapsed="false">
      <c r="A501" s="1" t="s">
        <v>3861</v>
      </c>
      <c r="B501" s="1" t="s">
        <v>3862</v>
      </c>
    </row>
    <row r="502" customFormat="false" ht="14.25" hidden="false" customHeight="false" outlineLevel="0" collapsed="false">
      <c r="A502" s="1" t="s">
        <v>3863</v>
      </c>
      <c r="B502" s="1" t="s">
        <v>3864</v>
      </c>
    </row>
    <row r="503" customFormat="false" ht="14.25" hidden="false" customHeight="false" outlineLevel="0" collapsed="false">
      <c r="A503" s="1" t="s">
        <v>3865</v>
      </c>
      <c r="B503" s="1" t="s">
        <v>3866</v>
      </c>
    </row>
    <row r="504" customFormat="false" ht="14.25" hidden="false" customHeight="false" outlineLevel="0" collapsed="false">
      <c r="A504" s="1" t="s">
        <v>3867</v>
      </c>
      <c r="B504" s="1" t="s">
        <v>3868</v>
      </c>
    </row>
    <row r="505" customFormat="false" ht="14.25" hidden="false" customHeight="false" outlineLevel="0" collapsed="false">
      <c r="A505" s="1" t="s">
        <v>3869</v>
      </c>
      <c r="B505" s="1" t="s">
        <v>3870</v>
      </c>
    </row>
    <row r="506" customFormat="false" ht="14.25" hidden="false" customHeight="false" outlineLevel="0" collapsed="false">
      <c r="A506" s="1" t="s">
        <v>3871</v>
      </c>
      <c r="B506" s="1" t="s">
        <v>3872</v>
      </c>
    </row>
    <row r="507" customFormat="false" ht="14.25" hidden="false" customHeight="false" outlineLevel="0" collapsed="false">
      <c r="A507" s="1" t="s">
        <v>3873</v>
      </c>
      <c r="B507" s="1" t="s">
        <v>3874</v>
      </c>
    </row>
    <row r="508" customFormat="false" ht="14.25" hidden="false" customHeight="false" outlineLevel="0" collapsed="false">
      <c r="A508" s="1" t="s">
        <v>3875</v>
      </c>
      <c r="B508" s="1" t="s">
        <v>3876</v>
      </c>
    </row>
    <row r="509" customFormat="false" ht="14.25" hidden="false" customHeight="false" outlineLevel="0" collapsed="false">
      <c r="A509" s="1" t="s">
        <v>3877</v>
      </c>
      <c r="B509" s="1" t="s">
        <v>3878</v>
      </c>
    </row>
    <row r="510" customFormat="false" ht="14.25" hidden="false" customHeight="false" outlineLevel="0" collapsed="false">
      <c r="A510" s="1" t="s">
        <v>3879</v>
      </c>
      <c r="B510" s="1" t="s">
        <v>3880</v>
      </c>
    </row>
    <row r="511" customFormat="false" ht="14.25" hidden="false" customHeight="false" outlineLevel="0" collapsed="false">
      <c r="A511" s="1" t="s">
        <v>3881</v>
      </c>
      <c r="B511" s="1" t="s">
        <v>389</v>
      </c>
    </row>
    <row r="512" customFormat="false" ht="14.25" hidden="false" customHeight="false" outlineLevel="0" collapsed="false">
      <c r="A512" s="1" t="s">
        <v>3882</v>
      </c>
      <c r="B512" s="1" t="s">
        <v>3883</v>
      </c>
    </row>
    <row r="513" customFormat="false" ht="14.25" hidden="false" customHeight="false" outlineLevel="0" collapsed="false">
      <c r="A513" s="1" t="s">
        <v>3884</v>
      </c>
      <c r="B513" s="1" t="s">
        <v>3885</v>
      </c>
    </row>
    <row r="514" customFormat="false" ht="14.25" hidden="false" customHeight="false" outlineLevel="0" collapsed="false">
      <c r="A514" s="1" t="s">
        <v>3886</v>
      </c>
      <c r="B514" s="1" t="s">
        <v>3887</v>
      </c>
    </row>
    <row r="515" customFormat="false" ht="14.25" hidden="false" customHeight="false" outlineLevel="0" collapsed="false">
      <c r="A515" s="1" t="s">
        <v>3888</v>
      </c>
      <c r="B515" s="1" t="s">
        <v>3889</v>
      </c>
    </row>
    <row r="516" customFormat="false" ht="14.25" hidden="false" customHeight="false" outlineLevel="0" collapsed="false">
      <c r="A516" s="1" t="s">
        <v>3890</v>
      </c>
      <c r="B516" s="1" t="s">
        <v>3891</v>
      </c>
    </row>
    <row r="517" customFormat="false" ht="14.25" hidden="false" customHeight="false" outlineLevel="0" collapsed="false">
      <c r="A517" s="1" t="s">
        <v>3892</v>
      </c>
      <c r="B517" s="1" t="s">
        <v>3893</v>
      </c>
    </row>
    <row r="518" customFormat="false" ht="14.25" hidden="false" customHeight="false" outlineLevel="0" collapsed="false">
      <c r="A518" s="1" t="s">
        <v>3894</v>
      </c>
      <c r="B518" s="1" t="s">
        <v>3895</v>
      </c>
    </row>
    <row r="519" customFormat="false" ht="14.25" hidden="false" customHeight="false" outlineLevel="0" collapsed="false">
      <c r="A519" s="1" t="s">
        <v>3896</v>
      </c>
      <c r="B519" s="1" t="s">
        <v>3897</v>
      </c>
    </row>
    <row r="520" customFormat="false" ht="14.25" hidden="false" customHeight="false" outlineLevel="0" collapsed="false">
      <c r="A520" s="1" t="s">
        <v>3898</v>
      </c>
      <c r="B520" s="1" t="s">
        <v>3899</v>
      </c>
    </row>
    <row r="521" customFormat="false" ht="14.25" hidden="false" customHeight="false" outlineLevel="0" collapsed="false">
      <c r="A521" s="1" t="s">
        <v>3900</v>
      </c>
      <c r="B521" s="1" t="s">
        <v>3901</v>
      </c>
    </row>
    <row r="522" customFormat="false" ht="14.25" hidden="false" customHeight="false" outlineLevel="0" collapsed="false">
      <c r="A522" s="1" t="s">
        <v>3902</v>
      </c>
      <c r="B522" s="1" t="s">
        <v>3903</v>
      </c>
    </row>
    <row r="523" customFormat="false" ht="14.25" hidden="false" customHeight="false" outlineLevel="0" collapsed="false">
      <c r="A523" s="1" t="s">
        <v>3904</v>
      </c>
      <c r="B523" s="1" t="s">
        <v>3905</v>
      </c>
    </row>
    <row r="524" customFormat="false" ht="14.25" hidden="false" customHeight="false" outlineLevel="0" collapsed="false">
      <c r="A524" s="1" t="s">
        <v>3906</v>
      </c>
      <c r="B524" s="1" t="s">
        <v>3907</v>
      </c>
    </row>
    <row r="525" customFormat="false" ht="14.25" hidden="false" customHeight="false" outlineLevel="0" collapsed="false">
      <c r="A525" s="1" t="s">
        <v>3908</v>
      </c>
      <c r="B525" s="1" t="s">
        <v>3909</v>
      </c>
    </row>
    <row r="526" customFormat="false" ht="14.25" hidden="false" customHeight="false" outlineLevel="0" collapsed="false">
      <c r="A526" s="1" t="s">
        <v>3910</v>
      </c>
      <c r="B526" s="1" t="s">
        <v>3911</v>
      </c>
    </row>
    <row r="527" customFormat="false" ht="14.25" hidden="false" customHeight="false" outlineLevel="0" collapsed="false">
      <c r="A527" s="1" t="s">
        <v>3912</v>
      </c>
      <c r="B527" s="1" t="s">
        <v>3913</v>
      </c>
    </row>
    <row r="528" customFormat="false" ht="14.25" hidden="false" customHeight="false" outlineLevel="0" collapsed="false">
      <c r="A528" s="1" t="s">
        <v>3914</v>
      </c>
      <c r="B528" s="1" t="s">
        <v>3915</v>
      </c>
    </row>
    <row r="529" customFormat="false" ht="14.25" hidden="false" customHeight="false" outlineLevel="0" collapsed="false">
      <c r="A529" s="1" t="s">
        <v>3916</v>
      </c>
      <c r="B529" s="1" t="s">
        <v>3917</v>
      </c>
    </row>
    <row r="530" customFormat="false" ht="14.25" hidden="false" customHeight="false" outlineLevel="0" collapsed="false">
      <c r="A530" s="1" t="s">
        <v>3918</v>
      </c>
      <c r="B530" s="1" t="s">
        <v>3919</v>
      </c>
    </row>
    <row r="531" customFormat="false" ht="14.25" hidden="false" customHeight="false" outlineLevel="0" collapsed="false">
      <c r="A531" s="1" t="s">
        <v>3920</v>
      </c>
      <c r="B531" s="1" t="s">
        <v>3921</v>
      </c>
    </row>
    <row r="532" customFormat="false" ht="14.25" hidden="false" customHeight="false" outlineLevel="0" collapsed="false">
      <c r="A532" s="1" t="s">
        <v>3922</v>
      </c>
      <c r="B532" s="1" t="s">
        <v>3923</v>
      </c>
    </row>
    <row r="533" customFormat="false" ht="14.25" hidden="false" customHeight="false" outlineLevel="0" collapsed="false">
      <c r="A533" s="1" t="s">
        <v>3924</v>
      </c>
      <c r="B533" s="1" t="s">
        <v>3925</v>
      </c>
    </row>
    <row r="534" customFormat="false" ht="14.25" hidden="false" customHeight="false" outlineLevel="0" collapsed="false">
      <c r="A534" s="1" t="s">
        <v>3926</v>
      </c>
      <c r="B534" s="1" t="s">
        <v>3927</v>
      </c>
    </row>
    <row r="535" customFormat="false" ht="14.25" hidden="false" customHeight="false" outlineLevel="0" collapsed="false">
      <c r="A535" s="1" t="s">
        <v>3928</v>
      </c>
      <c r="B535" s="1" t="s">
        <v>3929</v>
      </c>
    </row>
    <row r="536" customFormat="false" ht="14.25" hidden="false" customHeight="false" outlineLevel="0" collapsed="false">
      <c r="A536" s="1" t="s">
        <v>3930</v>
      </c>
      <c r="B536" s="1" t="s">
        <v>3931</v>
      </c>
    </row>
    <row r="537" customFormat="false" ht="14.25" hidden="false" customHeight="false" outlineLevel="0" collapsed="false">
      <c r="A537" s="1" t="s">
        <v>3932</v>
      </c>
      <c r="B537" s="1" t="s">
        <v>3933</v>
      </c>
    </row>
    <row r="538" customFormat="false" ht="14.25" hidden="false" customHeight="false" outlineLevel="0" collapsed="false">
      <c r="A538" s="1" t="s">
        <v>3934</v>
      </c>
      <c r="B538" s="1" t="s">
        <v>3935</v>
      </c>
    </row>
    <row r="539" customFormat="false" ht="14.25" hidden="false" customHeight="false" outlineLevel="0" collapsed="false">
      <c r="A539" s="1" t="s">
        <v>3936</v>
      </c>
      <c r="B539" s="1" t="s">
        <v>3937</v>
      </c>
    </row>
    <row r="540" customFormat="false" ht="14.25" hidden="false" customHeight="false" outlineLevel="0" collapsed="false">
      <c r="A540" s="1" t="s">
        <v>3938</v>
      </c>
      <c r="B540" s="1" t="s">
        <v>3939</v>
      </c>
    </row>
    <row r="541" customFormat="false" ht="14.25" hidden="false" customHeight="false" outlineLevel="0" collapsed="false">
      <c r="A541" s="1" t="s">
        <v>3940</v>
      </c>
      <c r="B541" s="1" t="s">
        <v>3941</v>
      </c>
    </row>
    <row r="542" customFormat="false" ht="14.25" hidden="false" customHeight="false" outlineLevel="0" collapsed="false">
      <c r="A542" s="1" t="s">
        <v>3942</v>
      </c>
      <c r="B542" s="1" t="s">
        <v>3943</v>
      </c>
    </row>
    <row r="543" customFormat="false" ht="14.25" hidden="false" customHeight="false" outlineLevel="0" collapsed="false">
      <c r="A543" s="1" t="s">
        <v>3944</v>
      </c>
      <c r="B543" s="1" t="s">
        <v>3945</v>
      </c>
    </row>
    <row r="544" customFormat="false" ht="14.25" hidden="false" customHeight="false" outlineLevel="0" collapsed="false">
      <c r="A544" s="1" t="s">
        <v>3946</v>
      </c>
      <c r="B544" s="1" t="s">
        <v>3947</v>
      </c>
    </row>
    <row r="545" customFormat="false" ht="14.25" hidden="false" customHeight="false" outlineLevel="0" collapsed="false">
      <c r="A545" s="1" t="s">
        <v>3948</v>
      </c>
      <c r="B545" s="1" t="s">
        <v>3949</v>
      </c>
    </row>
    <row r="546" customFormat="false" ht="14.25" hidden="false" customHeight="false" outlineLevel="0" collapsed="false">
      <c r="A546" s="1" t="s">
        <v>3950</v>
      </c>
      <c r="B546" s="1" t="s">
        <v>3951</v>
      </c>
    </row>
    <row r="547" customFormat="false" ht="14.25" hidden="false" customHeight="false" outlineLevel="0" collapsed="false">
      <c r="A547" s="1" t="s">
        <v>3952</v>
      </c>
      <c r="B547" s="1" t="s">
        <v>3953</v>
      </c>
    </row>
    <row r="548" customFormat="false" ht="14.25" hidden="false" customHeight="false" outlineLevel="0" collapsed="false">
      <c r="A548" s="1" t="s">
        <v>3954</v>
      </c>
      <c r="B548" s="1" t="s">
        <v>3955</v>
      </c>
    </row>
    <row r="549" customFormat="false" ht="14.25" hidden="false" customHeight="false" outlineLevel="0" collapsed="false">
      <c r="A549" s="1" t="s">
        <v>3956</v>
      </c>
      <c r="B549" s="1" t="s">
        <v>3957</v>
      </c>
    </row>
    <row r="550" customFormat="false" ht="14.25" hidden="false" customHeight="false" outlineLevel="0" collapsed="false">
      <c r="A550" s="1" t="s">
        <v>3958</v>
      </c>
      <c r="B550" s="1" t="s">
        <v>3959</v>
      </c>
    </row>
    <row r="551" customFormat="false" ht="14.25" hidden="false" customHeight="false" outlineLevel="0" collapsed="false">
      <c r="A551" s="1" t="s">
        <v>3960</v>
      </c>
      <c r="B551" s="1" t="s">
        <v>3961</v>
      </c>
    </row>
    <row r="552" customFormat="false" ht="14.25" hidden="false" customHeight="false" outlineLevel="0" collapsed="false">
      <c r="A552" s="1" t="s">
        <v>3962</v>
      </c>
      <c r="B552" s="1" t="s">
        <v>3963</v>
      </c>
    </row>
    <row r="553" customFormat="false" ht="14.25" hidden="false" customHeight="false" outlineLevel="0" collapsed="false">
      <c r="A553" s="1" t="s">
        <v>3964</v>
      </c>
      <c r="B553" s="1" t="s">
        <v>3965</v>
      </c>
    </row>
    <row r="554" customFormat="false" ht="14.25" hidden="false" customHeight="false" outlineLevel="0" collapsed="false">
      <c r="A554" s="1" t="s">
        <v>3966</v>
      </c>
      <c r="B554" s="1" t="s">
        <v>3967</v>
      </c>
    </row>
    <row r="555" customFormat="false" ht="14.25" hidden="false" customHeight="false" outlineLevel="0" collapsed="false">
      <c r="A555" s="1" t="s">
        <v>3968</v>
      </c>
      <c r="B555" s="1" t="s">
        <v>3969</v>
      </c>
    </row>
    <row r="556" customFormat="false" ht="14.25" hidden="false" customHeight="false" outlineLevel="0" collapsed="false">
      <c r="A556" s="1" t="s">
        <v>3970</v>
      </c>
      <c r="B556" s="1" t="s">
        <v>3971</v>
      </c>
    </row>
    <row r="557" customFormat="false" ht="14.25" hidden="false" customHeight="false" outlineLevel="0" collapsed="false">
      <c r="A557" s="1" t="s">
        <v>3972</v>
      </c>
      <c r="B557" s="1" t="s">
        <v>3973</v>
      </c>
    </row>
    <row r="558" customFormat="false" ht="14.25" hidden="false" customHeight="false" outlineLevel="0" collapsed="false">
      <c r="A558" s="1" t="s">
        <v>3974</v>
      </c>
      <c r="B558" s="1" t="s">
        <v>3975</v>
      </c>
    </row>
    <row r="559" customFormat="false" ht="14.25" hidden="false" customHeight="false" outlineLevel="0" collapsed="false">
      <c r="A559" s="1" t="s">
        <v>3976</v>
      </c>
      <c r="B559" s="1" t="s">
        <v>3977</v>
      </c>
    </row>
    <row r="560" customFormat="false" ht="14.25" hidden="false" customHeight="false" outlineLevel="0" collapsed="false">
      <c r="A560" s="1" t="s">
        <v>3978</v>
      </c>
      <c r="B560" s="1" t="s">
        <v>3979</v>
      </c>
    </row>
    <row r="561" customFormat="false" ht="14.25" hidden="false" customHeight="false" outlineLevel="0" collapsed="false">
      <c r="A561" s="1" t="s">
        <v>3980</v>
      </c>
      <c r="B561" s="1" t="s">
        <v>3981</v>
      </c>
    </row>
    <row r="562" customFormat="false" ht="14.25" hidden="false" customHeight="false" outlineLevel="0" collapsed="false">
      <c r="A562" s="1" t="s">
        <v>3982</v>
      </c>
      <c r="B562" s="1" t="s">
        <v>3983</v>
      </c>
    </row>
    <row r="563" customFormat="false" ht="14.25" hidden="false" customHeight="false" outlineLevel="0" collapsed="false">
      <c r="A563" s="1" t="s">
        <v>3984</v>
      </c>
      <c r="B563" s="1" t="s">
        <v>3985</v>
      </c>
    </row>
    <row r="564" customFormat="false" ht="14.25" hidden="false" customHeight="false" outlineLevel="0" collapsed="false">
      <c r="A564" s="1" t="s">
        <v>3986</v>
      </c>
      <c r="B564" s="1" t="s">
        <v>3987</v>
      </c>
    </row>
    <row r="565" customFormat="false" ht="14.25" hidden="false" customHeight="false" outlineLevel="0" collapsed="false">
      <c r="A565" s="1" t="s">
        <v>3988</v>
      </c>
      <c r="B565" s="1" t="s">
        <v>3989</v>
      </c>
    </row>
    <row r="566" customFormat="false" ht="14.25" hidden="false" customHeight="false" outlineLevel="0" collapsed="false">
      <c r="A566" s="1" t="s">
        <v>3990</v>
      </c>
      <c r="B566" s="1" t="s">
        <v>3991</v>
      </c>
    </row>
    <row r="567" customFormat="false" ht="14.25" hidden="false" customHeight="false" outlineLevel="0" collapsed="false">
      <c r="A567" s="1" t="s">
        <v>3992</v>
      </c>
      <c r="B567" s="1" t="s">
        <v>3993</v>
      </c>
    </row>
    <row r="568" customFormat="false" ht="14.25" hidden="false" customHeight="false" outlineLevel="0" collapsed="false">
      <c r="A568" s="1" t="s">
        <v>3994</v>
      </c>
      <c r="B568" s="1" t="s">
        <v>3995</v>
      </c>
    </row>
    <row r="569" customFormat="false" ht="14.25" hidden="false" customHeight="false" outlineLevel="0" collapsed="false">
      <c r="A569" s="1" t="s">
        <v>3996</v>
      </c>
      <c r="B569" s="1" t="s">
        <v>3997</v>
      </c>
    </row>
    <row r="570" customFormat="false" ht="14.25" hidden="false" customHeight="false" outlineLevel="0" collapsed="false">
      <c r="A570" s="1" t="s">
        <v>3998</v>
      </c>
      <c r="B570" s="1" t="s">
        <v>3999</v>
      </c>
    </row>
    <row r="571" customFormat="false" ht="14.25" hidden="false" customHeight="false" outlineLevel="0" collapsed="false">
      <c r="A571" s="1" t="s">
        <v>4000</v>
      </c>
      <c r="B571" s="1" t="s">
        <v>4001</v>
      </c>
    </row>
    <row r="572" customFormat="false" ht="14.25" hidden="false" customHeight="false" outlineLevel="0" collapsed="false">
      <c r="A572" s="1" t="s">
        <v>4002</v>
      </c>
      <c r="B572" s="1" t="s">
        <v>4003</v>
      </c>
    </row>
    <row r="573" customFormat="false" ht="14.25" hidden="false" customHeight="false" outlineLevel="0" collapsed="false">
      <c r="A573" s="1" t="s">
        <v>4004</v>
      </c>
      <c r="B573" s="1" t="s">
        <v>4005</v>
      </c>
    </row>
    <row r="574" customFormat="false" ht="14.25" hidden="false" customHeight="false" outlineLevel="0" collapsed="false">
      <c r="A574" s="1" t="s">
        <v>4006</v>
      </c>
      <c r="B574" s="1" t="s">
        <v>4007</v>
      </c>
    </row>
    <row r="575" customFormat="false" ht="14.25" hidden="false" customHeight="false" outlineLevel="0" collapsed="false">
      <c r="A575" s="1" t="s">
        <v>4008</v>
      </c>
      <c r="B575" s="1" t="s">
        <v>4009</v>
      </c>
    </row>
    <row r="576" customFormat="false" ht="14.25" hidden="false" customHeight="false" outlineLevel="0" collapsed="false">
      <c r="A576" s="1" t="s">
        <v>4010</v>
      </c>
      <c r="B576" s="1" t="s">
        <v>4011</v>
      </c>
    </row>
    <row r="577" customFormat="false" ht="14.25" hidden="false" customHeight="false" outlineLevel="0" collapsed="false">
      <c r="A577" s="1" t="s">
        <v>4012</v>
      </c>
      <c r="B577" s="1" t="s">
        <v>4013</v>
      </c>
    </row>
    <row r="578" customFormat="false" ht="14.25" hidden="false" customHeight="false" outlineLevel="0" collapsed="false">
      <c r="A578" s="1" t="s">
        <v>4014</v>
      </c>
      <c r="B578" s="1" t="s">
        <v>4015</v>
      </c>
    </row>
    <row r="579" customFormat="false" ht="14.25" hidden="false" customHeight="false" outlineLevel="0" collapsed="false">
      <c r="A579" s="1" t="s">
        <v>4016</v>
      </c>
      <c r="B579" s="1" t="s">
        <v>4017</v>
      </c>
    </row>
    <row r="580" customFormat="false" ht="14.25" hidden="false" customHeight="false" outlineLevel="0" collapsed="false">
      <c r="A580" s="1" t="s">
        <v>4018</v>
      </c>
      <c r="B580" s="1" t="s">
        <v>4019</v>
      </c>
    </row>
    <row r="581" customFormat="false" ht="14.25" hidden="false" customHeight="false" outlineLevel="0" collapsed="false">
      <c r="A581" s="1" t="s">
        <v>4020</v>
      </c>
      <c r="B581" s="1" t="s">
        <v>4021</v>
      </c>
    </row>
    <row r="582" customFormat="false" ht="14.25" hidden="false" customHeight="false" outlineLevel="0" collapsed="false">
      <c r="A582" s="1" t="s">
        <v>4022</v>
      </c>
      <c r="B582" s="1" t="s">
        <v>4023</v>
      </c>
    </row>
    <row r="583" customFormat="false" ht="14.25" hidden="false" customHeight="false" outlineLevel="0" collapsed="false">
      <c r="A583" s="1" t="s">
        <v>4024</v>
      </c>
      <c r="B583" s="1" t="s">
        <v>4025</v>
      </c>
    </row>
    <row r="584" customFormat="false" ht="14.25" hidden="false" customHeight="false" outlineLevel="0" collapsed="false">
      <c r="A584" s="1" t="s">
        <v>4026</v>
      </c>
      <c r="B584" s="1" t="s">
        <v>4027</v>
      </c>
    </row>
    <row r="585" customFormat="false" ht="14.25" hidden="false" customHeight="false" outlineLevel="0" collapsed="false">
      <c r="A585" s="1" t="s">
        <v>4028</v>
      </c>
      <c r="B585" s="1" t="s">
        <v>4029</v>
      </c>
    </row>
    <row r="586" customFormat="false" ht="14.25" hidden="false" customHeight="false" outlineLevel="0" collapsed="false">
      <c r="A586" s="1" t="s">
        <v>4030</v>
      </c>
      <c r="B586" s="1" t="s">
        <v>4031</v>
      </c>
    </row>
    <row r="587" customFormat="false" ht="14.25" hidden="false" customHeight="false" outlineLevel="0" collapsed="false">
      <c r="A587" s="1" t="s">
        <v>4032</v>
      </c>
      <c r="B587" s="1" t="s">
        <v>4033</v>
      </c>
    </row>
    <row r="588" customFormat="false" ht="14.25" hidden="false" customHeight="false" outlineLevel="0" collapsed="false">
      <c r="A588" s="1" t="s">
        <v>4034</v>
      </c>
      <c r="B588" s="1" t="s">
        <v>4035</v>
      </c>
    </row>
    <row r="589" customFormat="false" ht="14.25" hidden="false" customHeight="false" outlineLevel="0" collapsed="false">
      <c r="A589" s="1" t="s">
        <v>4036</v>
      </c>
      <c r="B589" s="1" t="s">
        <v>4037</v>
      </c>
    </row>
    <row r="590" customFormat="false" ht="14.25" hidden="false" customHeight="false" outlineLevel="0" collapsed="false">
      <c r="A590" s="1" t="s">
        <v>4038</v>
      </c>
      <c r="B590" s="1" t="s">
        <v>4039</v>
      </c>
    </row>
    <row r="591" customFormat="false" ht="14.25" hidden="false" customHeight="false" outlineLevel="0" collapsed="false">
      <c r="A591" s="1" t="s">
        <v>4040</v>
      </c>
      <c r="B591" s="1" t="s">
        <v>4041</v>
      </c>
    </row>
    <row r="592" customFormat="false" ht="14.25" hidden="false" customHeight="false" outlineLevel="0" collapsed="false">
      <c r="A592" s="1" t="s">
        <v>4042</v>
      </c>
      <c r="B592" s="1" t="s">
        <v>4043</v>
      </c>
    </row>
    <row r="593" customFormat="false" ht="14.25" hidden="false" customHeight="false" outlineLevel="0" collapsed="false">
      <c r="A593" s="1" t="s">
        <v>4044</v>
      </c>
      <c r="B593" s="1" t="s">
        <v>4045</v>
      </c>
    </row>
    <row r="594" customFormat="false" ht="14.25" hidden="false" customHeight="false" outlineLevel="0" collapsed="false">
      <c r="A594" s="1" t="s">
        <v>4046</v>
      </c>
      <c r="B594" s="1" t="s">
        <v>4047</v>
      </c>
    </row>
    <row r="595" customFormat="false" ht="14.25" hidden="false" customHeight="false" outlineLevel="0" collapsed="false">
      <c r="A595" s="1" t="s">
        <v>4048</v>
      </c>
      <c r="B595" s="1" t="s">
        <v>4049</v>
      </c>
    </row>
    <row r="596" customFormat="false" ht="14.25" hidden="false" customHeight="false" outlineLevel="0" collapsed="false">
      <c r="A596" s="1" t="s">
        <v>4050</v>
      </c>
      <c r="B596" s="1" t="s">
        <v>4051</v>
      </c>
    </row>
    <row r="597" customFormat="false" ht="14.25" hidden="false" customHeight="false" outlineLevel="0" collapsed="false">
      <c r="A597" s="1" t="s">
        <v>4052</v>
      </c>
      <c r="B597" s="1" t="s">
        <v>4053</v>
      </c>
    </row>
    <row r="598" customFormat="false" ht="14.25" hidden="false" customHeight="false" outlineLevel="0" collapsed="false">
      <c r="A598" s="1" t="s">
        <v>4054</v>
      </c>
      <c r="B598" s="1" t="s">
        <v>4055</v>
      </c>
    </row>
    <row r="599" customFormat="false" ht="14.25" hidden="false" customHeight="false" outlineLevel="0" collapsed="false">
      <c r="A599" s="1" t="s">
        <v>4056</v>
      </c>
      <c r="B599" s="1" t="s">
        <v>4057</v>
      </c>
    </row>
    <row r="600" customFormat="false" ht="14.25" hidden="false" customHeight="false" outlineLevel="0" collapsed="false">
      <c r="A600" s="1" t="s">
        <v>4058</v>
      </c>
      <c r="B600" s="1" t="s">
        <v>4059</v>
      </c>
    </row>
    <row r="601" customFormat="false" ht="14.25" hidden="false" customHeight="false" outlineLevel="0" collapsed="false">
      <c r="A601" s="1" t="s">
        <v>4060</v>
      </c>
      <c r="B601" s="1" t="s">
        <v>4061</v>
      </c>
    </row>
    <row r="602" customFormat="false" ht="14.25" hidden="false" customHeight="false" outlineLevel="0" collapsed="false">
      <c r="A602" s="1" t="s">
        <v>4062</v>
      </c>
      <c r="B602" s="1" t="s">
        <v>4063</v>
      </c>
    </row>
    <row r="603" customFormat="false" ht="14.25" hidden="false" customHeight="false" outlineLevel="0" collapsed="false">
      <c r="A603" s="1" t="s">
        <v>4064</v>
      </c>
      <c r="B603" s="1" t="s">
        <v>4065</v>
      </c>
    </row>
    <row r="604" customFormat="false" ht="14.25" hidden="false" customHeight="false" outlineLevel="0" collapsed="false">
      <c r="A604" s="1" t="s">
        <v>4066</v>
      </c>
      <c r="B604" s="1" t="s">
        <v>4067</v>
      </c>
    </row>
    <row r="605" customFormat="false" ht="14.25" hidden="false" customHeight="false" outlineLevel="0" collapsed="false">
      <c r="A605" s="1" t="s">
        <v>4068</v>
      </c>
      <c r="B605" s="1" t="s">
        <v>4069</v>
      </c>
    </row>
    <row r="606" customFormat="false" ht="14.25" hidden="false" customHeight="false" outlineLevel="0" collapsed="false">
      <c r="A606" s="1" t="s">
        <v>4070</v>
      </c>
      <c r="B606" s="1" t="s">
        <v>4071</v>
      </c>
    </row>
    <row r="607" customFormat="false" ht="14.25" hidden="false" customHeight="false" outlineLevel="0" collapsed="false">
      <c r="A607" s="1" t="s">
        <v>4072</v>
      </c>
      <c r="B607" s="1" t="s">
        <v>4073</v>
      </c>
    </row>
    <row r="608" customFormat="false" ht="14.25" hidden="false" customHeight="false" outlineLevel="0" collapsed="false">
      <c r="A608" s="1" t="s">
        <v>4074</v>
      </c>
      <c r="B608" s="1" t="s">
        <v>4075</v>
      </c>
    </row>
    <row r="609" customFormat="false" ht="14.25" hidden="false" customHeight="false" outlineLevel="0" collapsed="false">
      <c r="A609" s="1" t="s">
        <v>4076</v>
      </c>
      <c r="B609" s="1" t="s">
        <v>4077</v>
      </c>
    </row>
    <row r="610" customFormat="false" ht="14.25" hidden="false" customHeight="false" outlineLevel="0" collapsed="false">
      <c r="A610" s="1" t="s">
        <v>4078</v>
      </c>
      <c r="B610" s="1" t="s">
        <v>4079</v>
      </c>
    </row>
    <row r="611" customFormat="false" ht="14.25" hidden="false" customHeight="false" outlineLevel="0" collapsed="false">
      <c r="A611" s="1" t="s">
        <v>4080</v>
      </c>
      <c r="B611" s="1" t="s">
        <v>4081</v>
      </c>
    </row>
    <row r="612" customFormat="false" ht="14.25" hidden="false" customHeight="false" outlineLevel="0" collapsed="false">
      <c r="A612" s="1" t="s">
        <v>4082</v>
      </c>
      <c r="B612" s="1" t="s">
        <v>4083</v>
      </c>
    </row>
    <row r="613" customFormat="false" ht="14.25" hidden="false" customHeight="false" outlineLevel="0" collapsed="false">
      <c r="A613" s="1" t="s">
        <v>4084</v>
      </c>
      <c r="B613" s="1" t="s">
        <v>4085</v>
      </c>
    </row>
    <row r="614" customFormat="false" ht="14.25" hidden="false" customHeight="false" outlineLevel="0" collapsed="false">
      <c r="A614" s="1" t="s">
        <v>4086</v>
      </c>
      <c r="B614" s="1" t="s">
        <v>4087</v>
      </c>
    </row>
    <row r="615" customFormat="false" ht="14.25" hidden="false" customHeight="false" outlineLevel="0" collapsed="false">
      <c r="A615" s="1" t="s">
        <v>4088</v>
      </c>
      <c r="B615" s="1" t="s">
        <v>4089</v>
      </c>
    </row>
    <row r="616" customFormat="false" ht="14.25" hidden="false" customHeight="false" outlineLevel="0" collapsed="false">
      <c r="A616" s="1" t="s">
        <v>4090</v>
      </c>
      <c r="B616" s="1" t="s">
        <v>4091</v>
      </c>
    </row>
    <row r="617" customFormat="false" ht="14.25" hidden="false" customHeight="false" outlineLevel="0" collapsed="false">
      <c r="A617" s="1" t="s">
        <v>4092</v>
      </c>
      <c r="B617" s="1" t="s">
        <v>4093</v>
      </c>
    </row>
    <row r="618" customFormat="false" ht="14.25" hidden="false" customHeight="false" outlineLevel="0" collapsed="false">
      <c r="A618" s="1" t="s">
        <v>4094</v>
      </c>
      <c r="B618" s="1" t="s">
        <v>4095</v>
      </c>
    </row>
    <row r="619" customFormat="false" ht="14.25" hidden="false" customHeight="false" outlineLevel="0" collapsed="false">
      <c r="A619" s="1" t="s">
        <v>4096</v>
      </c>
      <c r="B619" s="1" t="s">
        <v>4097</v>
      </c>
    </row>
    <row r="620" customFormat="false" ht="14.25" hidden="false" customHeight="false" outlineLevel="0" collapsed="false">
      <c r="A620" s="1" t="s">
        <v>4098</v>
      </c>
      <c r="B620" s="1" t="s">
        <v>4099</v>
      </c>
    </row>
    <row r="621" customFormat="false" ht="14.25" hidden="false" customHeight="false" outlineLevel="0" collapsed="false">
      <c r="A621" s="1" t="s">
        <v>4100</v>
      </c>
      <c r="B621" s="1" t="s">
        <v>4101</v>
      </c>
    </row>
    <row r="622" customFormat="false" ht="14.25" hidden="false" customHeight="false" outlineLevel="0" collapsed="false">
      <c r="A622" s="1" t="s">
        <v>4102</v>
      </c>
      <c r="B622" s="1" t="s">
        <v>4103</v>
      </c>
    </row>
    <row r="623" customFormat="false" ht="14.25" hidden="false" customHeight="false" outlineLevel="0" collapsed="false">
      <c r="A623" s="1" t="s">
        <v>4104</v>
      </c>
      <c r="B623" s="1" t="s">
        <v>4105</v>
      </c>
    </row>
    <row r="624" customFormat="false" ht="14.25" hidden="false" customHeight="false" outlineLevel="0" collapsed="false">
      <c r="A624" s="1" t="s">
        <v>4106</v>
      </c>
      <c r="B624" s="1" t="s">
        <v>4107</v>
      </c>
    </row>
    <row r="625" customFormat="false" ht="14.25" hidden="false" customHeight="false" outlineLevel="0" collapsed="false">
      <c r="A625" s="1" t="s">
        <v>4108</v>
      </c>
      <c r="B625" s="1" t="s">
        <v>4109</v>
      </c>
    </row>
    <row r="626" customFormat="false" ht="14.25" hidden="false" customHeight="false" outlineLevel="0" collapsed="false">
      <c r="A626" s="1" t="s">
        <v>4110</v>
      </c>
      <c r="B626" s="1" t="s">
        <v>4111</v>
      </c>
    </row>
    <row r="627" customFormat="false" ht="14.25" hidden="false" customHeight="false" outlineLevel="0" collapsed="false">
      <c r="A627" s="1" t="s">
        <v>4112</v>
      </c>
      <c r="B627" s="1" t="s">
        <v>4113</v>
      </c>
    </row>
    <row r="628" customFormat="false" ht="14.25" hidden="false" customHeight="false" outlineLevel="0" collapsed="false">
      <c r="A628" s="1" t="s">
        <v>4114</v>
      </c>
      <c r="B628" s="1" t="s">
        <v>4115</v>
      </c>
    </row>
    <row r="629" customFormat="false" ht="14.25" hidden="false" customHeight="false" outlineLevel="0" collapsed="false">
      <c r="A629" s="1" t="s">
        <v>4116</v>
      </c>
      <c r="B629" s="1" t="s">
        <v>4117</v>
      </c>
    </row>
    <row r="630" customFormat="false" ht="14.25" hidden="false" customHeight="false" outlineLevel="0" collapsed="false">
      <c r="A630" s="1" t="s">
        <v>4118</v>
      </c>
      <c r="B630" s="1" t="s">
        <v>4119</v>
      </c>
    </row>
    <row r="631" customFormat="false" ht="14.25" hidden="false" customHeight="false" outlineLevel="0" collapsed="false">
      <c r="A631" s="1" t="s">
        <v>4120</v>
      </c>
      <c r="B631" s="1" t="s">
        <v>4121</v>
      </c>
    </row>
    <row r="632" customFormat="false" ht="14.25" hidden="false" customHeight="false" outlineLevel="0" collapsed="false">
      <c r="A632" s="1" t="s">
        <v>4122</v>
      </c>
      <c r="B632" s="1" t="s">
        <v>4123</v>
      </c>
    </row>
    <row r="633" customFormat="false" ht="14.25" hidden="false" customHeight="false" outlineLevel="0" collapsed="false">
      <c r="A633" s="1" t="s">
        <v>4124</v>
      </c>
      <c r="B633" s="1" t="s">
        <v>4125</v>
      </c>
    </row>
    <row r="634" customFormat="false" ht="14.25" hidden="false" customHeight="false" outlineLevel="0" collapsed="false">
      <c r="A634" s="1" t="s">
        <v>4126</v>
      </c>
      <c r="B634" s="1" t="s">
        <v>4127</v>
      </c>
    </row>
    <row r="635" customFormat="false" ht="14.25" hidden="false" customHeight="false" outlineLevel="0" collapsed="false">
      <c r="A635" s="1" t="s">
        <v>4128</v>
      </c>
      <c r="B635" s="1" t="s">
        <v>4129</v>
      </c>
    </row>
    <row r="636" customFormat="false" ht="14.25" hidden="false" customHeight="false" outlineLevel="0" collapsed="false">
      <c r="A636" s="1" t="s">
        <v>4130</v>
      </c>
      <c r="B636" s="1" t="s">
        <v>4131</v>
      </c>
    </row>
    <row r="637" customFormat="false" ht="14.25" hidden="false" customHeight="false" outlineLevel="0" collapsed="false">
      <c r="A637" s="1" t="s">
        <v>4132</v>
      </c>
      <c r="B637" s="1" t="s">
        <v>4133</v>
      </c>
    </row>
    <row r="638" customFormat="false" ht="14.25" hidden="false" customHeight="false" outlineLevel="0" collapsed="false">
      <c r="A638" s="1" t="s">
        <v>4134</v>
      </c>
      <c r="B638" s="1" t="s">
        <v>4135</v>
      </c>
    </row>
    <row r="639" customFormat="false" ht="14.25" hidden="false" customHeight="false" outlineLevel="0" collapsed="false">
      <c r="A639" s="1" t="s">
        <v>4136</v>
      </c>
      <c r="B639" s="1" t="s">
        <v>4137</v>
      </c>
    </row>
    <row r="640" customFormat="false" ht="14.25" hidden="false" customHeight="false" outlineLevel="0" collapsed="false">
      <c r="A640" s="1" t="s">
        <v>4138</v>
      </c>
      <c r="B640" s="1" t="s">
        <v>4139</v>
      </c>
    </row>
    <row r="641" customFormat="false" ht="14.25" hidden="false" customHeight="false" outlineLevel="0" collapsed="false">
      <c r="A641" s="1" t="s">
        <v>4140</v>
      </c>
      <c r="B641" s="1" t="s">
        <v>4141</v>
      </c>
    </row>
    <row r="642" customFormat="false" ht="14.25" hidden="false" customHeight="false" outlineLevel="0" collapsed="false">
      <c r="A642" s="1" t="s">
        <v>4142</v>
      </c>
      <c r="B642" s="1" t="s">
        <v>4143</v>
      </c>
    </row>
    <row r="643" customFormat="false" ht="14.25" hidden="false" customHeight="false" outlineLevel="0" collapsed="false">
      <c r="A643" s="1" t="s">
        <v>4144</v>
      </c>
      <c r="B643" s="1" t="s">
        <v>4145</v>
      </c>
    </row>
    <row r="644" customFormat="false" ht="14.25" hidden="false" customHeight="false" outlineLevel="0" collapsed="false">
      <c r="A644" s="1" t="s">
        <v>4146</v>
      </c>
      <c r="B644" s="1" t="s">
        <v>4147</v>
      </c>
    </row>
    <row r="645" customFormat="false" ht="14.25" hidden="false" customHeight="false" outlineLevel="0" collapsed="false">
      <c r="A645" s="1" t="s">
        <v>4148</v>
      </c>
      <c r="B645" s="1" t="s">
        <v>4149</v>
      </c>
    </row>
    <row r="646" customFormat="false" ht="14.25" hidden="false" customHeight="false" outlineLevel="0" collapsed="false">
      <c r="A646" s="1" t="s">
        <v>4150</v>
      </c>
      <c r="B646" s="1" t="s">
        <v>4151</v>
      </c>
    </row>
    <row r="647" customFormat="false" ht="14.25" hidden="false" customHeight="false" outlineLevel="0" collapsed="false">
      <c r="A647" s="1" t="s">
        <v>4152</v>
      </c>
      <c r="B647" s="1" t="s">
        <v>4153</v>
      </c>
    </row>
    <row r="648" customFormat="false" ht="14.25" hidden="false" customHeight="false" outlineLevel="0" collapsed="false">
      <c r="A648" s="1" t="s">
        <v>4154</v>
      </c>
      <c r="B648" s="1" t="s">
        <v>4155</v>
      </c>
    </row>
    <row r="649" customFormat="false" ht="14.25" hidden="false" customHeight="false" outlineLevel="0" collapsed="false">
      <c r="A649" s="1" t="s">
        <v>4156</v>
      </c>
      <c r="B649" s="1" t="s">
        <v>4157</v>
      </c>
    </row>
    <row r="650" customFormat="false" ht="14.25" hidden="false" customHeight="false" outlineLevel="0" collapsed="false">
      <c r="A650" s="1" t="s">
        <v>4158</v>
      </c>
      <c r="B650" s="1" t="s">
        <v>4159</v>
      </c>
    </row>
    <row r="651" customFormat="false" ht="14.25" hidden="false" customHeight="false" outlineLevel="0" collapsed="false">
      <c r="A651" s="1" t="s">
        <v>4160</v>
      </c>
      <c r="B651" s="1" t="s">
        <v>4161</v>
      </c>
    </row>
    <row r="652" customFormat="false" ht="14.25" hidden="false" customHeight="false" outlineLevel="0" collapsed="false">
      <c r="A652" s="1" t="s">
        <v>4162</v>
      </c>
      <c r="B652" s="1" t="s">
        <v>4163</v>
      </c>
    </row>
    <row r="653" customFormat="false" ht="14.25" hidden="false" customHeight="false" outlineLevel="0" collapsed="false">
      <c r="A653" s="1" t="s">
        <v>4164</v>
      </c>
      <c r="B653" s="1" t="s">
        <v>4165</v>
      </c>
    </row>
    <row r="654" customFormat="false" ht="14.25" hidden="false" customHeight="false" outlineLevel="0" collapsed="false">
      <c r="A654" s="1" t="s">
        <v>4166</v>
      </c>
      <c r="B654" s="1" t="s">
        <v>4167</v>
      </c>
    </row>
    <row r="655" customFormat="false" ht="14.25" hidden="false" customHeight="false" outlineLevel="0" collapsed="false">
      <c r="A655" s="1" t="s">
        <v>4168</v>
      </c>
      <c r="B655" s="1" t="s">
        <v>4169</v>
      </c>
    </row>
    <row r="656" customFormat="false" ht="14.25" hidden="false" customHeight="false" outlineLevel="0" collapsed="false">
      <c r="A656" s="1" t="s">
        <v>4170</v>
      </c>
      <c r="B656" s="1" t="s">
        <v>4171</v>
      </c>
    </row>
    <row r="657" customFormat="false" ht="14.25" hidden="false" customHeight="false" outlineLevel="0" collapsed="false">
      <c r="A657" s="1" t="s">
        <v>4172</v>
      </c>
      <c r="B657" s="1" t="s">
        <v>4173</v>
      </c>
    </row>
    <row r="658" customFormat="false" ht="14.25" hidden="false" customHeight="false" outlineLevel="0" collapsed="false">
      <c r="A658" s="1" t="s">
        <v>4174</v>
      </c>
      <c r="B658" s="1" t="s">
        <v>4175</v>
      </c>
    </row>
    <row r="659" customFormat="false" ht="14.25" hidden="false" customHeight="false" outlineLevel="0" collapsed="false">
      <c r="A659" s="1" t="s">
        <v>4176</v>
      </c>
      <c r="B659" s="1" t="s">
        <v>4177</v>
      </c>
    </row>
    <row r="660" customFormat="false" ht="14.25" hidden="false" customHeight="false" outlineLevel="0" collapsed="false">
      <c r="A660" s="1" t="s">
        <v>4178</v>
      </c>
      <c r="B660" s="1" t="s">
        <v>4179</v>
      </c>
    </row>
    <row r="661" customFormat="false" ht="14.25" hidden="false" customHeight="false" outlineLevel="0" collapsed="false">
      <c r="A661" s="1" t="s">
        <v>4180</v>
      </c>
      <c r="B661" s="1" t="s">
        <v>4181</v>
      </c>
    </row>
    <row r="662" customFormat="false" ht="14.25" hidden="false" customHeight="false" outlineLevel="0" collapsed="false">
      <c r="A662" s="1" t="s">
        <v>4182</v>
      </c>
      <c r="B662" s="1" t="s">
        <v>4183</v>
      </c>
    </row>
    <row r="663" customFormat="false" ht="14.25" hidden="false" customHeight="false" outlineLevel="0" collapsed="false">
      <c r="A663" s="1" t="s">
        <v>4184</v>
      </c>
      <c r="B663" s="1" t="s">
        <v>4185</v>
      </c>
    </row>
    <row r="664" customFormat="false" ht="14.25" hidden="false" customHeight="false" outlineLevel="0" collapsed="false">
      <c r="A664" s="1" t="s">
        <v>4186</v>
      </c>
      <c r="B664" s="1" t="s">
        <v>4187</v>
      </c>
    </row>
    <row r="665" customFormat="false" ht="14.25" hidden="false" customHeight="false" outlineLevel="0" collapsed="false">
      <c r="A665" s="1" t="s">
        <v>4188</v>
      </c>
      <c r="B665" s="1" t="s">
        <v>4189</v>
      </c>
    </row>
    <row r="666" customFormat="false" ht="14.25" hidden="false" customHeight="false" outlineLevel="0" collapsed="false">
      <c r="A666" s="1" t="s">
        <v>4190</v>
      </c>
      <c r="B666" s="1" t="s">
        <v>4191</v>
      </c>
    </row>
    <row r="667" customFormat="false" ht="14.25" hidden="false" customHeight="false" outlineLevel="0" collapsed="false">
      <c r="A667" s="1" t="s">
        <v>4192</v>
      </c>
      <c r="B667" s="1" t="s">
        <v>4193</v>
      </c>
    </row>
    <row r="668" customFormat="false" ht="14.25" hidden="false" customHeight="false" outlineLevel="0" collapsed="false">
      <c r="A668" s="1" t="s">
        <v>4194</v>
      </c>
      <c r="B668" s="1" t="s">
        <v>4195</v>
      </c>
    </row>
    <row r="669" customFormat="false" ht="14.25" hidden="false" customHeight="false" outlineLevel="0" collapsed="false">
      <c r="A669" s="1" t="s">
        <v>4196</v>
      </c>
      <c r="B669" s="1" t="s">
        <v>4197</v>
      </c>
    </row>
    <row r="670" customFormat="false" ht="14.25" hidden="false" customHeight="false" outlineLevel="0" collapsed="false">
      <c r="A670" s="1" t="s">
        <v>4198</v>
      </c>
      <c r="B670" s="1" t="s">
        <v>4199</v>
      </c>
    </row>
    <row r="671" customFormat="false" ht="14.25" hidden="false" customHeight="false" outlineLevel="0" collapsed="false">
      <c r="A671" s="1" t="s">
        <v>4200</v>
      </c>
      <c r="B671" s="1" t="s">
        <v>4201</v>
      </c>
    </row>
    <row r="672" customFormat="false" ht="14.25" hidden="false" customHeight="false" outlineLevel="0" collapsed="false">
      <c r="A672" s="1" t="s">
        <v>4202</v>
      </c>
      <c r="B672" s="1" t="s">
        <v>4203</v>
      </c>
    </row>
    <row r="673" customFormat="false" ht="14.25" hidden="false" customHeight="false" outlineLevel="0" collapsed="false">
      <c r="A673" s="1" t="s">
        <v>4204</v>
      </c>
      <c r="B673" s="1" t="s">
        <v>4205</v>
      </c>
    </row>
    <row r="674" customFormat="false" ht="14.25" hidden="false" customHeight="false" outlineLevel="0" collapsed="false">
      <c r="A674" s="1" t="s">
        <v>4206</v>
      </c>
      <c r="B674" s="1" t="s">
        <v>4207</v>
      </c>
    </row>
    <row r="675" customFormat="false" ht="14.25" hidden="false" customHeight="false" outlineLevel="0" collapsed="false">
      <c r="A675" s="1" t="s">
        <v>4208</v>
      </c>
      <c r="B675" s="1" t="s">
        <v>4209</v>
      </c>
    </row>
    <row r="676" customFormat="false" ht="14.25" hidden="false" customHeight="false" outlineLevel="0" collapsed="false">
      <c r="A676" s="1" t="s">
        <v>4210</v>
      </c>
      <c r="B676" s="1" t="s">
        <v>4211</v>
      </c>
    </row>
    <row r="677" customFormat="false" ht="14.25" hidden="false" customHeight="false" outlineLevel="0" collapsed="false">
      <c r="A677" s="1" t="s">
        <v>4212</v>
      </c>
      <c r="B677" s="1" t="s">
        <v>4213</v>
      </c>
    </row>
    <row r="678" customFormat="false" ht="14.25" hidden="false" customHeight="false" outlineLevel="0" collapsed="false">
      <c r="A678" s="1" t="s">
        <v>4214</v>
      </c>
      <c r="B678" s="1" t="s">
        <v>4215</v>
      </c>
    </row>
    <row r="679" customFormat="false" ht="14.25" hidden="false" customHeight="false" outlineLevel="0" collapsed="false">
      <c r="A679" s="1" t="s">
        <v>4216</v>
      </c>
      <c r="B679" s="1" t="s">
        <v>4217</v>
      </c>
    </row>
    <row r="680" customFormat="false" ht="14.25" hidden="false" customHeight="false" outlineLevel="0" collapsed="false">
      <c r="A680" s="1" t="s">
        <v>4218</v>
      </c>
      <c r="B680" s="1" t="s">
        <v>4219</v>
      </c>
    </row>
    <row r="681" customFormat="false" ht="14.25" hidden="false" customHeight="false" outlineLevel="0" collapsed="false">
      <c r="A681" s="1" t="s">
        <v>4220</v>
      </c>
      <c r="B681" s="1" t="s">
        <v>4221</v>
      </c>
    </row>
    <row r="682" customFormat="false" ht="14.25" hidden="false" customHeight="false" outlineLevel="0" collapsed="false">
      <c r="A682" s="1" t="s">
        <v>4222</v>
      </c>
      <c r="B682" s="1" t="s">
        <v>4223</v>
      </c>
    </row>
    <row r="683" customFormat="false" ht="14.25" hidden="false" customHeight="false" outlineLevel="0" collapsed="false">
      <c r="A683" s="1" t="s">
        <v>4224</v>
      </c>
      <c r="B683" s="1" t="s">
        <v>4225</v>
      </c>
    </row>
    <row r="684" customFormat="false" ht="14.25" hidden="false" customHeight="false" outlineLevel="0" collapsed="false">
      <c r="A684" s="1" t="s">
        <v>4226</v>
      </c>
      <c r="B684" s="1" t="s">
        <v>4227</v>
      </c>
    </row>
    <row r="685" customFormat="false" ht="14.25" hidden="false" customHeight="false" outlineLevel="0" collapsed="false">
      <c r="A685" s="1" t="s">
        <v>4228</v>
      </c>
      <c r="B685" s="1" t="s">
        <v>4229</v>
      </c>
    </row>
    <row r="686" customFormat="false" ht="14.25" hidden="false" customHeight="false" outlineLevel="0" collapsed="false">
      <c r="A686" s="1" t="s">
        <v>4230</v>
      </c>
      <c r="B686" s="1" t="s">
        <v>4231</v>
      </c>
    </row>
    <row r="687" customFormat="false" ht="14.25" hidden="false" customHeight="false" outlineLevel="0" collapsed="false">
      <c r="A687" s="1" t="s">
        <v>4232</v>
      </c>
      <c r="B687" s="1" t="s">
        <v>4233</v>
      </c>
    </row>
    <row r="688" customFormat="false" ht="14.25" hidden="false" customHeight="false" outlineLevel="0" collapsed="false">
      <c r="A688" s="1" t="s">
        <v>4234</v>
      </c>
      <c r="B688" s="1" t="s">
        <v>4235</v>
      </c>
    </row>
    <row r="689" customFormat="false" ht="14.25" hidden="false" customHeight="false" outlineLevel="0" collapsed="false">
      <c r="A689" s="1" t="s">
        <v>4236</v>
      </c>
      <c r="B689" s="1" t="s">
        <v>4237</v>
      </c>
    </row>
    <row r="690" customFormat="false" ht="14.25" hidden="false" customHeight="false" outlineLevel="0" collapsed="false">
      <c r="A690" s="1" t="s">
        <v>4238</v>
      </c>
      <c r="B690" s="1" t="s">
        <v>4239</v>
      </c>
    </row>
    <row r="691" customFormat="false" ht="14.25" hidden="false" customHeight="false" outlineLevel="0" collapsed="false">
      <c r="A691" s="1" t="s">
        <v>4240</v>
      </c>
      <c r="B691" s="1" t="s">
        <v>4241</v>
      </c>
    </row>
    <row r="692" customFormat="false" ht="14.25" hidden="false" customHeight="false" outlineLevel="0" collapsed="false">
      <c r="A692" s="1" t="s">
        <v>4242</v>
      </c>
      <c r="B692" s="1" t="s">
        <v>4243</v>
      </c>
    </row>
    <row r="693" customFormat="false" ht="14.25" hidden="false" customHeight="false" outlineLevel="0" collapsed="false">
      <c r="A693" s="1" t="s">
        <v>4244</v>
      </c>
      <c r="B693" s="1" t="s">
        <v>4245</v>
      </c>
    </row>
    <row r="694" customFormat="false" ht="14.25" hidden="false" customHeight="false" outlineLevel="0" collapsed="false">
      <c r="A694" s="1" t="s">
        <v>4246</v>
      </c>
      <c r="B694" s="1" t="s">
        <v>4247</v>
      </c>
    </row>
    <row r="695" customFormat="false" ht="14.25" hidden="false" customHeight="false" outlineLevel="0" collapsed="false">
      <c r="A695" s="1" t="s">
        <v>4248</v>
      </c>
      <c r="B695" s="1" t="s">
        <v>4249</v>
      </c>
    </row>
    <row r="696" customFormat="false" ht="14.25" hidden="false" customHeight="false" outlineLevel="0" collapsed="false">
      <c r="A696" s="1" t="s">
        <v>4250</v>
      </c>
      <c r="B696" s="1" t="s">
        <v>4251</v>
      </c>
    </row>
    <row r="697" customFormat="false" ht="14.25" hidden="false" customHeight="false" outlineLevel="0" collapsed="false">
      <c r="A697" s="1" t="s">
        <v>4252</v>
      </c>
      <c r="B697" s="1" t="s">
        <v>4253</v>
      </c>
    </row>
    <row r="698" customFormat="false" ht="14.25" hidden="false" customHeight="false" outlineLevel="0" collapsed="false">
      <c r="A698" s="1" t="s">
        <v>4254</v>
      </c>
      <c r="B698" s="1" t="s">
        <v>4255</v>
      </c>
    </row>
    <row r="699" customFormat="false" ht="14.25" hidden="false" customHeight="false" outlineLevel="0" collapsed="false">
      <c r="A699" s="1" t="s">
        <v>4256</v>
      </c>
      <c r="B699" s="1" t="s">
        <v>4257</v>
      </c>
    </row>
    <row r="700" customFormat="false" ht="14.25" hidden="false" customHeight="false" outlineLevel="0" collapsed="false">
      <c r="A700" s="1" t="s">
        <v>4258</v>
      </c>
      <c r="B700" s="1" t="s">
        <v>4259</v>
      </c>
    </row>
    <row r="701" customFormat="false" ht="14.25" hidden="false" customHeight="false" outlineLevel="0" collapsed="false">
      <c r="A701" s="1" t="s">
        <v>4260</v>
      </c>
      <c r="B701" s="1" t="s">
        <v>4261</v>
      </c>
    </row>
    <row r="702" customFormat="false" ht="14.25" hidden="false" customHeight="false" outlineLevel="0" collapsed="false">
      <c r="A702" s="1" t="s">
        <v>4262</v>
      </c>
      <c r="B702" s="1" t="s">
        <v>4263</v>
      </c>
    </row>
    <row r="703" customFormat="false" ht="14.25" hidden="false" customHeight="false" outlineLevel="0" collapsed="false">
      <c r="A703" s="1" t="s">
        <v>4264</v>
      </c>
      <c r="B703" s="1" t="s">
        <v>4265</v>
      </c>
    </row>
    <row r="704" customFormat="false" ht="14.25" hidden="false" customHeight="false" outlineLevel="0" collapsed="false">
      <c r="A704" s="1" t="s">
        <v>4266</v>
      </c>
      <c r="B704" s="1" t="s">
        <v>4267</v>
      </c>
    </row>
    <row r="705" customFormat="false" ht="14.25" hidden="false" customHeight="false" outlineLevel="0" collapsed="false">
      <c r="A705" s="1" t="s">
        <v>4268</v>
      </c>
      <c r="B705" s="1" t="s">
        <v>4269</v>
      </c>
    </row>
    <row r="706" customFormat="false" ht="14.25" hidden="false" customHeight="false" outlineLevel="0" collapsed="false">
      <c r="A706" s="1" t="s">
        <v>4270</v>
      </c>
      <c r="B706" s="1" t="s">
        <v>4271</v>
      </c>
    </row>
    <row r="707" customFormat="false" ht="14.25" hidden="false" customHeight="false" outlineLevel="0" collapsed="false">
      <c r="A707" s="1" t="s">
        <v>4272</v>
      </c>
      <c r="B707" s="1" t="s">
        <v>4273</v>
      </c>
    </row>
    <row r="708" customFormat="false" ht="14.25" hidden="false" customHeight="false" outlineLevel="0" collapsed="false">
      <c r="A708" s="1" t="s">
        <v>4274</v>
      </c>
      <c r="B708" s="1" t="s">
        <v>4275</v>
      </c>
    </row>
    <row r="709" customFormat="false" ht="14.25" hidden="false" customHeight="false" outlineLevel="0" collapsed="false">
      <c r="A709" s="1" t="s">
        <v>4276</v>
      </c>
      <c r="B709" s="1" t="s">
        <v>4277</v>
      </c>
    </row>
    <row r="710" customFormat="false" ht="14.25" hidden="false" customHeight="false" outlineLevel="0" collapsed="false">
      <c r="A710" s="1" t="s">
        <v>4278</v>
      </c>
      <c r="B710" s="1" t="s">
        <v>4279</v>
      </c>
    </row>
    <row r="711" customFormat="false" ht="14.25" hidden="false" customHeight="false" outlineLevel="0" collapsed="false">
      <c r="A711" s="1" t="s">
        <v>4280</v>
      </c>
      <c r="B711" s="1" t="s">
        <v>4281</v>
      </c>
    </row>
    <row r="712" customFormat="false" ht="14.25" hidden="false" customHeight="false" outlineLevel="0" collapsed="false">
      <c r="A712" s="1" t="s">
        <v>4282</v>
      </c>
      <c r="B712" s="1" t="s">
        <v>4283</v>
      </c>
    </row>
    <row r="713" customFormat="false" ht="14.25" hidden="false" customHeight="false" outlineLevel="0" collapsed="false">
      <c r="A713" s="1" t="s">
        <v>4284</v>
      </c>
      <c r="B713" s="1" t="s">
        <v>4285</v>
      </c>
    </row>
    <row r="714" customFormat="false" ht="14.25" hidden="false" customHeight="false" outlineLevel="0" collapsed="false">
      <c r="A714" s="1" t="s">
        <v>4286</v>
      </c>
      <c r="B714" s="1" t="s">
        <v>4287</v>
      </c>
    </row>
    <row r="715" customFormat="false" ht="14.25" hidden="false" customHeight="false" outlineLevel="0" collapsed="false">
      <c r="A715" s="1" t="s">
        <v>4288</v>
      </c>
      <c r="B715" s="1" t="s">
        <v>4289</v>
      </c>
    </row>
    <row r="716" customFormat="false" ht="14.25" hidden="false" customHeight="false" outlineLevel="0" collapsed="false">
      <c r="A716" s="1" t="s">
        <v>4290</v>
      </c>
      <c r="B716" s="1" t="s">
        <v>4291</v>
      </c>
    </row>
    <row r="717" customFormat="false" ht="14.25" hidden="false" customHeight="false" outlineLevel="0" collapsed="false">
      <c r="A717" s="1" t="s">
        <v>4292</v>
      </c>
      <c r="B717" s="1" t="s">
        <v>4293</v>
      </c>
    </row>
    <row r="718" customFormat="false" ht="14.25" hidden="false" customHeight="false" outlineLevel="0" collapsed="false">
      <c r="A718" s="1" t="s">
        <v>4294</v>
      </c>
      <c r="B718" s="1" t="s">
        <v>4295</v>
      </c>
    </row>
    <row r="719" customFormat="false" ht="14.25" hidden="false" customHeight="false" outlineLevel="0" collapsed="false">
      <c r="A719" s="1" t="s">
        <v>4296</v>
      </c>
      <c r="B719" s="1" t="s">
        <v>4297</v>
      </c>
    </row>
    <row r="720" customFormat="false" ht="14.25" hidden="false" customHeight="false" outlineLevel="0" collapsed="false">
      <c r="A720" s="1" t="s">
        <v>4298</v>
      </c>
      <c r="B720" s="1" t="s">
        <v>4299</v>
      </c>
    </row>
    <row r="721" customFormat="false" ht="14.25" hidden="false" customHeight="false" outlineLevel="0" collapsed="false">
      <c r="A721" s="1" t="s">
        <v>4300</v>
      </c>
      <c r="B721" s="1" t="s">
        <v>4301</v>
      </c>
    </row>
    <row r="722" customFormat="false" ht="14.25" hidden="false" customHeight="false" outlineLevel="0" collapsed="false">
      <c r="A722" s="1" t="s">
        <v>4302</v>
      </c>
      <c r="B722" s="1" t="s">
        <v>4303</v>
      </c>
    </row>
    <row r="723" customFormat="false" ht="14.25" hidden="false" customHeight="false" outlineLevel="0" collapsed="false">
      <c r="A723" s="1" t="s">
        <v>4304</v>
      </c>
      <c r="B723" s="1" t="s">
        <v>4305</v>
      </c>
    </row>
    <row r="724" customFormat="false" ht="14.25" hidden="false" customHeight="false" outlineLevel="0" collapsed="false">
      <c r="A724" s="1" t="s">
        <v>4306</v>
      </c>
      <c r="B724" s="1" t="s">
        <v>4307</v>
      </c>
    </row>
    <row r="725" customFormat="false" ht="14.25" hidden="false" customHeight="false" outlineLevel="0" collapsed="false">
      <c r="A725" s="1" t="s">
        <v>4308</v>
      </c>
      <c r="B725" s="1" t="s">
        <v>4309</v>
      </c>
    </row>
    <row r="726" customFormat="false" ht="14.25" hidden="false" customHeight="false" outlineLevel="0" collapsed="false">
      <c r="A726" s="1" t="s">
        <v>4310</v>
      </c>
      <c r="B726" s="1" t="s">
        <v>4311</v>
      </c>
    </row>
    <row r="727" customFormat="false" ht="14.25" hidden="false" customHeight="false" outlineLevel="0" collapsed="false">
      <c r="A727" s="1" t="s">
        <v>4312</v>
      </c>
      <c r="B727" s="1" t="s">
        <v>4313</v>
      </c>
    </row>
    <row r="728" customFormat="false" ht="14.25" hidden="false" customHeight="false" outlineLevel="0" collapsed="false">
      <c r="A728" s="1" t="s">
        <v>4314</v>
      </c>
      <c r="B728" s="1" t="s">
        <v>4315</v>
      </c>
    </row>
    <row r="729" customFormat="false" ht="14.25" hidden="false" customHeight="false" outlineLevel="0" collapsed="false">
      <c r="A729" s="1" t="s">
        <v>4316</v>
      </c>
      <c r="B729" s="1" t="s">
        <v>4317</v>
      </c>
    </row>
    <row r="730" customFormat="false" ht="14.25" hidden="false" customHeight="false" outlineLevel="0" collapsed="false">
      <c r="A730" s="1" t="s">
        <v>4318</v>
      </c>
      <c r="B730" s="1" t="s">
        <v>4319</v>
      </c>
    </row>
    <row r="731" customFormat="false" ht="14.25" hidden="false" customHeight="false" outlineLevel="0" collapsed="false">
      <c r="A731" s="1" t="s">
        <v>4320</v>
      </c>
      <c r="B731" s="1" t="s">
        <v>4321</v>
      </c>
    </row>
    <row r="732" customFormat="false" ht="14.25" hidden="false" customHeight="false" outlineLevel="0" collapsed="false">
      <c r="A732" s="1" t="s">
        <v>4322</v>
      </c>
      <c r="B732" s="1" t="s">
        <v>4323</v>
      </c>
    </row>
    <row r="733" customFormat="false" ht="14.25" hidden="false" customHeight="false" outlineLevel="0" collapsed="false">
      <c r="A733" s="1" t="s">
        <v>4324</v>
      </c>
      <c r="B733" s="1" t="s">
        <v>4325</v>
      </c>
    </row>
    <row r="734" customFormat="false" ht="14.25" hidden="false" customHeight="false" outlineLevel="0" collapsed="false">
      <c r="A734" s="1" t="s">
        <v>4326</v>
      </c>
      <c r="B734" s="1" t="s">
        <v>4327</v>
      </c>
    </row>
    <row r="735" customFormat="false" ht="14.25" hidden="false" customHeight="false" outlineLevel="0" collapsed="false">
      <c r="A735" s="1" t="s">
        <v>4328</v>
      </c>
      <c r="B735" s="1" t="s">
        <v>4329</v>
      </c>
    </row>
    <row r="736" customFormat="false" ht="14.25" hidden="false" customHeight="false" outlineLevel="0" collapsed="false">
      <c r="A736" s="1" t="s">
        <v>4330</v>
      </c>
      <c r="B736" s="1" t="s">
        <v>4331</v>
      </c>
    </row>
    <row r="737" customFormat="false" ht="14.25" hidden="false" customHeight="false" outlineLevel="0" collapsed="false">
      <c r="A737" s="1" t="s">
        <v>4332</v>
      </c>
      <c r="B737" s="1" t="s">
        <v>4333</v>
      </c>
    </row>
    <row r="738" customFormat="false" ht="14.25" hidden="false" customHeight="false" outlineLevel="0" collapsed="false">
      <c r="A738" s="1" t="s">
        <v>4334</v>
      </c>
      <c r="B738" s="1" t="s">
        <v>4335</v>
      </c>
    </row>
    <row r="739" customFormat="false" ht="14.25" hidden="false" customHeight="false" outlineLevel="0" collapsed="false">
      <c r="A739" s="1" t="s">
        <v>4336</v>
      </c>
      <c r="B739" s="1" t="s">
        <v>4337</v>
      </c>
    </row>
    <row r="740" customFormat="false" ht="14.25" hidden="false" customHeight="false" outlineLevel="0" collapsed="false">
      <c r="A740" s="1" t="s">
        <v>4338</v>
      </c>
      <c r="B740" s="1" t="s">
        <v>4339</v>
      </c>
    </row>
    <row r="741" customFormat="false" ht="14.25" hidden="false" customHeight="false" outlineLevel="0" collapsed="false">
      <c r="A741" s="1" t="s">
        <v>4340</v>
      </c>
      <c r="B741" s="1" t="s">
        <v>4341</v>
      </c>
    </row>
    <row r="742" customFormat="false" ht="14.25" hidden="false" customHeight="false" outlineLevel="0" collapsed="false">
      <c r="A742" s="1" t="s">
        <v>4342</v>
      </c>
      <c r="B742" s="1" t="s">
        <v>4343</v>
      </c>
    </row>
    <row r="743" customFormat="false" ht="14.25" hidden="false" customHeight="false" outlineLevel="0" collapsed="false">
      <c r="A743" s="1" t="s">
        <v>4344</v>
      </c>
      <c r="B743" s="1" t="s">
        <v>4345</v>
      </c>
    </row>
    <row r="744" customFormat="false" ht="14.25" hidden="false" customHeight="false" outlineLevel="0" collapsed="false">
      <c r="A744" s="1" t="s">
        <v>4346</v>
      </c>
      <c r="B744" s="1" t="s">
        <v>4347</v>
      </c>
    </row>
    <row r="745" customFormat="false" ht="14.25" hidden="false" customHeight="false" outlineLevel="0" collapsed="false">
      <c r="A745" s="1" t="s">
        <v>4348</v>
      </c>
      <c r="B745" s="1" t="s">
        <v>4349</v>
      </c>
    </row>
    <row r="746" customFormat="false" ht="14.25" hidden="false" customHeight="false" outlineLevel="0" collapsed="false">
      <c r="A746" s="1" t="s">
        <v>4350</v>
      </c>
      <c r="B746" s="1" t="s">
        <v>4351</v>
      </c>
    </row>
    <row r="747" customFormat="false" ht="14.25" hidden="false" customHeight="false" outlineLevel="0" collapsed="false">
      <c r="A747" s="1" t="s">
        <v>4352</v>
      </c>
      <c r="B747" s="1" t="s">
        <v>4353</v>
      </c>
    </row>
    <row r="748" customFormat="false" ht="14.25" hidden="false" customHeight="false" outlineLevel="0" collapsed="false">
      <c r="A748" s="1" t="s">
        <v>4354</v>
      </c>
      <c r="B748" s="1" t="s">
        <v>4355</v>
      </c>
    </row>
    <row r="749" customFormat="false" ht="14.25" hidden="false" customHeight="false" outlineLevel="0" collapsed="false">
      <c r="A749" s="1" t="s">
        <v>4356</v>
      </c>
      <c r="B749" s="1" t="s">
        <v>4357</v>
      </c>
    </row>
    <row r="750" customFormat="false" ht="14.25" hidden="false" customHeight="false" outlineLevel="0" collapsed="false">
      <c r="A750" s="1" t="s">
        <v>4358</v>
      </c>
      <c r="B750" s="1" t="s">
        <v>4359</v>
      </c>
    </row>
    <row r="751" customFormat="false" ht="14.25" hidden="false" customHeight="false" outlineLevel="0" collapsed="false">
      <c r="A751" s="1" t="s">
        <v>4360</v>
      </c>
      <c r="B751" s="1" t="s">
        <v>4361</v>
      </c>
    </row>
    <row r="752" customFormat="false" ht="14.25" hidden="false" customHeight="false" outlineLevel="0" collapsed="false">
      <c r="A752" s="1" t="s">
        <v>4362</v>
      </c>
      <c r="B752" s="1" t="s">
        <v>4363</v>
      </c>
    </row>
    <row r="753" customFormat="false" ht="14.25" hidden="false" customHeight="false" outlineLevel="0" collapsed="false">
      <c r="A753" s="1" t="s">
        <v>4364</v>
      </c>
      <c r="B753" s="1" t="s">
        <v>4365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87" min="1" style="1" width="55"/>
  </cols>
  <sheetData>
    <row r="1" customFormat="false" ht="14.25" hidden="false" customHeight="false" outlineLevel="0" collapsed="false">
      <c r="A1" s="1" t="s">
        <v>4366</v>
      </c>
      <c r="B1" s="1" t="s">
        <v>4367</v>
      </c>
      <c r="C1" s="1" t="s">
        <v>4368</v>
      </c>
      <c r="D1" s="1" t="s">
        <v>4369</v>
      </c>
      <c r="E1" s="1" t="s">
        <v>4370</v>
      </c>
      <c r="F1" s="1" t="s">
        <v>4371</v>
      </c>
      <c r="G1" s="1" t="s">
        <v>4372</v>
      </c>
      <c r="H1" s="1" t="s">
        <v>4373</v>
      </c>
      <c r="I1" s="1" t="s">
        <v>4374</v>
      </c>
      <c r="J1" s="1" t="s">
        <v>4375</v>
      </c>
      <c r="K1" s="1" t="s">
        <v>4376</v>
      </c>
      <c r="L1" s="1" t="s">
        <v>4377</v>
      </c>
      <c r="M1" s="1" t="s">
        <v>4378</v>
      </c>
      <c r="N1" s="1" t="s">
        <v>4379</v>
      </c>
      <c r="O1" s="1" t="s">
        <v>4380</v>
      </c>
      <c r="P1" s="1" t="s">
        <v>4381</v>
      </c>
      <c r="Q1" s="1" t="s">
        <v>4382</v>
      </c>
      <c r="R1" s="1" t="s">
        <v>4383</v>
      </c>
      <c r="S1" s="1" t="s">
        <v>4384</v>
      </c>
      <c r="T1" s="1" t="s">
        <v>4385</v>
      </c>
      <c r="U1" s="1" t="s">
        <v>4386</v>
      </c>
      <c r="V1" s="1" t="s">
        <v>4387</v>
      </c>
      <c r="W1" s="1" t="s">
        <v>4388</v>
      </c>
      <c r="X1" s="1" t="s">
        <v>4389</v>
      </c>
      <c r="Y1" s="1" t="s">
        <v>4390</v>
      </c>
      <c r="Z1" s="1" t="s">
        <v>4391</v>
      </c>
      <c r="AA1" s="1" t="s">
        <v>4392</v>
      </c>
      <c r="AB1" s="1" t="s">
        <v>4393</v>
      </c>
      <c r="AC1" s="1" t="s">
        <v>4394</v>
      </c>
      <c r="AD1" s="1" t="s">
        <v>4395</v>
      </c>
      <c r="AE1" s="1" t="s">
        <v>4396</v>
      </c>
      <c r="AF1" s="1" t="s">
        <v>4397</v>
      </c>
      <c r="AG1" s="1" t="s">
        <v>4398</v>
      </c>
      <c r="AH1" s="1" t="s">
        <v>4399</v>
      </c>
      <c r="AI1" s="1" t="s">
        <v>4400</v>
      </c>
      <c r="AJ1" s="1" t="s">
        <v>4401</v>
      </c>
      <c r="AK1" s="1" t="s">
        <v>4402</v>
      </c>
      <c r="AL1" s="1" t="s">
        <v>4403</v>
      </c>
      <c r="AM1" s="1" t="s">
        <v>4404</v>
      </c>
      <c r="AN1" s="1" t="s">
        <v>4405</v>
      </c>
      <c r="AO1" s="1" t="s">
        <v>4406</v>
      </c>
      <c r="AP1" s="1" t="s">
        <v>4407</v>
      </c>
      <c r="AQ1" s="1" t="s">
        <v>4408</v>
      </c>
      <c r="AR1" s="1" t="s">
        <v>4409</v>
      </c>
      <c r="AS1" s="1" t="s">
        <v>4410</v>
      </c>
      <c r="AT1" s="1" t="s">
        <v>4411</v>
      </c>
      <c r="AU1" s="1" t="s">
        <v>4412</v>
      </c>
      <c r="AV1" s="1" t="s">
        <v>4413</v>
      </c>
      <c r="AW1" s="1" t="s">
        <v>4414</v>
      </c>
      <c r="AX1" s="1" t="s">
        <v>4415</v>
      </c>
      <c r="AY1" s="1" t="s">
        <v>4416</v>
      </c>
      <c r="AZ1" s="1" t="s">
        <v>4417</v>
      </c>
      <c r="BA1" s="1" t="s">
        <v>4418</v>
      </c>
      <c r="BB1" s="1" t="s">
        <v>4419</v>
      </c>
      <c r="BC1" s="1" t="s">
        <v>4420</v>
      </c>
      <c r="BD1" s="1" t="s">
        <v>4421</v>
      </c>
      <c r="BE1" s="1" t="s">
        <v>4422</v>
      </c>
      <c r="BF1" s="1" t="s">
        <v>4423</v>
      </c>
      <c r="BG1" s="1" t="s">
        <v>4424</v>
      </c>
      <c r="BH1" s="1" t="s">
        <v>4425</v>
      </c>
      <c r="BI1" s="1" t="s">
        <v>4426</v>
      </c>
      <c r="BJ1" s="1" t="s">
        <v>4427</v>
      </c>
      <c r="BK1" s="1" t="s">
        <v>4428</v>
      </c>
      <c r="BL1" s="1" t="s">
        <v>4429</v>
      </c>
      <c r="BM1" s="1" t="s">
        <v>4430</v>
      </c>
      <c r="BN1" s="1" t="s">
        <v>4431</v>
      </c>
      <c r="BO1" s="1" t="s">
        <v>4432</v>
      </c>
      <c r="BP1" s="1" t="s">
        <v>4433</v>
      </c>
      <c r="BQ1" s="1" t="s">
        <v>4434</v>
      </c>
      <c r="BR1" s="1" t="s">
        <v>4435</v>
      </c>
      <c r="BS1" s="1" t="s">
        <v>4436</v>
      </c>
      <c r="BT1" s="1" t="s">
        <v>4437</v>
      </c>
      <c r="BU1" s="1" t="s">
        <v>4438</v>
      </c>
      <c r="BV1" s="1" t="s">
        <v>4439</v>
      </c>
      <c r="BW1" s="1" t="s">
        <v>4440</v>
      </c>
      <c r="BX1" s="1" t="s">
        <v>4441</v>
      </c>
      <c r="BY1" s="1" t="s">
        <v>4442</v>
      </c>
      <c r="BZ1" s="1" t="s">
        <v>4443</v>
      </c>
      <c r="CA1" s="1" t="s">
        <v>4444</v>
      </c>
      <c r="CB1" s="1" t="s">
        <v>4445</v>
      </c>
      <c r="CC1" s="1" t="s">
        <v>4446</v>
      </c>
      <c r="CD1" s="1" t="s">
        <v>4447</v>
      </c>
      <c r="CE1" s="1" t="s">
        <v>4448</v>
      </c>
      <c r="CF1" s="1" t="s">
        <v>4449</v>
      </c>
      <c r="CG1" s="1" t="s">
        <v>4450</v>
      </c>
      <c r="CH1" s="1" t="s">
        <v>4451</v>
      </c>
      <c r="CI1" s="1" t="s">
        <v>4452</v>
      </c>
      <c r="CJ1" s="1" t="s">
        <v>4453</v>
      </c>
      <c r="CK1" s="1" t="s">
        <v>4454</v>
      </c>
      <c r="CL1" s="1" t="s">
        <v>4455</v>
      </c>
      <c r="CM1" s="1" t="s">
        <v>4456</v>
      </c>
      <c r="CN1" s="1" t="s">
        <v>4457</v>
      </c>
      <c r="CO1" s="1" t="s">
        <v>4458</v>
      </c>
      <c r="CP1" s="1" t="s">
        <v>4459</v>
      </c>
      <c r="CQ1" s="1" t="s">
        <v>4460</v>
      </c>
      <c r="CR1" s="1" t="s">
        <v>4461</v>
      </c>
      <c r="CS1" s="1" t="s">
        <v>4462</v>
      </c>
      <c r="CT1" s="1" t="s">
        <v>4463</v>
      </c>
      <c r="CU1" s="1" t="s">
        <v>4464</v>
      </c>
      <c r="CV1" s="1" t="s">
        <v>4465</v>
      </c>
      <c r="CW1" s="1" t="s">
        <v>4466</v>
      </c>
      <c r="CX1" s="1" t="s">
        <v>4467</v>
      </c>
      <c r="CY1" s="1" t="s">
        <v>4468</v>
      </c>
      <c r="CZ1" s="1" t="s">
        <v>4469</v>
      </c>
      <c r="DA1" s="1" t="s">
        <v>4470</v>
      </c>
      <c r="DB1" s="1" t="s">
        <v>4471</v>
      </c>
      <c r="DC1" s="1" t="s">
        <v>4472</v>
      </c>
      <c r="DD1" s="1" t="s">
        <v>4473</v>
      </c>
      <c r="DE1" s="1" t="s">
        <v>4474</v>
      </c>
      <c r="DF1" s="1" t="s">
        <v>4475</v>
      </c>
      <c r="DG1" s="1" t="s">
        <v>4476</v>
      </c>
      <c r="DH1" s="1" t="s">
        <v>4477</v>
      </c>
      <c r="DI1" s="1" t="s">
        <v>4478</v>
      </c>
      <c r="DJ1" s="1" t="s">
        <v>4479</v>
      </c>
      <c r="DK1" s="1" t="s">
        <v>4480</v>
      </c>
      <c r="DL1" s="1" t="s">
        <v>4481</v>
      </c>
      <c r="DM1" s="1" t="s">
        <v>4482</v>
      </c>
      <c r="DN1" s="1" t="s">
        <v>4483</v>
      </c>
      <c r="DO1" s="1" t="s">
        <v>4484</v>
      </c>
      <c r="DP1" s="1" t="s">
        <v>4485</v>
      </c>
      <c r="DQ1" s="1" t="s">
        <v>4486</v>
      </c>
      <c r="DR1" s="1" t="s">
        <v>4487</v>
      </c>
      <c r="DS1" s="1" t="s">
        <v>4488</v>
      </c>
      <c r="DT1" s="1" t="s">
        <v>4489</v>
      </c>
      <c r="DU1" s="1" t="s">
        <v>4490</v>
      </c>
      <c r="DV1" s="1" t="s">
        <v>4491</v>
      </c>
      <c r="DW1" s="1" t="s">
        <v>4492</v>
      </c>
      <c r="DX1" s="1" t="s">
        <v>4493</v>
      </c>
      <c r="DY1" s="1" t="s">
        <v>4494</v>
      </c>
      <c r="DZ1" s="1" t="s">
        <v>4495</v>
      </c>
      <c r="EA1" s="1" t="s">
        <v>4496</v>
      </c>
      <c r="EB1" s="1" t="s">
        <v>4497</v>
      </c>
      <c r="EC1" s="1" t="s">
        <v>4498</v>
      </c>
      <c r="ED1" s="1" t="s">
        <v>4499</v>
      </c>
      <c r="EE1" s="1" t="s">
        <v>4500</v>
      </c>
      <c r="EF1" s="1" t="s">
        <v>4501</v>
      </c>
      <c r="EG1" s="1" t="s">
        <v>4502</v>
      </c>
      <c r="EH1" s="1" t="s">
        <v>4503</v>
      </c>
      <c r="EI1" s="1" t="s">
        <v>4504</v>
      </c>
      <c r="EJ1" s="1" t="s">
        <v>4505</v>
      </c>
      <c r="EK1" s="1" t="s">
        <v>4506</v>
      </c>
      <c r="EL1" s="1" t="s">
        <v>4507</v>
      </c>
      <c r="EM1" s="1" t="s">
        <v>4508</v>
      </c>
      <c r="EN1" s="1" t="s">
        <v>4509</v>
      </c>
      <c r="EO1" s="1" t="s">
        <v>4510</v>
      </c>
      <c r="EP1" s="1" t="s">
        <v>4511</v>
      </c>
      <c r="EQ1" s="1" t="s">
        <v>4512</v>
      </c>
      <c r="ER1" s="1" t="s">
        <v>4513</v>
      </c>
      <c r="ES1" s="1" t="s">
        <v>4514</v>
      </c>
      <c r="ET1" s="1" t="s">
        <v>4515</v>
      </c>
      <c r="EU1" s="1" t="s">
        <v>4516</v>
      </c>
      <c r="EV1" s="1" t="s">
        <v>4517</v>
      </c>
      <c r="EW1" s="1" t="s">
        <v>4518</v>
      </c>
      <c r="EX1" s="1" t="s">
        <v>4519</v>
      </c>
      <c r="EY1" s="1" t="s">
        <v>4520</v>
      </c>
      <c r="EZ1" s="1" t="s">
        <v>4521</v>
      </c>
      <c r="FA1" s="1" t="s">
        <v>4522</v>
      </c>
      <c r="FB1" s="1" t="s">
        <v>4523</v>
      </c>
      <c r="FC1" s="1" t="s">
        <v>4524</v>
      </c>
      <c r="FD1" s="1" t="s">
        <v>4525</v>
      </c>
      <c r="FE1" s="1" t="s">
        <v>4526</v>
      </c>
      <c r="FF1" s="1" t="s">
        <v>4527</v>
      </c>
      <c r="FG1" s="1" t="s">
        <v>4528</v>
      </c>
      <c r="FH1" s="1" t="s">
        <v>4529</v>
      </c>
      <c r="FI1" s="1" t="s">
        <v>4530</v>
      </c>
      <c r="FJ1" s="1" t="s">
        <v>4531</v>
      </c>
      <c r="FK1" s="1" t="s">
        <v>4532</v>
      </c>
      <c r="FL1" s="1" t="s">
        <v>4533</v>
      </c>
      <c r="FM1" s="1" t="s">
        <v>4534</v>
      </c>
      <c r="FN1" s="1" t="s">
        <v>4535</v>
      </c>
      <c r="FO1" s="1" t="s">
        <v>4536</v>
      </c>
      <c r="FP1" s="1" t="s">
        <v>4537</v>
      </c>
      <c r="FQ1" s="1" t="s">
        <v>4538</v>
      </c>
      <c r="FR1" s="1" t="s">
        <v>4539</v>
      </c>
      <c r="FS1" s="1" t="s">
        <v>4540</v>
      </c>
      <c r="FT1" s="1" t="s">
        <v>4541</v>
      </c>
      <c r="FU1" s="1" t="s">
        <v>4542</v>
      </c>
      <c r="FV1" s="1" t="s">
        <v>4543</v>
      </c>
      <c r="FW1" s="1" t="s">
        <v>4544</v>
      </c>
      <c r="FX1" s="1" t="s">
        <v>4545</v>
      </c>
      <c r="FY1" s="1" t="s">
        <v>4546</v>
      </c>
      <c r="FZ1" s="1" t="s">
        <v>4547</v>
      </c>
      <c r="GA1" s="1" t="s">
        <v>4548</v>
      </c>
      <c r="GB1" s="1" t="s">
        <v>4549</v>
      </c>
      <c r="GC1" s="1" t="s">
        <v>4550</v>
      </c>
      <c r="GD1" s="1" t="s">
        <v>4551</v>
      </c>
      <c r="GE1" s="1" t="s">
        <v>4552</v>
      </c>
      <c r="GF1" s="306" t="s">
        <v>4553</v>
      </c>
    </row>
    <row r="2" customFormat="false" ht="14.25" hidden="false" customHeight="false" outlineLevel="0" collapsed="false">
      <c r="A2" s="1" t="s">
        <v>4554</v>
      </c>
      <c r="B2" s="1" t="s">
        <v>4555</v>
      </c>
      <c r="C2" s="1" t="s">
        <v>4556</v>
      </c>
      <c r="D2" s="1" t="s">
        <v>4557</v>
      </c>
      <c r="E2" s="1" t="s">
        <v>4558</v>
      </c>
      <c r="F2" s="1" t="s">
        <v>4559</v>
      </c>
      <c r="G2" s="1" t="s">
        <v>4560</v>
      </c>
      <c r="H2" s="1" t="s">
        <v>4561</v>
      </c>
      <c r="I2" s="1" t="s">
        <v>4562</v>
      </c>
      <c r="J2" s="1" t="s">
        <v>4563</v>
      </c>
      <c r="K2" s="1" t="s">
        <v>4564</v>
      </c>
      <c r="L2" s="1" t="s">
        <v>4565</v>
      </c>
      <c r="M2" s="1" t="s">
        <v>4566</v>
      </c>
      <c r="N2" s="1" t="s">
        <v>4567</v>
      </c>
      <c r="O2" s="1" t="s">
        <v>4568</v>
      </c>
      <c r="P2" s="1" t="s">
        <v>4569</v>
      </c>
      <c r="Q2" s="1" t="s">
        <v>4570</v>
      </c>
      <c r="R2" s="1" t="s">
        <v>4571</v>
      </c>
      <c r="S2" s="1" t="s">
        <v>4572</v>
      </c>
      <c r="T2" s="1" t="s">
        <v>4573</v>
      </c>
      <c r="U2" s="1" t="s">
        <v>4574</v>
      </c>
      <c r="V2" s="1" t="s">
        <v>4575</v>
      </c>
      <c r="W2" s="1" t="s">
        <v>4576</v>
      </c>
      <c r="X2" s="1" t="s">
        <v>4577</v>
      </c>
      <c r="Y2" s="1" t="s">
        <v>4578</v>
      </c>
      <c r="Z2" s="1" t="s">
        <v>4579</v>
      </c>
      <c r="AA2" s="1" t="s">
        <v>4580</v>
      </c>
      <c r="AB2" s="1" t="s">
        <v>4581</v>
      </c>
      <c r="AC2" s="1" t="s">
        <v>4582</v>
      </c>
      <c r="AD2" s="1" t="s">
        <v>4583</v>
      </c>
      <c r="AE2" s="1" t="s">
        <v>4584</v>
      </c>
      <c r="AF2" s="1" t="s">
        <v>4585</v>
      </c>
      <c r="AG2" s="1" t="s">
        <v>4586</v>
      </c>
      <c r="AH2" s="1" t="s">
        <v>4587</v>
      </c>
      <c r="AI2" s="1" t="s">
        <v>4588</v>
      </c>
      <c r="AJ2" s="1" t="s">
        <v>4589</v>
      </c>
      <c r="AK2" s="1" t="s">
        <v>4590</v>
      </c>
      <c r="AL2" s="1" t="s">
        <v>4591</v>
      </c>
      <c r="AM2" s="1" t="s">
        <v>4592</v>
      </c>
      <c r="AN2" s="1" t="s">
        <v>4593</v>
      </c>
      <c r="AO2" s="1" t="s">
        <v>4594</v>
      </c>
      <c r="AP2" s="1" t="s">
        <v>4595</v>
      </c>
      <c r="AQ2" s="1" t="s">
        <v>4596</v>
      </c>
      <c r="AR2" s="1" t="s">
        <v>4597</v>
      </c>
      <c r="AS2" s="1" t="s">
        <v>4598</v>
      </c>
      <c r="AT2" s="1" t="s">
        <v>4599</v>
      </c>
      <c r="AU2" s="1" t="s">
        <v>4600</v>
      </c>
      <c r="AV2" s="1" t="s">
        <v>4601</v>
      </c>
      <c r="AW2" s="1" t="s">
        <v>4602</v>
      </c>
      <c r="AX2" s="1" t="s">
        <v>4603</v>
      </c>
      <c r="AY2" s="1" t="s">
        <v>4604</v>
      </c>
      <c r="AZ2" s="1" t="s">
        <v>4605</v>
      </c>
      <c r="BA2" s="1" t="s">
        <v>4606</v>
      </c>
      <c r="BB2" s="1" t="s">
        <v>4607</v>
      </c>
      <c r="BC2" s="1" t="s">
        <v>4608</v>
      </c>
      <c r="BD2" s="1" t="s">
        <v>4609</v>
      </c>
      <c r="BE2" s="1" t="s">
        <v>4610</v>
      </c>
      <c r="BF2" s="1" t="s">
        <v>4611</v>
      </c>
      <c r="BG2" s="1" t="s">
        <v>4612</v>
      </c>
      <c r="BH2" s="1" t="s">
        <v>4613</v>
      </c>
      <c r="BI2" s="1" t="s">
        <v>4614</v>
      </c>
      <c r="BJ2" s="1" t="s">
        <v>4615</v>
      </c>
      <c r="BK2" s="1" t="s">
        <v>4616</v>
      </c>
      <c r="BL2" s="1" t="s">
        <v>4617</v>
      </c>
      <c r="BM2" s="1" t="s">
        <v>4618</v>
      </c>
      <c r="BN2" s="1" t="s">
        <v>4619</v>
      </c>
      <c r="BO2" s="1" t="s">
        <v>4620</v>
      </c>
      <c r="BP2" s="1" t="s">
        <v>4621</v>
      </c>
      <c r="BQ2" s="1" t="s">
        <v>4622</v>
      </c>
      <c r="BR2" s="1" t="s">
        <v>4623</v>
      </c>
      <c r="BS2" s="1" t="s">
        <v>4624</v>
      </c>
      <c r="BT2" s="1" t="s">
        <v>4625</v>
      </c>
      <c r="BU2" s="1" t="s">
        <v>4626</v>
      </c>
      <c r="BV2" s="1" t="s">
        <v>4627</v>
      </c>
      <c r="BW2" s="1" t="s">
        <v>4628</v>
      </c>
      <c r="BX2" s="1" t="s">
        <v>4629</v>
      </c>
      <c r="BY2" s="1" t="s">
        <v>4630</v>
      </c>
      <c r="BZ2" s="1" t="s">
        <v>4631</v>
      </c>
      <c r="CA2" s="1" t="s">
        <v>4632</v>
      </c>
      <c r="CB2" s="1" t="s">
        <v>4633</v>
      </c>
      <c r="CC2" s="1" t="s">
        <v>4634</v>
      </c>
      <c r="CD2" s="1" t="s">
        <v>4635</v>
      </c>
      <c r="CE2" s="1" t="s">
        <v>4636</v>
      </c>
      <c r="CF2" s="1" t="s">
        <v>4637</v>
      </c>
      <c r="CG2" s="1" t="s">
        <v>4638</v>
      </c>
      <c r="CH2" s="1" t="s">
        <v>4639</v>
      </c>
      <c r="CI2" s="1" t="s">
        <v>4640</v>
      </c>
      <c r="CJ2" s="1" t="s">
        <v>4641</v>
      </c>
      <c r="CK2" s="1" t="s">
        <v>4642</v>
      </c>
      <c r="CL2" s="1" t="s">
        <v>4643</v>
      </c>
      <c r="CM2" s="1" t="s">
        <v>4644</v>
      </c>
      <c r="CN2" s="1" t="s">
        <v>4645</v>
      </c>
      <c r="CO2" s="1" t="s">
        <v>4646</v>
      </c>
      <c r="CP2" s="1" t="s">
        <v>4647</v>
      </c>
      <c r="CQ2" s="1" t="s">
        <v>4648</v>
      </c>
      <c r="CR2" s="1" t="s">
        <v>4649</v>
      </c>
      <c r="CS2" s="1" t="s">
        <v>4650</v>
      </c>
      <c r="CT2" s="1" t="s">
        <v>4651</v>
      </c>
      <c r="CU2" s="1" t="s">
        <v>4652</v>
      </c>
      <c r="CV2" s="1" t="s">
        <v>4653</v>
      </c>
      <c r="CW2" s="1" t="s">
        <v>4654</v>
      </c>
      <c r="CX2" s="1" t="s">
        <v>4655</v>
      </c>
      <c r="CY2" s="1" t="s">
        <v>4656</v>
      </c>
      <c r="CZ2" s="1" t="s">
        <v>4657</v>
      </c>
      <c r="DA2" s="1" t="s">
        <v>4658</v>
      </c>
      <c r="DB2" s="1" t="s">
        <v>4659</v>
      </c>
      <c r="DC2" s="1" t="s">
        <v>4660</v>
      </c>
      <c r="DD2" s="1" t="s">
        <v>4661</v>
      </c>
      <c r="DE2" s="1" t="s">
        <v>4662</v>
      </c>
      <c r="DF2" s="1" t="s">
        <v>4663</v>
      </c>
      <c r="DG2" s="1" t="s">
        <v>4664</v>
      </c>
      <c r="DH2" s="1" t="s">
        <v>4665</v>
      </c>
      <c r="DI2" s="1" t="s">
        <v>4666</v>
      </c>
      <c r="DJ2" s="1" t="s">
        <v>4667</v>
      </c>
      <c r="DK2" s="1" t="s">
        <v>4668</v>
      </c>
      <c r="DL2" s="1" t="s">
        <v>4669</v>
      </c>
      <c r="DM2" s="1" t="s">
        <v>4670</v>
      </c>
      <c r="DN2" s="1" t="s">
        <v>4671</v>
      </c>
      <c r="DO2" s="1" t="s">
        <v>4672</v>
      </c>
      <c r="DP2" s="1" t="s">
        <v>4673</v>
      </c>
      <c r="DQ2" s="1" t="s">
        <v>4674</v>
      </c>
      <c r="DR2" s="1" t="s">
        <v>4675</v>
      </c>
      <c r="DS2" s="1" t="s">
        <v>4676</v>
      </c>
      <c r="DT2" s="1" t="s">
        <v>4677</v>
      </c>
      <c r="DU2" s="1" t="s">
        <v>4678</v>
      </c>
      <c r="DV2" s="1" t="s">
        <v>4679</v>
      </c>
      <c r="DW2" s="1" t="s">
        <v>4680</v>
      </c>
      <c r="DX2" s="1" t="s">
        <v>4681</v>
      </c>
      <c r="DY2" s="1" t="s">
        <v>4682</v>
      </c>
      <c r="DZ2" s="1" t="s">
        <v>4683</v>
      </c>
      <c r="EA2" s="1" t="s">
        <v>4684</v>
      </c>
      <c r="EB2" s="1" t="s">
        <v>4685</v>
      </c>
      <c r="EC2" s="1" t="s">
        <v>4686</v>
      </c>
      <c r="ED2" s="1" t="s">
        <v>4687</v>
      </c>
      <c r="EE2" s="1" t="s">
        <v>4688</v>
      </c>
      <c r="EF2" s="1" t="s">
        <v>4689</v>
      </c>
      <c r="EG2" s="1" t="s">
        <v>4690</v>
      </c>
      <c r="EH2" s="1" t="s">
        <v>4691</v>
      </c>
      <c r="EI2" s="1" t="s">
        <v>4692</v>
      </c>
      <c r="EJ2" s="1" t="s">
        <v>4693</v>
      </c>
      <c r="EK2" s="1" t="s">
        <v>4694</v>
      </c>
      <c r="EL2" s="1" t="s">
        <v>4695</v>
      </c>
      <c r="EM2" s="1" t="s">
        <v>4696</v>
      </c>
      <c r="EN2" s="1" t="s">
        <v>4697</v>
      </c>
      <c r="EO2" s="1" t="s">
        <v>4698</v>
      </c>
      <c r="EP2" s="1" t="s">
        <v>4699</v>
      </c>
      <c r="EQ2" s="1" t="s">
        <v>4700</v>
      </c>
      <c r="ER2" s="1" t="s">
        <v>4701</v>
      </c>
      <c r="ES2" s="1" t="s">
        <v>4702</v>
      </c>
      <c r="ET2" s="1" t="s">
        <v>4703</v>
      </c>
      <c r="EU2" s="1" t="s">
        <v>4704</v>
      </c>
      <c r="EV2" s="1" t="s">
        <v>4705</v>
      </c>
      <c r="EW2" s="1" t="s">
        <v>4706</v>
      </c>
      <c r="EX2" s="1" t="s">
        <v>4707</v>
      </c>
      <c r="EY2" s="1" t="s">
        <v>4708</v>
      </c>
      <c r="EZ2" s="1" t="s">
        <v>4709</v>
      </c>
      <c r="FA2" s="1" t="s">
        <v>4710</v>
      </c>
      <c r="FB2" s="1" t="s">
        <v>4711</v>
      </c>
      <c r="FC2" s="1" t="s">
        <v>4712</v>
      </c>
      <c r="FD2" s="1" t="s">
        <v>4713</v>
      </c>
      <c r="FE2" s="1" t="s">
        <v>4714</v>
      </c>
      <c r="FF2" s="1" t="s">
        <v>4715</v>
      </c>
      <c r="FG2" s="1" t="s">
        <v>4716</v>
      </c>
      <c r="FH2" s="1" t="s">
        <v>4717</v>
      </c>
      <c r="FI2" s="1" t="s">
        <v>4718</v>
      </c>
      <c r="FJ2" s="1" t="s">
        <v>4719</v>
      </c>
      <c r="FK2" s="1" t="s">
        <v>4720</v>
      </c>
      <c r="FL2" s="1" t="s">
        <v>4721</v>
      </c>
      <c r="FM2" s="1" t="s">
        <v>4722</v>
      </c>
      <c r="FN2" s="1" t="s">
        <v>4723</v>
      </c>
      <c r="FO2" s="1" t="s">
        <v>4724</v>
      </c>
      <c r="FP2" s="1" t="s">
        <v>4725</v>
      </c>
      <c r="FQ2" s="1" t="s">
        <v>4726</v>
      </c>
      <c r="FR2" s="1" t="s">
        <v>4727</v>
      </c>
      <c r="FS2" s="1" t="s">
        <v>4728</v>
      </c>
      <c r="FT2" s="1" t="s">
        <v>4729</v>
      </c>
      <c r="FU2" s="1" t="s">
        <v>4730</v>
      </c>
      <c r="FV2" s="1" t="s">
        <v>4731</v>
      </c>
      <c r="FW2" s="1" t="s">
        <v>4732</v>
      </c>
      <c r="FX2" s="1" t="s">
        <v>4733</v>
      </c>
      <c r="FY2" s="1" t="s">
        <v>4734</v>
      </c>
      <c r="FZ2" s="1" t="s">
        <v>4735</v>
      </c>
      <c r="GA2" s="1" t="s">
        <v>4736</v>
      </c>
      <c r="GB2" s="1" t="s">
        <v>4737</v>
      </c>
      <c r="GC2" s="1" t="s">
        <v>4738</v>
      </c>
      <c r="GD2" s="1" t="s">
        <v>4739</v>
      </c>
      <c r="GE2" s="1" t="s">
        <v>4740</v>
      </c>
      <c r="GF2" s="306" t="s">
        <v>4741</v>
      </c>
    </row>
    <row r="3" customFormat="false" ht="14.25" hidden="false" customHeight="false" outlineLevel="0" collapsed="false">
      <c r="A3" s="1" t="s">
        <v>4742</v>
      </c>
      <c r="B3" s="1" t="s">
        <v>4743</v>
      </c>
      <c r="C3" s="1" t="s">
        <v>4744</v>
      </c>
      <c r="D3" s="1" t="s">
        <v>4745</v>
      </c>
      <c r="E3" s="1" t="s">
        <v>4746</v>
      </c>
      <c r="F3" s="1" t="s">
        <v>4747</v>
      </c>
      <c r="G3" s="1" t="s">
        <v>4748</v>
      </c>
      <c r="H3" s="1" t="s">
        <v>4749</v>
      </c>
      <c r="I3" s="1" t="s">
        <v>4750</v>
      </c>
      <c r="J3" s="1" t="s">
        <v>4751</v>
      </c>
      <c r="K3" s="1" t="s">
        <v>4752</v>
      </c>
      <c r="L3" s="1" t="s">
        <v>4753</v>
      </c>
      <c r="M3" s="1" t="s">
        <v>4754</v>
      </c>
      <c r="N3" s="1" t="s">
        <v>4755</v>
      </c>
      <c r="O3" s="1" t="s">
        <v>4756</v>
      </c>
      <c r="P3" s="1" t="s">
        <v>4757</v>
      </c>
      <c r="Q3" s="1" t="s">
        <v>4758</v>
      </c>
      <c r="R3" s="1" t="s">
        <v>4759</v>
      </c>
      <c r="S3" s="1" t="s">
        <v>4760</v>
      </c>
      <c r="T3" s="1" t="s">
        <v>4761</v>
      </c>
      <c r="U3" s="1" t="s">
        <v>4762</v>
      </c>
      <c r="V3" s="1" t="s">
        <v>4763</v>
      </c>
      <c r="W3" s="1" t="s">
        <v>4764</v>
      </c>
      <c r="X3" s="1" t="s">
        <v>4765</v>
      </c>
      <c r="Y3" s="1" t="s">
        <v>4766</v>
      </c>
      <c r="Z3" s="1" t="s">
        <v>4767</v>
      </c>
      <c r="AA3" s="1" t="s">
        <v>4768</v>
      </c>
      <c r="AB3" s="1" t="s">
        <v>4769</v>
      </c>
      <c r="AC3" s="1" t="s">
        <v>4770</v>
      </c>
      <c r="AD3" s="1" t="s">
        <v>4771</v>
      </c>
      <c r="AE3" s="1" t="s">
        <v>4772</v>
      </c>
      <c r="AF3" s="1" t="s">
        <v>4773</v>
      </c>
      <c r="AG3" s="1" t="s">
        <v>4774</v>
      </c>
      <c r="AH3" s="1" t="s">
        <v>4775</v>
      </c>
      <c r="AI3" s="1" t="s">
        <v>4776</v>
      </c>
      <c r="AJ3" s="1" t="s">
        <v>4777</v>
      </c>
      <c r="AK3" s="1" t="s">
        <v>4778</v>
      </c>
      <c r="AL3" s="1" t="s">
        <v>4779</v>
      </c>
      <c r="AM3" s="1" t="s">
        <v>4780</v>
      </c>
      <c r="AN3" s="1" t="s">
        <v>4781</v>
      </c>
      <c r="AO3" s="1" t="s">
        <v>4782</v>
      </c>
      <c r="AP3" s="1" t="s">
        <v>4783</v>
      </c>
      <c r="AQ3" s="1" t="s">
        <v>4784</v>
      </c>
      <c r="AR3" s="1" t="s">
        <v>4785</v>
      </c>
      <c r="AS3" s="1" t="s">
        <v>4786</v>
      </c>
      <c r="AT3" s="1" t="s">
        <v>4787</v>
      </c>
      <c r="AU3" s="1" t="s">
        <v>4788</v>
      </c>
      <c r="AV3" s="1" t="s">
        <v>4789</v>
      </c>
      <c r="AW3" s="1" t="s">
        <v>4790</v>
      </c>
      <c r="AX3" s="1" t="s">
        <v>4791</v>
      </c>
      <c r="AY3" s="1" t="s">
        <v>4792</v>
      </c>
      <c r="AZ3" s="1" t="s">
        <v>4793</v>
      </c>
      <c r="BA3" s="1" t="s">
        <v>4794</v>
      </c>
      <c r="BB3" s="1" t="s">
        <v>4795</v>
      </c>
      <c r="BC3" s="1" t="s">
        <v>4796</v>
      </c>
      <c r="BD3" s="1" t="s">
        <v>4797</v>
      </c>
      <c r="BE3" s="1" t="s">
        <v>4798</v>
      </c>
      <c r="BF3" s="1" t="s">
        <v>4799</v>
      </c>
      <c r="BG3" s="1" t="s">
        <v>4800</v>
      </c>
      <c r="BH3" s="1" t="s">
        <v>4801</v>
      </c>
      <c r="BI3" s="1" t="s">
        <v>4802</v>
      </c>
      <c r="BJ3" s="1" t="s">
        <v>4803</v>
      </c>
      <c r="BK3" s="1" t="s">
        <v>4804</v>
      </c>
      <c r="BL3" s="1" t="s">
        <v>4805</v>
      </c>
      <c r="BM3" s="1" t="s">
        <v>4806</v>
      </c>
      <c r="BN3" s="1" t="s">
        <v>4807</v>
      </c>
      <c r="BO3" s="1" t="s">
        <v>4808</v>
      </c>
      <c r="BP3" s="1" t="s">
        <v>4809</v>
      </c>
      <c r="BQ3" s="1" t="s">
        <v>4810</v>
      </c>
      <c r="BR3" s="1" t="s">
        <v>4811</v>
      </c>
      <c r="BS3" s="1" t="s">
        <v>4812</v>
      </c>
      <c r="BT3" s="1" t="s">
        <v>4813</v>
      </c>
      <c r="BU3" s="1" t="s">
        <v>4814</v>
      </c>
      <c r="BV3" s="1" t="s">
        <v>4815</v>
      </c>
      <c r="BW3" s="1" t="s">
        <v>4816</v>
      </c>
      <c r="BX3" s="1" t="s">
        <v>4817</v>
      </c>
      <c r="BY3" s="1" t="s">
        <v>4818</v>
      </c>
      <c r="BZ3" s="1" t="s">
        <v>4819</v>
      </c>
      <c r="CA3" s="1" t="s">
        <v>4820</v>
      </c>
      <c r="CB3" s="1" t="s">
        <v>4821</v>
      </c>
      <c r="CC3" s="1" t="s">
        <v>4822</v>
      </c>
      <c r="CD3" s="1" t="s">
        <v>4823</v>
      </c>
      <c r="CE3" s="1" t="s">
        <v>4824</v>
      </c>
      <c r="CF3" s="1" t="s">
        <v>4825</v>
      </c>
      <c r="CG3" s="1" t="s">
        <v>4826</v>
      </c>
      <c r="CH3" s="1" t="s">
        <v>4827</v>
      </c>
      <c r="CI3" s="1" t="s">
        <v>4828</v>
      </c>
      <c r="CJ3" s="1" t="s">
        <v>4829</v>
      </c>
      <c r="CK3" s="1" t="s">
        <v>4830</v>
      </c>
      <c r="CL3" s="1" t="s">
        <v>4831</v>
      </c>
      <c r="CM3" s="1" t="s">
        <v>4832</v>
      </c>
      <c r="CN3" s="1" t="s">
        <v>4833</v>
      </c>
      <c r="CO3" s="1" t="s">
        <v>4834</v>
      </c>
      <c r="CP3" s="1" t="s">
        <v>4835</v>
      </c>
      <c r="CQ3" s="1" t="s">
        <v>4836</v>
      </c>
      <c r="CR3" s="1" t="s">
        <v>4837</v>
      </c>
      <c r="CS3" s="1" t="s">
        <v>4838</v>
      </c>
      <c r="CT3" s="1" t="s">
        <v>4839</v>
      </c>
      <c r="CU3" s="1" t="s">
        <v>4840</v>
      </c>
      <c r="CV3" s="1" t="s">
        <v>4841</v>
      </c>
      <c r="CW3" s="1" t="s">
        <v>4842</v>
      </c>
      <c r="CX3" s="1" t="s">
        <v>4843</v>
      </c>
      <c r="CY3" s="1" t="s">
        <v>4844</v>
      </c>
      <c r="CZ3" s="1" t="s">
        <v>4845</v>
      </c>
      <c r="DA3" s="1" t="s">
        <v>4846</v>
      </c>
      <c r="DB3" s="1" t="s">
        <v>4847</v>
      </c>
      <c r="DC3" s="1" t="s">
        <v>4848</v>
      </c>
      <c r="DD3" s="1" t="s">
        <v>4849</v>
      </c>
      <c r="DE3" s="1" t="s">
        <v>4850</v>
      </c>
      <c r="DF3" s="1" t="s">
        <v>4851</v>
      </c>
      <c r="DG3" s="1" t="s">
        <v>4852</v>
      </c>
      <c r="DH3" s="1" t="s">
        <v>4853</v>
      </c>
      <c r="DI3" s="1" t="s">
        <v>4854</v>
      </c>
      <c r="DJ3" s="1" t="s">
        <v>4855</v>
      </c>
      <c r="DK3" s="1" t="s">
        <v>4856</v>
      </c>
      <c r="DL3" s="1" t="s">
        <v>4857</v>
      </c>
      <c r="DM3" s="1" t="s">
        <v>4858</v>
      </c>
      <c r="DN3" s="1" t="s">
        <v>4859</v>
      </c>
      <c r="DO3" s="1" t="s">
        <v>4860</v>
      </c>
      <c r="DP3" s="1" t="s">
        <v>4861</v>
      </c>
      <c r="DQ3" s="1" t="s">
        <v>4862</v>
      </c>
      <c r="DR3" s="1" t="s">
        <v>4863</v>
      </c>
      <c r="DS3" s="1" t="s">
        <v>4864</v>
      </c>
      <c r="DT3" s="1" t="s">
        <v>4865</v>
      </c>
      <c r="DU3" s="1" t="s">
        <v>4866</v>
      </c>
      <c r="DV3" s="1" t="s">
        <v>4867</v>
      </c>
      <c r="DW3" s="1" t="s">
        <v>4868</v>
      </c>
      <c r="DX3" s="1" t="s">
        <v>4869</v>
      </c>
      <c r="DY3" s="1" t="s">
        <v>4870</v>
      </c>
      <c r="DZ3" s="1" t="s">
        <v>4871</v>
      </c>
      <c r="EA3" s="1" t="s">
        <v>4872</v>
      </c>
      <c r="EB3" s="1" t="s">
        <v>4873</v>
      </c>
      <c r="EC3" s="1" t="s">
        <v>4874</v>
      </c>
      <c r="ED3" s="1" t="s">
        <v>4875</v>
      </c>
      <c r="EE3" s="1" t="s">
        <v>4876</v>
      </c>
      <c r="EF3" s="1" t="s">
        <v>4877</v>
      </c>
      <c r="EG3" s="1" t="s">
        <v>4878</v>
      </c>
      <c r="EH3" s="1" t="s">
        <v>4879</v>
      </c>
      <c r="EI3" s="1" t="s">
        <v>4880</v>
      </c>
      <c r="EJ3" s="1" t="s">
        <v>4881</v>
      </c>
      <c r="EK3" s="1" t="s">
        <v>4882</v>
      </c>
      <c r="EL3" s="1" t="s">
        <v>4883</v>
      </c>
      <c r="EM3" s="1" t="s">
        <v>4884</v>
      </c>
      <c r="EN3" s="1" t="s">
        <v>4885</v>
      </c>
      <c r="EO3" s="1" t="s">
        <v>4886</v>
      </c>
      <c r="EP3" s="1" t="s">
        <v>4887</v>
      </c>
      <c r="EQ3" s="1" t="s">
        <v>4888</v>
      </c>
      <c r="ER3" s="1" t="s">
        <v>4889</v>
      </c>
      <c r="ES3" s="1" t="s">
        <v>4890</v>
      </c>
      <c r="ET3" s="1" t="s">
        <v>4891</v>
      </c>
      <c r="EU3" s="1" t="s">
        <v>4892</v>
      </c>
      <c r="EV3" s="1" t="s">
        <v>4893</v>
      </c>
      <c r="EW3" s="1" t="s">
        <v>4894</v>
      </c>
      <c r="EX3" s="1" t="s">
        <v>4895</v>
      </c>
      <c r="EY3" s="1" t="s">
        <v>4896</v>
      </c>
      <c r="EZ3" s="1" t="s">
        <v>4897</v>
      </c>
      <c r="FA3" s="1" t="s">
        <v>4898</v>
      </c>
      <c r="FB3" s="1" t="s">
        <v>4899</v>
      </c>
      <c r="FC3" s="1" t="s">
        <v>4900</v>
      </c>
      <c r="FD3" s="1" t="s">
        <v>4901</v>
      </c>
      <c r="FE3" s="1" t="s">
        <v>4902</v>
      </c>
      <c r="FF3" s="1" t="s">
        <v>4903</v>
      </c>
      <c r="FG3" s="1" t="s">
        <v>4904</v>
      </c>
      <c r="FH3" s="1" t="s">
        <v>4905</v>
      </c>
      <c r="FI3" s="1" t="s">
        <v>4906</v>
      </c>
      <c r="FJ3" s="1" t="s">
        <v>4907</v>
      </c>
      <c r="FK3" s="1" t="s">
        <v>4908</v>
      </c>
      <c r="FL3" s="1" t="s">
        <v>4909</v>
      </c>
      <c r="FM3" s="1" t="s">
        <v>4910</v>
      </c>
      <c r="FN3" s="1" t="s">
        <v>4911</v>
      </c>
      <c r="FO3" s="1" t="s">
        <v>4912</v>
      </c>
      <c r="FP3" s="1" t="s">
        <v>4913</v>
      </c>
      <c r="FQ3" s="1" t="s">
        <v>4914</v>
      </c>
      <c r="FR3" s="1" t="s">
        <v>4915</v>
      </c>
      <c r="FS3" s="1" t="s">
        <v>4916</v>
      </c>
      <c r="FT3" s="1" t="s">
        <v>4917</v>
      </c>
      <c r="FU3" s="1" t="s">
        <v>4918</v>
      </c>
      <c r="FV3" s="1" t="s">
        <v>4919</v>
      </c>
      <c r="FW3" s="1" t="s">
        <v>4920</v>
      </c>
      <c r="FX3" s="1" t="s">
        <v>4921</v>
      </c>
      <c r="FY3" s="1" t="s">
        <v>4922</v>
      </c>
      <c r="FZ3" s="1" t="s">
        <v>4923</v>
      </c>
      <c r="GA3" s="1" t="s">
        <v>4924</v>
      </c>
      <c r="GB3" s="1" t="s">
        <v>4925</v>
      </c>
      <c r="GC3" s="1" t="s">
        <v>4926</v>
      </c>
      <c r="GD3" s="1" t="s">
        <v>4927</v>
      </c>
      <c r="GE3" s="1" t="s">
        <v>4928</v>
      </c>
      <c r="GF3" s="306" t="s">
        <v>4929</v>
      </c>
    </row>
    <row r="4" customFormat="false" ht="14.25" hidden="false" customHeight="false" outlineLevel="0" collapsed="false">
      <c r="A4" s="1" t="s">
        <v>4930</v>
      </c>
      <c r="B4" s="1" t="s">
        <v>4931</v>
      </c>
      <c r="C4" s="1" t="s">
        <v>4932</v>
      </c>
      <c r="D4" s="1" t="s">
        <v>4933</v>
      </c>
      <c r="E4" s="1" t="s">
        <v>4934</v>
      </c>
      <c r="F4" s="1" t="s">
        <v>4935</v>
      </c>
      <c r="G4" s="1" t="s">
        <v>4936</v>
      </c>
      <c r="H4" s="1" t="s">
        <v>4937</v>
      </c>
      <c r="I4" s="1" t="s">
        <v>4938</v>
      </c>
      <c r="J4" s="1" t="s">
        <v>4939</v>
      </c>
      <c r="K4" s="1" t="s">
        <v>4940</v>
      </c>
      <c r="L4" s="1" t="s">
        <v>4941</v>
      </c>
      <c r="M4" s="1" t="s">
        <v>4942</v>
      </c>
      <c r="N4" s="1" t="s">
        <v>4943</v>
      </c>
      <c r="O4" s="1" t="s">
        <v>4944</v>
      </c>
      <c r="P4" s="1" t="s">
        <v>4945</v>
      </c>
      <c r="Q4" s="1" t="s">
        <v>4946</v>
      </c>
      <c r="R4" s="1" t="s">
        <v>4947</v>
      </c>
      <c r="S4" s="1" t="s">
        <v>4948</v>
      </c>
      <c r="T4" s="1" t="s">
        <v>4949</v>
      </c>
      <c r="U4" s="1" t="s">
        <v>4950</v>
      </c>
      <c r="V4" s="1" t="s">
        <v>4951</v>
      </c>
      <c r="W4" s="1" t="s">
        <v>4952</v>
      </c>
      <c r="X4" s="1" t="s">
        <v>4953</v>
      </c>
      <c r="Y4" s="1" t="s">
        <v>4954</v>
      </c>
      <c r="Z4" s="1" t="s">
        <v>4955</v>
      </c>
      <c r="AA4" s="1" t="s">
        <v>4956</v>
      </c>
      <c r="AB4" s="1" t="s">
        <v>4957</v>
      </c>
      <c r="AC4" s="1" t="s">
        <v>4958</v>
      </c>
      <c r="AD4" s="1" t="s">
        <v>4959</v>
      </c>
      <c r="AE4" s="1" t="s">
        <v>4960</v>
      </c>
      <c r="AF4" s="1" t="s">
        <v>4961</v>
      </c>
      <c r="AG4" s="1" t="s">
        <v>4962</v>
      </c>
      <c r="AH4" s="1" t="s">
        <v>4963</v>
      </c>
      <c r="AI4" s="1" t="s">
        <v>4964</v>
      </c>
      <c r="AJ4" s="1" t="s">
        <v>4965</v>
      </c>
      <c r="AK4" s="1" t="s">
        <v>4966</v>
      </c>
      <c r="AL4" s="1" t="s">
        <v>4967</v>
      </c>
      <c r="AM4" s="1" t="s">
        <v>4968</v>
      </c>
      <c r="AN4" s="1" t="s">
        <v>4969</v>
      </c>
      <c r="AO4" s="1" t="s">
        <v>4970</v>
      </c>
      <c r="AP4" s="1" t="s">
        <v>4971</v>
      </c>
      <c r="AQ4" s="1" t="s">
        <v>4972</v>
      </c>
      <c r="AR4" s="1" t="s">
        <v>4973</v>
      </c>
      <c r="AS4" s="1" t="s">
        <v>4974</v>
      </c>
      <c r="AT4" s="1" t="s">
        <v>4975</v>
      </c>
      <c r="AU4" s="1" t="s">
        <v>4976</v>
      </c>
      <c r="AV4" s="1" t="s">
        <v>4977</v>
      </c>
      <c r="AW4" s="1" t="s">
        <v>4978</v>
      </c>
      <c r="AX4" s="1" t="s">
        <v>4979</v>
      </c>
      <c r="AY4" s="1" t="s">
        <v>4980</v>
      </c>
      <c r="AZ4" s="1" t="s">
        <v>4981</v>
      </c>
      <c r="BA4" s="1" t="s">
        <v>4982</v>
      </c>
      <c r="BB4" s="1" t="s">
        <v>4983</v>
      </c>
      <c r="BC4" s="1" t="s">
        <v>4984</v>
      </c>
      <c r="BD4" s="1" t="s">
        <v>4985</v>
      </c>
      <c r="BE4" s="1" t="s">
        <v>4986</v>
      </c>
      <c r="BF4" s="1" t="s">
        <v>4987</v>
      </c>
      <c r="BG4" s="1" t="s">
        <v>4988</v>
      </c>
      <c r="BH4" s="1" t="s">
        <v>4989</v>
      </c>
      <c r="BI4" s="1" t="s">
        <v>4990</v>
      </c>
      <c r="BJ4" s="1" t="s">
        <v>4991</v>
      </c>
      <c r="BK4" s="1" t="s">
        <v>4992</v>
      </c>
      <c r="BL4" s="1" t="s">
        <v>4993</v>
      </c>
      <c r="BM4" s="1" t="s">
        <v>4994</v>
      </c>
      <c r="BN4" s="1" t="s">
        <v>4995</v>
      </c>
      <c r="BO4" s="1" t="s">
        <v>4996</v>
      </c>
      <c r="BP4" s="1" t="s">
        <v>4997</v>
      </c>
      <c r="BQ4" s="1" t="s">
        <v>4998</v>
      </c>
      <c r="BR4" s="1" t="s">
        <v>4999</v>
      </c>
      <c r="BS4" s="1" t="s">
        <v>5000</v>
      </c>
      <c r="BT4" s="1" t="s">
        <v>5001</v>
      </c>
      <c r="BU4" s="1" t="s">
        <v>5002</v>
      </c>
      <c r="BV4" s="1" t="s">
        <v>5003</v>
      </c>
      <c r="BW4" s="1" t="s">
        <v>5004</v>
      </c>
      <c r="BX4" s="1" t="s">
        <v>5005</v>
      </c>
      <c r="BY4" s="1" t="s">
        <v>5006</v>
      </c>
      <c r="BZ4" s="1" t="s">
        <v>5007</v>
      </c>
      <c r="CA4" s="1" t="s">
        <v>5008</v>
      </c>
      <c r="CB4" s="1" t="s">
        <v>5009</v>
      </c>
      <c r="CC4" s="1" t="s">
        <v>5010</v>
      </c>
      <c r="CD4" s="1" t="s">
        <v>5011</v>
      </c>
      <c r="CE4" s="1" t="s">
        <v>5012</v>
      </c>
      <c r="CF4" s="1" t="s">
        <v>5013</v>
      </c>
      <c r="CG4" s="1" t="s">
        <v>5014</v>
      </c>
      <c r="CH4" s="1" t="s">
        <v>5015</v>
      </c>
      <c r="CI4" s="1" t="s">
        <v>5016</v>
      </c>
      <c r="CJ4" s="1" t="s">
        <v>5017</v>
      </c>
      <c r="CK4" s="1" t="s">
        <v>5018</v>
      </c>
      <c r="CL4" s="1" t="s">
        <v>5019</v>
      </c>
      <c r="CM4" s="1" t="s">
        <v>5020</v>
      </c>
      <c r="CN4" s="1" t="s">
        <v>5021</v>
      </c>
      <c r="CO4" s="1" t="s">
        <v>5022</v>
      </c>
      <c r="CP4" s="1" t="s">
        <v>5023</v>
      </c>
      <c r="CQ4" s="1" t="s">
        <v>5024</v>
      </c>
      <c r="CR4" s="1" t="s">
        <v>5025</v>
      </c>
      <c r="CS4" s="1" t="s">
        <v>5026</v>
      </c>
      <c r="CT4" s="1" t="s">
        <v>5027</v>
      </c>
      <c r="CU4" s="1" t="s">
        <v>5028</v>
      </c>
      <c r="CV4" s="1" t="s">
        <v>5029</v>
      </c>
      <c r="CW4" s="1" t="s">
        <v>5030</v>
      </c>
      <c r="CX4" s="1" t="s">
        <v>5031</v>
      </c>
      <c r="CY4" s="1" t="s">
        <v>5032</v>
      </c>
      <c r="CZ4" s="1" t="s">
        <v>5033</v>
      </c>
      <c r="DA4" s="1" t="s">
        <v>5034</v>
      </c>
      <c r="DB4" s="1" t="s">
        <v>5035</v>
      </c>
      <c r="DC4" s="1" t="s">
        <v>5036</v>
      </c>
      <c r="DD4" s="1" t="s">
        <v>5037</v>
      </c>
      <c r="DE4" s="1" t="s">
        <v>5038</v>
      </c>
      <c r="DF4" s="1" t="s">
        <v>5039</v>
      </c>
      <c r="DG4" s="1" t="s">
        <v>5040</v>
      </c>
      <c r="DH4" s="1" t="s">
        <v>5041</v>
      </c>
      <c r="DI4" s="1" t="s">
        <v>5042</v>
      </c>
      <c r="DJ4" s="1" t="s">
        <v>5043</v>
      </c>
      <c r="DK4" s="1" t="s">
        <v>5044</v>
      </c>
      <c r="DL4" s="1" t="s">
        <v>5045</v>
      </c>
      <c r="DM4" s="1" t="s">
        <v>5046</v>
      </c>
      <c r="DN4" s="1" t="s">
        <v>5047</v>
      </c>
      <c r="DO4" s="1" t="s">
        <v>5048</v>
      </c>
      <c r="DP4" s="1" t="s">
        <v>5049</v>
      </c>
      <c r="DQ4" s="1" t="s">
        <v>5050</v>
      </c>
      <c r="DR4" s="1" t="s">
        <v>5051</v>
      </c>
      <c r="DS4" s="1" t="s">
        <v>5052</v>
      </c>
      <c r="DT4" s="1" t="s">
        <v>5053</v>
      </c>
      <c r="DU4" s="1" t="s">
        <v>5054</v>
      </c>
      <c r="DV4" s="1" t="s">
        <v>5055</v>
      </c>
      <c r="DW4" s="1" t="s">
        <v>5056</v>
      </c>
      <c r="DX4" s="1" t="s">
        <v>5057</v>
      </c>
      <c r="DY4" s="1" t="s">
        <v>5058</v>
      </c>
      <c r="DZ4" s="1" t="s">
        <v>5059</v>
      </c>
      <c r="EA4" s="1" t="s">
        <v>5060</v>
      </c>
      <c r="EB4" s="1" t="s">
        <v>5061</v>
      </c>
      <c r="EC4" s="1" t="s">
        <v>5062</v>
      </c>
      <c r="ED4" s="1" t="s">
        <v>5063</v>
      </c>
      <c r="EE4" s="1" t="s">
        <v>5064</v>
      </c>
      <c r="EF4" s="1" t="s">
        <v>5065</v>
      </c>
      <c r="EG4" s="1" t="s">
        <v>5066</v>
      </c>
      <c r="EH4" s="1" t="s">
        <v>5067</v>
      </c>
      <c r="EI4" s="1" t="s">
        <v>5068</v>
      </c>
      <c r="EJ4" s="1" t="s">
        <v>5069</v>
      </c>
      <c r="EK4" s="1" t="s">
        <v>5070</v>
      </c>
      <c r="EL4" s="1" t="s">
        <v>5071</v>
      </c>
      <c r="EM4" s="1" t="s">
        <v>5072</v>
      </c>
      <c r="EN4" s="1" t="s">
        <v>5073</v>
      </c>
      <c r="EO4" s="1" t="s">
        <v>5074</v>
      </c>
      <c r="EP4" s="1" t="s">
        <v>5075</v>
      </c>
      <c r="EQ4" s="1" t="s">
        <v>5076</v>
      </c>
      <c r="ER4" s="1" t="s">
        <v>5077</v>
      </c>
      <c r="ES4" s="1" t="s">
        <v>5078</v>
      </c>
      <c r="ET4" s="1" t="s">
        <v>5079</v>
      </c>
      <c r="EU4" s="1" t="s">
        <v>5080</v>
      </c>
      <c r="EV4" s="1" t="s">
        <v>5081</v>
      </c>
      <c r="EW4" s="1" t="s">
        <v>5082</v>
      </c>
      <c r="EX4" s="1" t="s">
        <v>5083</v>
      </c>
      <c r="EY4" s="1" t="s">
        <v>5084</v>
      </c>
      <c r="EZ4" s="1" t="s">
        <v>5085</v>
      </c>
      <c r="FA4" s="1" t="s">
        <v>5086</v>
      </c>
      <c r="FB4" s="1" t="s">
        <v>5087</v>
      </c>
      <c r="FC4" s="1" t="s">
        <v>5088</v>
      </c>
      <c r="FD4" s="1" t="s">
        <v>5089</v>
      </c>
      <c r="FE4" s="1" t="s">
        <v>5090</v>
      </c>
      <c r="FF4" s="1" t="s">
        <v>5091</v>
      </c>
      <c r="FG4" s="1" t="s">
        <v>5092</v>
      </c>
      <c r="FH4" s="1" t="s">
        <v>5093</v>
      </c>
      <c r="FI4" s="1" t="s">
        <v>5094</v>
      </c>
      <c r="FJ4" s="1" t="s">
        <v>5095</v>
      </c>
      <c r="FK4" s="1" t="s">
        <v>5096</v>
      </c>
      <c r="FL4" s="1" t="s">
        <v>5097</v>
      </c>
      <c r="FM4" s="1" t="s">
        <v>5098</v>
      </c>
      <c r="FN4" s="1" t="s">
        <v>5099</v>
      </c>
      <c r="FO4" s="1" t="s">
        <v>5100</v>
      </c>
      <c r="FP4" s="1" t="s">
        <v>5101</v>
      </c>
      <c r="FQ4" s="1" t="s">
        <v>5102</v>
      </c>
      <c r="FR4" s="1" t="s">
        <v>5103</v>
      </c>
      <c r="FS4" s="1" t="s">
        <v>5104</v>
      </c>
      <c r="FT4" s="1" t="s">
        <v>5105</v>
      </c>
      <c r="FU4" s="1" t="s">
        <v>5106</v>
      </c>
      <c r="FV4" s="1" t="s">
        <v>5107</v>
      </c>
      <c r="FW4" s="1" t="s">
        <v>5108</v>
      </c>
      <c r="FX4" s="1" t="s">
        <v>5109</v>
      </c>
      <c r="FY4" s="1" t="s">
        <v>5110</v>
      </c>
      <c r="FZ4" s="1" t="s">
        <v>5111</v>
      </c>
      <c r="GA4" s="1" t="s">
        <v>5112</v>
      </c>
      <c r="GB4" s="1" t="s">
        <v>5113</v>
      </c>
      <c r="GC4" s="1" t="s">
        <v>5114</v>
      </c>
      <c r="GD4" s="1" t="s">
        <v>5115</v>
      </c>
      <c r="GE4" s="1" t="s">
        <v>5116</v>
      </c>
      <c r="GF4" s="306" t="s">
        <v>5117</v>
      </c>
    </row>
    <row r="5" customFormat="false" ht="14.25" hidden="false" customHeight="false" outlineLevel="0" collapsed="false">
      <c r="A5" s="1" t="s">
        <v>5118</v>
      </c>
      <c r="B5" s="1" t="s">
        <v>5119</v>
      </c>
      <c r="C5" s="1" t="s">
        <v>5120</v>
      </c>
      <c r="D5" s="1" t="s">
        <v>5121</v>
      </c>
      <c r="E5" s="1" t="s">
        <v>5122</v>
      </c>
      <c r="F5" s="1" t="s">
        <v>5123</v>
      </c>
      <c r="G5" s="1" t="s">
        <v>5124</v>
      </c>
      <c r="H5" s="1" t="s">
        <v>5125</v>
      </c>
      <c r="I5" s="1" t="s">
        <v>5126</v>
      </c>
      <c r="J5" s="1" t="s">
        <v>5127</v>
      </c>
      <c r="K5" s="1" t="s">
        <v>5128</v>
      </c>
      <c r="L5" s="1" t="s">
        <v>5129</v>
      </c>
      <c r="M5" s="1" t="s">
        <v>5130</v>
      </c>
      <c r="N5" s="1" t="s">
        <v>5131</v>
      </c>
      <c r="O5" s="1" t="s">
        <v>5132</v>
      </c>
      <c r="P5" s="1" t="s">
        <v>5133</v>
      </c>
      <c r="Q5" s="1" t="s">
        <v>5134</v>
      </c>
      <c r="R5" s="1" t="s">
        <v>5135</v>
      </c>
      <c r="S5" s="1" t="s">
        <v>5136</v>
      </c>
      <c r="T5" s="1" t="s">
        <v>5137</v>
      </c>
      <c r="U5" s="1" t="s">
        <v>5138</v>
      </c>
      <c r="V5" s="1" t="s">
        <v>5139</v>
      </c>
      <c r="W5" s="1" t="s">
        <v>5140</v>
      </c>
      <c r="X5" s="1" t="s">
        <v>5141</v>
      </c>
      <c r="Y5" s="1" t="s">
        <v>5142</v>
      </c>
      <c r="Z5" s="1" t="s">
        <v>5143</v>
      </c>
      <c r="AA5" s="1" t="s">
        <v>5144</v>
      </c>
      <c r="AB5" s="1" t="s">
        <v>5145</v>
      </c>
      <c r="AC5" s="1" t="s">
        <v>5146</v>
      </c>
      <c r="AD5" s="1" t="s">
        <v>5147</v>
      </c>
      <c r="AE5" s="1" t="s">
        <v>5148</v>
      </c>
      <c r="AF5" s="1" t="s">
        <v>5149</v>
      </c>
      <c r="AG5" s="1" t="s">
        <v>5150</v>
      </c>
      <c r="AH5" s="1" t="s">
        <v>5151</v>
      </c>
      <c r="AI5" s="1" t="s">
        <v>5152</v>
      </c>
      <c r="AJ5" s="1" t="s">
        <v>5153</v>
      </c>
      <c r="AK5" s="1" t="s">
        <v>5154</v>
      </c>
      <c r="AL5" s="1" t="s">
        <v>5155</v>
      </c>
      <c r="AM5" s="1" t="s">
        <v>5156</v>
      </c>
      <c r="AN5" s="1" t="s">
        <v>5157</v>
      </c>
      <c r="AO5" s="1" t="s">
        <v>5158</v>
      </c>
      <c r="AP5" s="1" t="s">
        <v>5159</v>
      </c>
      <c r="AQ5" s="1" t="s">
        <v>5160</v>
      </c>
      <c r="AR5" s="1" t="s">
        <v>5161</v>
      </c>
      <c r="AS5" s="1" t="s">
        <v>5162</v>
      </c>
      <c r="AT5" s="1" t="s">
        <v>5163</v>
      </c>
      <c r="AU5" s="1" t="s">
        <v>5164</v>
      </c>
      <c r="AV5" s="1" t="s">
        <v>5165</v>
      </c>
      <c r="AW5" s="1" t="s">
        <v>5166</v>
      </c>
      <c r="AX5" s="1" t="s">
        <v>5167</v>
      </c>
      <c r="AY5" s="1" t="s">
        <v>5168</v>
      </c>
      <c r="AZ5" s="1" t="s">
        <v>5169</v>
      </c>
      <c r="BA5" s="1" t="s">
        <v>5170</v>
      </c>
      <c r="BB5" s="1" t="s">
        <v>5171</v>
      </c>
      <c r="BC5" s="1" t="s">
        <v>5172</v>
      </c>
      <c r="BD5" s="1" t="s">
        <v>5173</v>
      </c>
      <c r="BE5" s="1" t="s">
        <v>5174</v>
      </c>
      <c r="BF5" s="1" t="s">
        <v>5175</v>
      </c>
      <c r="BG5" s="1" t="s">
        <v>5176</v>
      </c>
      <c r="BH5" s="1" t="s">
        <v>5177</v>
      </c>
      <c r="BI5" s="1" t="s">
        <v>5178</v>
      </c>
      <c r="BJ5" s="1" t="s">
        <v>5179</v>
      </c>
      <c r="BK5" s="1" t="s">
        <v>5180</v>
      </c>
      <c r="BL5" s="1" t="s">
        <v>5181</v>
      </c>
      <c r="BM5" s="1" t="s">
        <v>5182</v>
      </c>
      <c r="BN5" s="1" t="s">
        <v>5183</v>
      </c>
      <c r="BO5" s="1" t="s">
        <v>5184</v>
      </c>
      <c r="BP5" s="1" t="s">
        <v>5185</v>
      </c>
      <c r="BQ5" s="1" t="s">
        <v>5186</v>
      </c>
      <c r="BR5" s="1" t="s">
        <v>5187</v>
      </c>
      <c r="BS5" s="1" t="s">
        <v>5188</v>
      </c>
      <c r="BT5" s="1" t="s">
        <v>5189</v>
      </c>
      <c r="BU5" s="1" t="s">
        <v>5190</v>
      </c>
      <c r="BV5" s="1" t="s">
        <v>5191</v>
      </c>
      <c r="BW5" s="1" t="s">
        <v>5192</v>
      </c>
      <c r="BX5" s="1" t="s">
        <v>5193</v>
      </c>
      <c r="BY5" s="1" t="s">
        <v>5194</v>
      </c>
      <c r="BZ5" s="1" t="s">
        <v>5195</v>
      </c>
      <c r="CA5" s="1" t="s">
        <v>5196</v>
      </c>
      <c r="CB5" s="1" t="s">
        <v>5197</v>
      </c>
      <c r="CC5" s="1" t="s">
        <v>5198</v>
      </c>
      <c r="CD5" s="1" t="s">
        <v>5199</v>
      </c>
      <c r="CE5" s="1" t="s">
        <v>5200</v>
      </c>
      <c r="CF5" s="1" t="s">
        <v>5201</v>
      </c>
      <c r="CG5" s="1" t="s">
        <v>5202</v>
      </c>
      <c r="CH5" s="1" t="s">
        <v>5203</v>
      </c>
      <c r="CI5" s="1" t="s">
        <v>5204</v>
      </c>
      <c r="CJ5" s="1" t="s">
        <v>5205</v>
      </c>
      <c r="CK5" s="1" t="s">
        <v>5206</v>
      </c>
      <c r="CL5" s="1" t="s">
        <v>5207</v>
      </c>
      <c r="CM5" s="1" t="s">
        <v>5208</v>
      </c>
      <c r="CN5" s="1" t="s">
        <v>5209</v>
      </c>
      <c r="CO5" s="1" t="s">
        <v>5210</v>
      </c>
      <c r="CP5" s="1" t="s">
        <v>5211</v>
      </c>
      <c r="CQ5" s="1" t="s">
        <v>5212</v>
      </c>
      <c r="CR5" s="1" t="s">
        <v>5213</v>
      </c>
      <c r="CS5" s="1" t="s">
        <v>5214</v>
      </c>
      <c r="CT5" s="1" t="s">
        <v>5215</v>
      </c>
      <c r="CU5" s="1" t="s">
        <v>5216</v>
      </c>
      <c r="CV5" s="1" t="s">
        <v>5217</v>
      </c>
      <c r="CW5" s="1" t="s">
        <v>5218</v>
      </c>
      <c r="CX5" s="1" t="s">
        <v>5219</v>
      </c>
      <c r="CY5" s="1" t="s">
        <v>5220</v>
      </c>
      <c r="CZ5" s="1" t="s">
        <v>5221</v>
      </c>
      <c r="DA5" s="1" t="s">
        <v>5222</v>
      </c>
      <c r="DB5" s="1" t="s">
        <v>5223</v>
      </c>
      <c r="DC5" s="1" t="s">
        <v>5224</v>
      </c>
      <c r="DD5" s="1" t="s">
        <v>5225</v>
      </c>
      <c r="DE5" s="1" t="s">
        <v>5226</v>
      </c>
      <c r="DF5" s="1" t="s">
        <v>5227</v>
      </c>
      <c r="DG5" s="1" t="s">
        <v>5228</v>
      </c>
      <c r="DH5" s="1" t="s">
        <v>5229</v>
      </c>
      <c r="DI5" s="1" t="s">
        <v>5230</v>
      </c>
      <c r="DJ5" s="1" t="s">
        <v>5231</v>
      </c>
      <c r="DK5" s="1" t="s">
        <v>5232</v>
      </c>
      <c r="DL5" s="1" t="s">
        <v>5233</v>
      </c>
      <c r="DM5" s="1" t="s">
        <v>5234</v>
      </c>
      <c r="DN5" s="1" t="s">
        <v>5235</v>
      </c>
      <c r="DO5" s="1" t="s">
        <v>5236</v>
      </c>
      <c r="DP5" s="1" t="s">
        <v>5237</v>
      </c>
      <c r="DQ5" s="1" t="s">
        <v>5238</v>
      </c>
      <c r="DR5" s="1" t="s">
        <v>5239</v>
      </c>
      <c r="DS5" s="1" t="s">
        <v>5240</v>
      </c>
      <c r="DT5" s="1" t="s">
        <v>5241</v>
      </c>
      <c r="DU5" s="1" t="s">
        <v>5242</v>
      </c>
      <c r="DV5" s="1" t="s">
        <v>5243</v>
      </c>
      <c r="DW5" s="1" t="s">
        <v>5244</v>
      </c>
      <c r="DX5" s="1" t="s">
        <v>5245</v>
      </c>
      <c r="DY5" s="1" t="s">
        <v>5246</v>
      </c>
      <c r="DZ5" s="1" t="s">
        <v>5247</v>
      </c>
      <c r="EA5" s="1" t="s">
        <v>5248</v>
      </c>
      <c r="EB5" s="1" t="s">
        <v>5249</v>
      </c>
      <c r="EC5" s="1" t="s">
        <v>5250</v>
      </c>
      <c r="ED5" s="1" t="s">
        <v>5251</v>
      </c>
      <c r="EE5" s="1" t="s">
        <v>5252</v>
      </c>
      <c r="EF5" s="1" t="s">
        <v>5253</v>
      </c>
      <c r="EG5" s="1" t="s">
        <v>5254</v>
      </c>
      <c r="EH5" s="1" t="s">
        <v>5255</v>
      </c>
      <c r="EI5" s="1" t="s">
        <v>5256</v>
      </c>
      <c r="EJ5" s="1" t="s">
        <v>5257</v>
      </c>
      <c r="EK5" s="1" t="s">
        <v>5258</v>
      </c>
      <c r="EL5" s="1" t="s">
        <v>5259</v>
      </c>
      <c r="EM5" s="1" t="s">
        <v>5260</v>
      </c>
      <c r="EN5" s="1" t="s">
        <v>5261</v>
      </c>
      <c r="EO5" s="1" t="s">
        <v>5262</v>
      </c>
      <c r="EP5" s="1" t="s">
        <v>5263</v>
      </c>
      <c r="EQ5" s="1" t="s">
        <v>5264</v>
      </c>
      <c r="ER5" s="1" t="s">
        <v>5265</v>
      </c>
      <c r="ES5" s="1" t="s">
        <v>5266</v>
      </c>
      <c r="ET5" s="1" t="s">
        <v>5267</v>
      </c>
      <c r="EU5" s="1" t="s">
        <v>5268</v>
      </c>
      <c r="EV5" s="1" t="s">
        <v>5269</v>
      </c>
      <c r="EW5" s="1" t="s">
        <v>5270</v>
      </c>
      <c r="EX5" s="1" t="s">
        <v>5271</v>
      </c>
      <c r="EY5" s="1" t="s">
        <v>5272</v>
      </c>
      <c r="EZ5" s="1" t="s">
        <v>5273</v>
      </c>
      <c r="FA5" s="1" t="s">
        <v>5274</v>
      </c>
      <c r="FB5" s="1" t="s">
        <v>5275</v>
      </c>
      <c r="FC5" s="1" t="s">
        <v>5276</v>
      </c>
      <c r="FD5" s="1" t="s">
        <v>5277</v>
      </c>
      <c r="FE5" s="1" t="s">
        <v>5278</v>
      </c>
      <c r="FF5" s="1" t="s">
        <v>5279</v>
      </c>
      <c r="FG5" s="1" t="s">
        <v>5280</v>
      </c>
      <c r="FH5" s="1" t="s">
        <v>5281</v>
      </c>
      <c r="FI5" s="1" t="s">
        <v>5282</v>
      </c>
      <c r="FJ5" s="1" t="s">
        <v>5283</v>
      </c>
      <c r="FK5" s="1" t="s">
        <v>5284</v>
      </c>
      <c r="FL5" s="1" t="s">
        <v>5285</v>
      </c>
      <c r="FM5" s="1" t="s">
        <v>5286</v>
      </c>
      <c r="FN5" s="1" t="s">
        <v>5287</v>
      </c>
      <c r="FO5" s="1" t="s">
        <v>5288</v>
      </c>
      <c r="FP5" s="1" t="s">
        <v>5289</v>
      </c>
      <c r="FQ5" s="1" t="s">
        <v>5290</v>
      </c>
      <c r="FR5" s="1" t="s">
        <v>5291</v>
      </c>
      <c r="FS5" s="1" t="s">
        <v>5292</v>
      </c>
      <c r="FT5" s="1" t="s">
        <v>5293</v>
      </c>
      <c r="FU5" s="1" t="s">
        <v>5294</v>
      </c>
      <c r="FV5" s="1" t="s">
        <v>5295</v>
      </c>
      <c r="FW5" s="1" t="s">
        <v>5296</v>
      </c>
      <c r="FX5" s="1" t="s">
        <v>5297</v>
      </c>
      <c r="FY5" s="1" t="s">
        <v>5298</v>
      </c>
      <c r="FZ5" s="1" t="s">
        <v>5299</v>
      </c>
      <c r="GA5" s="1" t="s">
        <v>5300</v>
      </c>
      <c r="GB5" s="1" t="s">
        <v>5301</v>
      </c>
      <c r="GC5" s="1" t="s">
        <v>5302</v>
      </c>
      <c r="GD5" s="1" t="s">
        <v>5303</v>
      </c>
      <c r="GE5" s="1" t="s">
        <v>5304</v>
      </c>
      <c r="GF5" s="306" t="s">
        <v>5305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71"/>
  <sheetViews>
    <sheetView showFormulas="false" showGridLines="false" showRowColHeaders="true" showZeros="true" rightToLeft="false" tabSelected="true" showOutlineSymbols="true" defaultGridColor="true" view="normal" topLeftCell="A118"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18"/>
    <col collapsed="false" customWidth="true" hidden="false" outlineLevel="0" max="24" min="2" style="1" width="9"/>
  </cols>
  <sheetData>
    <row r="1" customFormat="false" ht="21.75" hidden="false" customHeight="true" outlineLevel="0" collapsed="false">
      <c r="A1" s="307" t="s">
        <v>1918</v>
      </c>
      <c r="B1" s="308" t="s">
        <v>5306</v>
      </c>
      <c r="C1" s="308" t="s">
        <v>5307</v>
      </c>
      <c r="D1" s="308" t="s">
        <v>5308</v>
      </c>
      <c r="E1" s="308" t="s">
        <v>5309</v>
      </c>
      <c r="F1" s="308" t="s">
        <v>5310</v>
      </c>
      <c r="G1" s="308" t="s">
        <v>5311</v>
      </c>
      <c r="H1" s="308" t="s">
        <v>5312</v>
      </c>
      <c r="I1" s="308" t="s">
        <v>5313</v>
      </c>
      <c r="J1" s="308" t="s">
        <v>5314</v>
      </c>
      <c r="K1" s="308" t="s">
        <v>5315</v>
      </c>
      <c r="L1" s="308" t="s">
        <v>5316</v>
      </c>
      <c r="M1" s="308" t="s">
        <v>5317</v>
      </c>
      <c r="N1" s="308" t="s">
        <v>5318</v>
      </c>
      <c r="O1" s="308" t="s">
        <v>5319</v>
      </c>
      <c r="P1" s="308" t="s">
        <v>5320</v>
      </c>
      <c r="Q1" s="308" t="s">
        <v>5321</v>
      </c>
      <c r="R1" s="308" t="s">
        <v>5322</v>
      </c>
      <c r="S1" s="308" t="s">
        <v>5323</v>
      </c>
      <c r="T1" s="308" t="s">
        <v>5324</v>
      </c>
      <c r="U1" s="308" t="s">
        <v>5325</v>
      </c>
      <c r="V1" s="308" t="s">
        <v>5326</v>
      </c>
      <c r="W1" s="308" t="s">
        <v>5327</v>
      </c>
      <c r="X1" s="308" t="s">
        <v>5328</v>
      </c>
    </row>
    <row r="2" customFormat="false" ht="13.5" hidden="false" customHeight="true" outlineLevel="0" collapsed="false">
      <c r="A2" s="309" t="s">
        <v>5329</v>
      </c>
      <c r="B2" s="310"/>
      <c r="C2" s="310"/>
      <c r="D2" s="310"/>
      <c r="E2" s="310"/>
      <c r="F2" s="310"/>
      <c r="G2" s="310"/>
      <c r="H2" s="310"/>
      <c r="I2" s="310"/>
      <c r="J2" s="310"/>
      <c r="K2" s="310"/>
      <c r="L2" s="310"/>
      <c r="M2" s="310"/>
      <c r="N2" s="310"/>
      <c r="O2" s="310"/>
      <c r="P2" s="310"/>
      <c r="Q2" s="310"/>
      <c r="R2" s="310"/>
      <c r="S2" s="310"/>
      <c r="T2" s="310"/>
      <c r="U2" s="310"/>
      <c r="V2" s="310"/>
      <c r="W2" s="310"/>
      <c r="X2" s="310"/>
    </row>
    <row r="3" customFormat="false" ht="13.5" hidden="false" customHeight="true" outlineLevel="0" collapsed="false">
      <c r="A3" s="311" t="s">
        <v>5330</v>
      </c>
      <c r="B3" s="312"/>
      <c r="C3" s="312"/>
      <c r="D3" s="312"/>
      <c r="E3" s="312"/>
      <c r="F3" s="312"/>
      <c r="G3" s="312"/>
      <c r="H3" s="312"/>
      <c r="I3" s="312"/>
      <c r="J3" s="312"/>
      <c r="K3" s="312"/>
      <c r="L3" s="312"/>
      <c r="M3" s="312"/>
      <c r="N3" s="312"/>
      <c r="O3" s="312"/>
      <c r="P3" s="312"/>
      <c r="Q3" s="312"/>
      <c r="R3" s="312"/>
      <c r="S3" s="312"/>
      <c r="T3" s="312"/>
      <c r="U3" s="312"/>
      <c r="V3" s="312"/>
      <c r="W3" s="312"/>
      <c r="X3" s="312"/>
    </row>
    <row r="4" customFormat="false" ht="13.5" hidden="false" customHeight="true" outlineLevel="0" collapsed="false">
      <c r="A4" s="309" t="s">
        <v>5331</v>
      </c>
      <c r="B4" s="310"/>
      <c r="C4" s="310"/>
      <c r="D4" s="310"/>
      <c r="E4" s="310"/>
      <c r="F4" s="310"/>
      <c r="G4" s="310"/>
      <c r="H4" s="310"/>
      <c r="I4" s="310"/>
      <c r="J4" s="310"/>
      <c r="K4" s="310"/>
      <c r="L4" s="310"/>
      <c r="M4" s="310"/>
      <c r="N4" s="310"/>
      <c r="O4" s="310"/>
      <c r="P4" s="310"/>
      <c r="Q4" s="310"/>
      <c r="R4" s="310"/>
      <c r="S4" s="310"/>
      <c r="T4" s="310"/>
      <c r="U4" s="310"/>
      <c r="V4" s="310"/>
      <c r="W4" s="310"/>
      <c r="X4" s="310"/>
    </row>
    <row r="5" customFormat="false" ht="13.5" hidden="false" customHeight="true" outlineLevel="0" collapsed="false">
      <c r="A5" s="311" t="s">
        <v>5332</v>
      </c>
      <c r="B5" s="312"/>
      <c r="C5" s="312"/>
      <c r="D5" s="312"/>
      <c r="E5" s="312"/>
      <c r="F5" s="312"/>
      <c r="G5" s="312"/>
      <c r="H5" s="312"/>
      <c r="I5" s="312"/>
      <c r="J5" s="312"/>
      <c r="K5" s="312"/>
      <c r="L5" s="312"/>
      <c r="M5" s="312"/>
      <c r="N5" s="312"/>
      <c r="O5" s="312"/>
      <c r="P5" s="312"/>
      <c r="Q5" s="312"/>
      <c r="R5" s="312"/>
      <c r="S5" s="312"/>
      <c r="T5" s="312"/>
      <c r="U5" s="312"/>
      <c r="V5" s="312"/>
      <c r="W5" s="312"/>
      <c r="X5" s="312"/>
    </row>
    <row r="6" customFormat="false" ht="13.5" hidden="false" customHeight="true" outlineLevel="0" collapsed="false">
      <c r="A6" s="309" t="s">
        <v>5333</v>
      </c>
      <c r="B6" s="310"/>
      <c r="C6" s="310"/>
      <c r="D6" s="310"/>
      <c r="E6" s="310"/>
      <c r="F6" s="310"/>
      <c r="G6" s="310"/>
      <c r="H6" s="310"/>
      <c r="I6" s="310"/>
      <c r="J6" s="310"/>
      <c r="K6" s="310"/>
      <c r="L6" s="310"/>
      <c r="M6" s="310"/>
      <c r="N6" s="310"/>
      <c r="O6" s="310"/>
      <c r="P6" s="310"/>
      <c r="Q6" s="310"/>
      <c r="R6" s="310"/>
      <c r="S6" s="310"/>
      <c r="T6" s="310"/>
      <c r="U6" s="310"/>
      <c r="V6" s="310"/>
      <c r="W6" s="310"/>
      <c r="X6" s="310"/>
    </row>
    <row r="7" customFormat="false" ht="13.5" hidden="false" customHeight="true" outlineLevel="0" collapsed="false">
      <c r="A7" s="311" t="s">
        <v>5334</v>
      </c>
      <c r="B7" s="312"/>
      <c r="C7" s="312"/>
      <c r="D7" s="312"/>
      <c r="E7" s="312"/>
      <c r="F7" s="312"/>
      <c r="G7" s="312"/>
      <c r="H7" s="312"/>
      <c r="I7" s="312"/>
      <c r="J7" s="312"/>
      <c r="K7" s="312"/>
      <c r="L7" s="312"/>
      <c r="M7" s="312"/>
      <c r="N7" s="312"/>
      <c r="O7" s="312"/>
      <c r="P7" s="312"/>
      <c r="Q7" s="312"/>
      <c r="R7" s="312"/>
      <c r="S7" s="312"/>
      <c r="T7" s="312"/>
      <c r="U7" s="312"/>
      <c r="V7" s="312"/>
      <c r="W7" s="312"/>
      <c r="X7" s="312"/>
    </row>
    <row r="8" customFormat="false" ht="13.5" hidden="false" customHeight="true" outlineLevel="0" collapsed="false">
      <c r="A8" s="309" t="s">
        <v>5335</v>
      </c>
      <c r="B8" s="310"/>
      <c r="C8" s="310"/>
      <c r="D8" s="310"/>
      <c r="E8" s="310"/>
      <c r="F8" s="310"/>
      <c r="G8" s="310"/>
      <c r="H8" s="310"/>
      <c r="I8" s="310"/>
      <c r="J8" s="310"/>
      <c r="K8" s="310"/>
      <c r="L8" s="310"/>
      <c r="M8" s="310"/>
      <c r="N8" s="310"/>
      <c r="O8" s="310"/>
      <c r="P8" s="310"/>
      <c r="Q8" s="310"/>
      <c r="R8" s="310"/>
      <c r="S8" s="310"/>
      <c r="T8" s="310"/>
      <c r="U8" s="310"/>
      <c r="V8" s="310"/>
      <c r="W8" s="310"/>
      <c r="X8" s="310"/>
    </row>
    <row r="9" customFormat="false" ht="13.5" hidden="false" customHeight="true" outlineLevel="0" collapsed="false">
      <c r="A9" s="311" t="s">
        <v>5336</v>
      </c>
      <c r="B9" s="312"/>
      <c r="C9" s="312"/>
      <c r="D9" s="312"/>
      <c r="E9" s="312"/>
      <c r="F9" s="312"/>
      <c r="G9" s="312"/>
      <c r="H9" s="312"/>
      <c r="I9" s="312"/>
      <c r="J9" s="312"/>
      <c r="K9" s="312"/>
      <c r="L9" s="312"/>
      <c r="M9" s="312"/>
      <c r="N9" s="312"/>
      <c r="O9" s="312"/>
      <c r="P9" s="312"/>
      <c r="Q9" s="312"/>
      <c r="R9" s="312"/>
      <c r="S9" s="312"/>
      <c r="T9" s="312"/>
      <c r="U9" s="312"/>
      <c r="V9" s="312"/>
      <c r="W9" s="312"/>
      <c r="X9" s="312"/>
    </row>
    <row r="10" customFormat="false" ht="13.5" hidden="false" customHeight="true" outlineLevel="0" collapsed="false">
      <c r="A10" s="309" t="s">
        <v>5337</v>
      </c>
      <c r="B10" s="310"/>
      <c r="C10" s="310"/>
      <c r="D10" s="310"/>
      <c r="E10" s="310"/>
      <c r="F10" s="310"/>
      <c r="G10" s="310"/>
      <c r="H10" s="310"/>
      <c r="I10" s="310"/>
      <c r="J10" s="310"/>
      <c r="K10" s="310"/>
      <c r="L10" s="310"/>
      <c r="M10" s="310"/>
      <c r="N10" s="310"/>
      <c r="O10" s="310"/>
      <c r="P10" s="310"/>
      <c r="Q10" s="310"/>
      <c r="R10" s="310"/>
      <c r="S10" s="310"/>
      <c r="T10" s="310"/>
      <c r="U10" s="310"/>
      <c r="V10" s="310"/>
      <c r="W10" s="310"/>
      <c r="X10" s="310"/>
    </row>
    <row r="11" customFormat="false" ht="13.5" hidden="false" customHeight="true" outlineLevel="0" collapsed="false">
      <c r="A11" s="311" t="s">
        <v>5338</v>
      </c>
      <c r="B11" s="312"/>
      <c r="C11" s="312"/>
      <c r="D11" s="312"/>
      <c r="E11" s="312"/>
      <c r="F11" s="312"/>
      <c r="G11" s="312"/>
      <c r="H11" s="312"/>
      <c r="I11" s="312"/>
      <c r="J11" s="312"/>
      <c r="K11" s="312"/>
      <c r="L11" s="312"/>
      <c r="M11" s="312"/>
      <c r="N11" s="312"/>
      <c r="O11" s="312"/>
      <c r="P11" s="312"/>
      <c r="Q11" s="312"/>
      <c r="R11" s="312"/>
      <c r="S11" s="312"/>
      <c r="T11" s="312"/>
      <c r="U11" s="312"/>
      <c r="V11" s="312"/>
      <c r="W11" s="312"/>
      <c r="X11" s="312"/>
    </row>
    <row r="12" customFormat="false" ht="13.5" hidden="false" customHeight="true" outlineLevel="0" collapsed="false">
      <c r="A12" s="309" t="s">
        <v>5339</v>
      </c>
      <c r="B12" s="310"/>
      <c r="C12" s="310"/>
      <c r="D12" s="310"/>
      <c r="E12" s="310"/>
      <c r="F12" s="310"/>
      <c r="G12" s="310"/>
      <c r="H12" s="310"/>
      <c r="I12" s="310"/>
      <c r="J12" s="310"/>
      <c r="K12" s="310"/>
      <c r="L12" s="310"/>
      <c r="M12" s="310"/>
      <c r="N12" s="310"/>
      <c r="O12" s="310"/>
      <c r="P12" s="310"/>
      <c r="Q12" s="310"/>
      <c r="R12" s="310"/>
      <c r="S12" s="310"/>
      <c r="T12" s="310"/>
      <c r="U12" s="310"/>
      <c r="V12" s="310"/>
      <c r="W12" s="310"/>
      <c r="X12" s="310"/>
    </row>
    <row r="13" customFormat="false" ht="13.5" hidden="false" customHeight="true" outlineLevel="0" collapsed="false">
      <c r="A13" s="311" t="s">
        <v>5340</v>
      </c>
      <c r="B13" s="312"/>
      <c r="C13" s="312"/>
      <c r="D13" s="312"/>
      <c r="E13" s="312"/>
      <c r="F13" s="312"/>
      <c r="G13" s="312"/>
      <c r="H13" s="312"/>
      <c r="I13" s="312"/>
      <c r="J13" s="312"/>
      <c r="K13" s="312"/>
      <c r="L13" s="312"/>
      <c r="M13" s="312"/>
      <c r="N13" s="312"/>
      <c r="O13" s="312"/>
      <c r="P13" s="312"/>
      <c r="Q13" s="312"/>
      <c r="R13" s="312"/>
      <c r="S13" s="312"/>
      <c r="T13" s="312"/>
      <c r="U13" s="312"/>
      <c r="V13" s="312"/>
      <c r="W13" s="312"/>
      <c r="X13" s="312"/>
    </row>
    <row r="14" customFormat="false" ht="13.5" hidden="false" customHeight="true" outlineLevel="0" collapsed="false">
      <c r="A14" s="309" t="s">
        <v>5341</v>
      </c>
      <c r="B14" s="310"/>
      <c r="C14" s="310"/>
      <c r="D14" s="310"/>
      <c r="E14" s="310"/>
      <c r="F14" s="310"/>
      <c r="G14" s="310"/>
      <c r="H14" s="310"/>
      <c r="I14" s="310"/>
      <c r="J14" s="310"/>
      <c r="K14" s="310"/>
      <c r="L14" s="310"/>
      <c r="M14" s="310"/>
      <c r="N14" s="310"/>
      <c r="O14" s="310"/>
      <c r="P14" s="310"/>
      <c r="Q14" s="310"/>
      <c r="R14" s="310"/>
      <c r="S14" s="310"/>
      <c r="T14" s="310"/>
      <c r="U14" s="310"/>
      <c r="V14" s="310"/>
      <c r="W14" s="310"/>
      <c r="X14" s="310"/>
    </row>
    <row r="15" customFormat="false" ht="13.5" hidden="false" customHeight="true" outlineLevel="0" collapsed="false">
      <c r="A15" s="311" t="s">
        <v>5342</v>
      </c>
      <c r="B15" s="312"/>
      <c r="C15" s="312"/>
      <c r="D15" s="312"/>
      <c r="E15" s="312"/>
      <c r="F15" s="312"/>
      <c r="G15" s="312"/>
      <c r="H15" s="312"/>
      <c r="I15" s="312"/>
      <c r="J15" s="312"/>
      <c r="K15" s="312"/>
      <c r="L15" s="312"/>
      <c r="M15" s="312"/>
      <c r="N15" s="312"/>
      <c r="O15" s="312"/>
      <c r="P15" s="312"/>
      <c r="Q15" s="312"/>
      <c r="R15" s="312"/>
      <c r="S15" s="312"/>
      <c r="T15" s="312"/>
      <c r="U15" s="312"/>
      <c r="V15" s="312"/>
      <c r="W15" s="312"/>
      <c r="X15" s="312"/>
    </row>
    <row r="16" customFormat="false" ht="13.5" hidden="false" customHeight="true" outlineLevel="0" collapsed="false">
      <c r="A16" s="309" t="s">
        <v>5343</v>
      </c>
      <c r="B16" s="310"/>
      <c r="C16" s="310"/>
      <c r="D16" s="310"/>
      <c r="E16" s="310"/>
      <c r="F16" s="310"/>
      <c r="G16" s="310"/>
      <c r="H16" s="310"/>
      <c r="I16" s="310"/>
      <c r="J16" s="310"/>
      <c r="K16" s="310"/>
      <c r="L16" s="310"/>
      <c r="M16" s="310"/>
      <c r="N16" s="310"/>
      <c r="O16" s="310"/>
      <c r="P16" s="310"/>
      <c r="Q16" s="310"/>
      <c r="R16" s="310"/>
      <c r="S16" s="310"/>
      <c r="T16" s="310"/>
      <c r="U16" s="310"/>
      <c r="V16" s="310"/>
      <c r="W16" s="310"/>
      <c r="X16" s="310"/>
    </row>
    <row r="17" customFormat="false" ht="13.5" hidden="false" customHeight="true" outlineLevel="0" collapsed="false">
      <c r="A17" s="311" t="s">
        <v>5344</v>
      </c>
      <c r="B17" s="312"/>
      <c r="C17" s="312"/>
      <c r="D17" s="312"/>
      <c r="E17" s="312"/>
      <c r="F17" s="312"/>
      <c r="G17" s="312"/>
      <c r="H17" s="312"/>
      <c r="I17" s="312"/>
      <c r="J17" s="312"/>
      <c r="K17" s="312"/>
      <c r="L17" s="312"/>
      <c r="M17" s="312"/>
      <c r="N17" s="312"/>
      <c r="O17" s="312"/>
      <c r="P17" s="312"/>
      <c r="Q17" s="312"/>
      <c r="R17" s="312"/>
      <c r="S17" s="312"/>
      <c r="T17" s="312"/>
      <c r="U17" s="312"/>
      <c r="V17" s="312"/>
      <c r="W17" s="312"/>
      <c r="X17" s="312"/>
    </row>
    <row r="18" customFormat="false" ht="13.5" hidden="false" customHeight="true" outlineLevel="0" collapsed="false">
      <c r="A18" s="309" t="s">
        <v>5345</v>
      </c>
      <c r="B18" s="310"/>
      <c r="C18" s="310"/>
      <c r="D18" s="310"/>
      <c r="E18" s="310"/>
      <c r="F18" s="310"/>
      <c r="G18" s="310"/>
      <c r="H18" s="310"/>
      <c r="I18" s="310"/>
      <c r="J18" s="310"/>
      <c r="K18" s="310"/>
      <c r="L18" s="310"/>
      <c r="M18" s="310"/>
      <c r="N18" s="310"/>
      <c r="O18" s="310"/>
      <c r="P18" s="310"/>
      <c r="Q18" s="310"/>
      <c r="R18" s="310"/>
      <c r="S18" s="310"/>
      <c r="T18" s="310"/>
      <c r="U18" s="313" t="n">
        <v>1</v>
      </c>
      <c r="V18" s="310"/>
      <c r="W18" s="310"/>
      <c r="X18" s="310"/>
    </row>
    <row r="19" customFormat="false" ht="13.5" hidden="false" customHeight="true" outlineLevel="0" collapsed="false">
      <c r="A19" s="311" t="s">
        <v>5346</v>
      </c>
      <c r="B19" s="312"/>
      <c r="C19" s="312"/>
      <c r="D19" s="312"/>
      <c r="E19" s="312"/>
      <c r="F19" s="312"/>
      <c r="G19" s="312"/>
      <c r="H19" s="312"/>
      <c r="I19" s="312"/>
      <c r="J19" s="312"/>
      <c r="K19" s="312"/>
      <c r="L19" s="312"/>
      <c r="M19" s="312"/>
      <c r="N19" s="312"/>
      <c r="O19" s="312"/>
      <c r="P19" s="312"/>
      <c r="Q19" s="312"/>
      <c r="R19" s="312"/>
      <c r="S19" s="312"/>
      <c r="T19" s="312"/>
      <c r="U19" s="313" t="n">
        <v>1</v>
      </c>
      <c r="V19" s="312"/>
      <c r="W19" s="312"/>
      <c r="X19" s="312"/>
    </row>
    <row r="20" customFormat="false" ht="13.5" hidden="false" customHeight="true" outlineLevel="0" collapsed="false">
      <c r="A20" s="309" t="s">
        <v>5347</v>
      </c>
      <c r="B20" s="310"/>
      <c r="C20" s="310"/>
      <c r="D20" s="310"/>
      <c r="E20" s="310"/>
      <c r="F20" s="310"/>
      <c r="G20" s="310"/>
      <c r="H20" s="310"/>
      <c r="I20" s="310"/>
      <c r="J20" s="310"/>
      <c r="K20" s="310"/>
      <c r="L20" s="310"/>
      <c r="M20" s="310"/>
      <c r="N20" s="310"/>
      <c r="O20" s="310"/>
      <c r="P20" s="310"/>
      <c r="Q20" s="310"/>
      <c r="R20" s="310"/>
      <c r="S20" s="310"/>
      <c r="T20" s="310"/>
      <c r="U20" s="313" t="n">
        <v>1</v>
      </c>
      <c r="V20" s="310"/>
      <c r="W20" s="310"/>
      <c r="X20" s="310"/>
    </row>
    <row r="21" customFormat="false" ht="13.5" hidden="false" customHeight="true" outlineLevel="0" collapsed="false">
      <c r="A21" s="311" t="s">
        <v>5348</v>
      </c>
      <c r="B21" s="312"/>
      <c r="C21" s="312"/>
      <c r="D21" s="312"/>
      <c r="E21" s="312"/>
      <c r="F21" s="312"/>
      <c r="G21" s="312"/>
      <c r="H21" s="312"/>
      <c r="I21" s="312"/>
      <c r="J21" s="312"/>
      <c r="K21" s="312"/>
      <c r="L21" s="312"/>
      <c r="M21" s="312"/>
      <c r="N21" s="312"/>
      <c r="O21" s="312"/>
      <c r="P21" s="312"/>
      <c r="Q21" s="312"/>
      <c r="R21" s="312"/>
      <c r="S21" s="312"/>
      <c r="T21" s="312"/>
      <c r="U21" s="313" t="n">
        <v>1</v>
      </c>
      <c r="V21" s="312"/>
      <c r="W21" s="312"/>
      <c r="X21" s="312"/>
    </row>
    <row r="22" customFormat="false" ht="13.5" hidden="false" customHeight="true" outlineLevel="0" collapsed="false">
      <c r="A22" s="309" t="s">
        <v>5349</v>
      </c>
      <c r="B22" s="310"/>
      <c r="C22" s="310"/>
      <c r="D22" s="313" t="n">
        <v>1</v>
      </c>
      <c r="E22" s="310"/>
      <c r="F22" s="310"/>
      <c r="G22" s="310"/>
      <c r="H22" s="310"/>
      <c r="I22" s="310"/>
      <c r="J22" s="310"/>
      <c r="K22" s="310"/>
      <c r="L22" s="310"/>
      <c r="M22" s="310"/>
      <c r="N22" s="310"/>
      <c r="O22" s="310"/>
      <c r="P22" s="310"/>
      <c r="Q22" s="310"/>
      <c r="R22" s="310"/>
      <c r="S22" s="310"/>
      <c r="T22" s="310"/>
      <c r="U22" s="310"/>
      <c r="V22" s="310"/>
      <c r="W22" s="310"/>
      <c r="X22" s="310"/>
    </row>
    <row r="23" customFormat="false" ht="13.5" hidden="false" customHeight="true" outlineLevel="0" collapsed="false">
      <c r="A23" s="311" t="s">
        <v>5350</v>
      </c>
      <c r="B23" s="312"/>
      <c r="C23" s="312"/>
      <c r="D23" s="312"/>
      <c r="E23" s="312"/>
      <c r="F23" s="312"/>
      <c r="G23" s="312"/>
      <c r="H23" s="312"/>
      <c r="I23" s="312"/>
      <c r="J23" s="312"/>
      <c r="K23" s="312"/>
      <c r="L23" s="312"/>
      <c r="M23" s="312"/>
      <c r="N23" s="312"/>
      <c r="O23" s="312"/>
      <c r="P23" s="312"/>
      <c r="Q23" s="312"/>
      <c r="R23" s="312"/>
      <c r="S23" s="312"/>
      <c r="T23" s="312"/>
      <c r="U23" s="313" t="n">
        <v>1</v>
      </c>
      <c r="V23" s="312"/>
      <c r="W23" s="312"/>
      <c r="X23" s="312"/>
    </row>
    <row r="24" customFormat="false" ht="13.5" hidden="false" customHeight="true" outlineLevel="0" collapsed="false">
      <c r="A24" s="309" t="s">
        <v>5351</v>
      </c>
      <c r="B24" s="310"/>
      <c r="C24" s="310"/>
      <c r="D24" s="310"/>
      <c r="E24" s="310"/>
      <c r="F24" s="310"/>
      <c r="G24" s="310"/>
      <c r="H24" s="310"/>
      <c r="I24" s="310"/>
      <c r="J24" s="310"/>
      <c r="K24" s="310"/>
      <c r="L24" s="310"/>
      <c r="M24" s="310"/>
      <c r="N24" s="310"/>
      <c r="O24" s="310"/>
      <c r="P24" s="310"/>
      <c r="Q24" s="310"/>
      <c r="R24" s="310"/>
      <c r="S24" s="310"/>
      <c r="T24" s="310"/>
      <c r="U24" s="313" t="n">
        <v>1</v>
      </c>
      <c r="V24" s="310"/>
      <c r="W24" s="310"/>
      <c r="X24" s="310"/>
    </row>
    <row r="25" customFormat="false" ht="13.5" hidden="false" customHeight="true" outlineLevel="0" collapsed="false">
      <c r="A25" s="311" t="s">
        <v>5352</v>
      </c>
      <c r="B25" s="313" t="n">
        <v>1</v>
      </c>
      <c r="C25" s="312"/>
      <c r="D25" s="312"/>
      <c r="E25" s="312"/>
      <c r="F25" s="312"/>
      <c r="G25" s="312"/>
      <c r="H25" s="312"/>
      <c r="I25" s="312"/>
      <c r="J25" s="312"/>
      <c r="K25" s="312"/>
      <c r="L25" s="312"/>
      <c r="M25" s="312"/>
      <c r="N25" s="312"/>
      <c r="O25" s="312"/>
      <c r="P25" s="312"/>
      <c r="Q25" s="312"/>
      <c r="R25" s="312"/>
      <c r="S25" s="312"/>
      <c r="T25" s="312"/>
      <c r="U25" s="312"/>
      <c r="V25" s="312"/>
      <c r="W25" s="312"/>
      <c r="X25" s="312"/>
    </row>
    <row r="26" customFormat="false" ht="13.5" hidden="false" customHeight="true" outlineLevel="0" collapsed="false">
      <c r="A26" s="309" t="s">
        <v>5353</v>
      </c>
      <c r="B26" s="313" t="n">
        <v>1</v>
      </c>
      <c r="C26" s="310"/>
      <c r="D26" s="310"/>
      <c r="E26" s="310"/>
      <c r="F26" s="310"/>
      <c r="G26" s="310"/>
      <c r="H26" s="310"/>
      <c r="I26" s="310"/>
      <c r="J26" s="310"/>
      <c r="K26" s="310"/>
      <c r="L26" s="310"/>
      <c r="M26" s="310"/>
      <c r="N26" s="310"/>
      <c r="O26" s="310"/>
      <c r="P26" s="310"/>
      <c r="Q26" s="310"/>
      <c r="R26" s="310"/>
      <c r="S26" s="310"/>
      <c r="T26" s="310"/>
      <c r="U26" s="310"/>
      <c r="V26" s="310"/>
      <c r="W26" s="310"/>
      <c r="X26" s="310"/>
    </row>
    <row r="27" customFormat="false" ht="13.5" hidden="false" customHeight="true" outlineLevel="0" collapsed="false">
      <c r="A27" s="311" t="s">
        <v>5354</v>
      </c>
      <c r="B27" s="313" t="n">
        <v>1</v>
      </c>
      <c r="C27" s="312"/>
      <c r="D27" s="312"/>
      <c r="E27" s="312"/>
      <c r="F27" s="312"/>
      <c r="G27" s="312"/>
      <c r="H27" s="312"/>
      <c r="I27" s="312"/>
      <c r="J27" s="312"/>
      <c r="K27" s="312"/>
      <c r="L27" s="312"/>
      <c r="M27" s="312"/>
      <c r="N27" s="312"/>
      <c r="O27" s="312"/>
      <c r="P27" s="312"/>
      <c r="Q27" s="312"/>
      <c r="R27" s="312"/>
      <c r="S27" s="312"/>
      <c r="T27" s="312"/>
      <c r="U27" s="312"/>
      <c r="V27" s="312"/>
      <c r="W27" s="312"/>
      <c r="X27" s="312"/>
    </row>
    <row r="28" customFormat="false" ht="13.5" hidden="false" customHeight="true" outlineLevel="0" collapsed="false">
      <c r="A28" s="309" t="s">
        <v>5355</v>
      </c>
      <c r="B28" s="313" t="n">
        <v>1</v>
      </c>
      <c r="C28" s="310"/>
      <c r="D28" s="310"/>
      <c r="E28" s="310"/>
      <c r="F28" s="310"/>
      <c r="G28" s="310"/>
      <c r="H28" s="310"/>
      <c r="I28" s="310"/>
      <c r="J28" s="310"/>
      <c r="K28" s="310"/>
      <c r="L28" s="310"/>
      <c r="M28" s="310"/>
      <c r="N28" s="310"/>
      <c r="O28" s="310"/>
      <c r="P28" s="310"/>
      <c r="Q28" s="310"/>
      <c r="R28" s="310"/>
      <c r="S28" s="310"/>
      <c r="T28" s="310"/>
      <c r="U28" s="310"/>
      <c r="V28" s="310"/>
      <c r="W28" s="310"/>
      <c r="X28" s="310"/>
    </row>
    <row r="29" customFormat="false" ht="13.5" hidden="false" customHeight="true" outlineLevel="0" collapsed="false">
      <c r="A29" s="311" t="s">
        <v>5356</v>
      </c>
      <c r="B29" s="312"/>
      <c r="C29" s="312"/>
      <c r="D29" s="312"/>
      <c r="E29" s="312"/>
      <c r="F29" s="312"/>
      <c r="G29" s="312"/>
      <c r="H29" s="312"/>
      <c r="I29" s="312"/>
      <c r="J29" s="312"/>
      <c r="K29" s="312"/>
      <c r="L29" s="312"/>
      <c r="M29" s="312"/>
      <c r="N29" s="312"/>
      <c r="O29" s="312"/>
      <c r="P29" s="312"/>
      <c r="Q29" s="312"/>
      <c r="R29" s="312"/>
      <c r="S29" s="312"/>
      <c r="T29" s="312"/>
      <c r="U29" s="312"/>
      <c r="V29" s="312"/>
      <c r="W29" s="312"/>
      <c r="X29" s="312"/>
    </row>
    <row r="30" customFormat="false" ht="13.5" hidden="false" customHeight="true" outlineLevel="0" collapsed="false">
      <c r="A30" s="309" t="s">
        <v>5357</v>
      </c>
      <c r="B30" s="310"/>
      <c r="C30" s="310"/>
      <c r="D30" s="310"/>
      <c r="E30" s="310"/>
      <c r="F30" s="310"/>
      <c r="G30" s="310"/>
      <c r="H30" s="310"/>
      <c r="I30" s="310"/>
      <c r="J30" s="310"/>
      <c r="K30" s="310"/>
      <c r="L30" s="310"/>
      <c r="M30" s="310"/>
      <c r="N30" s="310"/>
      <c r="O30" s="310"/>
      <c r="P30" s="310"/>
      <c r="Q30" s="310"/>
      <c r="R30" s="310"/>
      <c r="S30" s="310"/>
      <c r="T30" s="310"/>
      <c r="U30" s="310"/>
      <c r="V30" s="310"/>
      <c r="W30" s="310"/>
      <c r="X30" s="310"/>
    </row>
    <row r="31" customFormat="false" ht="13.5" hidden="false" customHeight="true" outlineLevel="0" collapsed="false">
      <c r="A31" s="311" t="s">
        <v>5358</v>
      </c>
      <c r="B31" s="312"/>
      <c r="C31" s="312"/>
      <c r="D31" s="312"/>
      <c r="E31" s="312"/>
      <c r="F31" s="312"/>
      <c r="G31" s="312"/>
      <c r="H31" s="312"/>
      <c r="I31" s="312"/>
      <c r="J31" s="312"/>
      <c r="K31" s="312"/>
      <c r="L31" s="312"/>
      <c r="M31" s="312"/>
      <c r="N31" s="312"/>
      <c r="O31" s="312"/>
      <c r="P31" s="312"/>
      <c r="Q31" s="312"/>
      <c r="R31" s="312"/>
      <c r="S31" s="312"/>
      <c r="T31" s="312"/>
      <c r="U31" s="312"/>
      <c r="V31" s="312"/>
      <c r="W31" s="312"/>
      <c r="X31" s="312"/>
    </row>
    <row r="32" customFormat="false" ht="13.5" hidden="false" customHeight="true" outlineLevel="0" collapsed="false">
      <c r="A32" s="309" t="s">
        <v>5359</v>
      </c>
      <c r="B32" s="310"/>
      <c r="C32" s="310"/>
      <c r="D32" s="310"/>
      <c r="E32" s="310"/>
      <c r="F32" s="310"/>
      <c r="G32" s="310"/>
      <c r="H32" s="310"/>
      <c r="I32" s="310"/>
      <c r="J32" s="310"/>
      <c r="K32" s="310"/>
      <c r="L32" s="310"/>
      <c r="M32" s="310"/>
      <c r="N32" s="313" t="n">
        <v>1</v>
      </c>
      <c r="O32" s="310"/>
      <c r="P32" s="310"/>
      <c r="Q32" s="310"/>
      <c r="R32" s="310"/>
      <c r="S32" s="310"/>
      <c r="T32" s="310"/>
      <c r="U32" s="310"/>
      <c r="V32" s="310"/>
      <c r="W32" s="310"/>
      <c r="X32" s="310"/>
    </row>
    <row r="33" customFormat="false" ht="13.5" hidden="false" customHeight="true" outlineLevel="0" collapsed="false">
      <c r="A33" s="311" t="s">
        <v>5360</v>
      </c>
      <c r="B33" s="312"/>
      <c r="C33" s="312"/>
      <c r="D33" s="312"/>
      <c r="E33" s="312"/>
      <c r="F33" s="312"/>
      <c r="G33" s="312"/>
      <c r="H33" s="312"/>
      <c r="I33" s="312"/>
      <c r="J33" s="312"/>
      <c r="K33" s="312"/>
      <c r="L33" s="312"/>
      <c r="M33" s="312"/>
      <c r="N33" s="312"/>
      <c r="O33" s="312"/>
      <c r="P33" s="312"/>
      <c r="Q33" s="312"/>
      <c r="R33" s="312"/>
      <c r="S33" s="312"/>
      <c r="T33" s="312"/>
      <c r="U33" s="312"/>
      <c r="V33" s="312"/>
      <c r="W33" s="312"/>
      <c r="X33" s="312"/>
    </row>
    <row r="34" customFormat="false" ht="13.5" hidden="false" customHeight="true" outlineLevel="0" collapsed="false">
      <c r="A34" s="309" t="s">
        <v>5361</v>
      </c>
      <c r="B34" s="310"/>
      <c r="C34" s="310"/>
      <c r="D34" s="310"/>
      <c r="E34" s="310"/>
      <c r="F34" s="310"/>
      <c r="G34" s="310"/>
      <c r="H34" s="310"/>
      <c r="I34" s="313" t="n">
        <v>1</v>
      </c>
      <c r="J34" s="310"/>
      <c r="K34" s="310"/>
      <c r="L34" s="310"/>
      <c r="M34" s="310"/>
      <c r="N34" s="310"/>
      <c r="O34" s="310"/>
      <c r="P34" s="310"/>
      <c r="Q34" s="313" t="n">
        <v>1</v>
      </c>
      <c r="R34" s="310"/>
      <c r="S34" s="310"/>
      <c r="T34" s="310"/>
      <c r="U34" s="310"/>
      <c r="V34" s="310"/>
      <c r="W34" s="310"/>
      <c r="X34" s="310"/>
    </row>
    <row r="35" customFormat="false" ht="13.5" hidden="false" customHeight="true" outlineLevel="0" collapsed="false">
      <c r="A35" s="311" t="s">
        <v>5362</v>
      </c>
      <c r="B35" s="312"/>
      <c r="C35" s="312"/>
      <c r="D35" s="312"/>
      <c r="E35" s="312"/>
      <c r="F35" s="312"/>
      <c r="G35" s="312"/>
      <c r="H35" s="312"/>
      <c r="I35" s="312"/>
      <c r="J35" s="312"/>
      <c r="K35" s="312"/>
      <c r="L35" s="312"/>
      <c r="M35" s="312"/>
      <c r="N35" s="312"/>
      <c r="O35" s="312"/>
      <c r="P35" s="312"/>
      <c r="Q35" s="312"/>
      <c r="R35" s="312"/>
      <c r="S35" s="312"/>
      <c r="T35" s="312"/>
      <c r="U35" s="312"/>
      <c r="V35" s="312"/>
      <c r="W35" s="312"/>
      <c r="X35" s="312"/>
    </row>
    <row r="36" customFormat="false" ht="13.5" hidden="false" customHeight="true" outlineLevel="0" collapsed="false">
      <c r="A36" s="309" t="s">
        <v>5363</v>
      </c>
      <c r="B36" s="310"/>
      <c r="C36" s="310"/>
      <c r="D36" s="310"/>
      <c r="E36" s="310"/>
      <c r="F36" s="310"/>
      <c r="G36" s="310"/>
      <c r="H36" s="310"/>
      <c r="I36" s="310"/>
      <c r="J36" s="310"/>
      <c r="K36" s="310"/>
      <c r="L36" s="310"/>
      <c r="M36" s="310"/>
      <c r="N36" s="310"/>
      <c r="O36" s="310"/>
      <c r="P36" s="310"/>
      <c r="Q36" s="310"/>
      <c r="R36" s="310"/>
      <c r="S36" s="310"/>
      <c r="T36" s="310"/>
      <c r="U36" s="310"/>
      <c r="V36" s="310"/>
      <c r="W36" s="310"/>
      <c r="X36" s="310"/>
    </row>
    <row r="37" customFormat="false" ht="13.5" hidden="false" customHeight="true" outlineLevel="0" collapsed="false">
      <c r="A37" s="311" t="s">
        <v>5364</v>
      </c>
      <c r="B37" s="312"/>
      <c r="C37" s="312"/>
      <c r="D37" s="312"/>
      <c r="E37" s="312"/>
      <c r="F37" s="312"/>
      <c r="G37" s="312"/>
      <c r="H37" s="312"/>
      <c r="I37" s="312"/>
      <c r="J37" s="312"/>
      <c r="K37" s="312"/>
      <c r="L37" s="312"/>
      <c r="M37" s="312"/>
      <c r="N37" s="312"/>
      <c r="O37" s="312"/>
      <c r="P37" s="312"/>
      <c r="Q37" s="312"/>
      <c r="R37" s="312"/>
      <c r="S37" s="312"/>
      <c r="T37" s="312"/>
      <c r="U37" s="312"/>
      <c r="V37" s="312"/>
      <c r="W37" s="312"/>
      <c r="X37" s="312"/>
    </row>
    <row r="38" customFormat="false" ht="13.5" hidden="false" customHeight="true" outlineLevel="0" collapsed="false">
      <c r="A38" s="309" t="s">
        <v>5365</v>
      </c>
      <c r="B38" s="310"/>
      <c r="C38" s="310"/>
      <c r="D38" s="310"/>
      <c r="E38" s="310"/>
      <c r="F38" s="310"/>
      <c r="G38" s="310"/>
      <c r="H38" s="310"/>
      <c r="I38" s="310"/>
      <c r="J38" s="310"/>
      <c r="K38" s="310"/>
      <c r="L38" s="310"/>
      <c r="M38" s="310"/>
      <c r="N38" s="310"/>
      <c r="O38" s="310"/>
      <c r="P38" s="310"/>
      <c r="Q38" s="310"/>
      <c r="R38" s="310"/>
      <c r="S38" s="310"/>
      <c r="T38" s="310"/>
      <c r="U38" s="310"/>
      <c r="V38" s="310"/>
      <c r="W38" s="310"/>
      <c r="X38" s="310"/>
    </row>
    <row r="39" customFormat="false" ht="13.5" hidden="false" customHeight="true" outlineLevel="0" collapsed="false">
      <c r="A39" s="311" t="s">
        <v>5366</v>
      </c>
      <c r="B39" s="312"/>
      <c r="C39" s="312"/>
      <c r="D39" s="312"/>
      <c r="E39" s="312"/>
      <c r="F39" s="312"/>
      <c r="G39" s="312"/>
      <c r="H39" s="312"/>
      <c r="I39" s="312"/>
      <c r="J39" s="312"/>
      <c r="K39" s="312"/>
      <c r="L39" s="312"/>
      <c r="M39" s="312"/>
      <c r="N39" s="312"/>
      <c r="O39" s="312"/>
      <c r="P39" s="312"/>
      <c r="Q39" s="312"/>
      <c r="R39" s="312"/>
      <c r="S39" s="312"/>
      <c r="T39" s="312"/>
      <c r="U39" s="312"/>
      <c r="V39" s="312"/>
      <c r="W39" s="312"/>
      <c r="X39" s="312"/>
    </row>
    <row r="40" customFormat="false" ht="13.5" hidden="false" customHeight="true" outlineLevel="0" collapsed="false">
      <c r="A40" s="309" t="s">
        <v>5367</v>
      </c>
      <c r="B40" s="310"/>
      <c r="C40" s="310"/>
      <c r="D40" s="310"/>
      <c r="E40" s="310"/>
      <c r="F40" s="310"/>
      <c r="G40" s="310"/>
      <c r="H40" s="310"/>
      <c r="I40" s="310"/>
      <c r="J40" s="310"/>
      <c r="K40" s="310"/>
      <c r="L40" s="310"/>
      <c r="M40" s="310"/>
      <c r="N40" s="310"/>
      <c r="O40" s="310"/>
      <c r="P40" s="310"/>
      <c r="Q40" s="310"/>
      <c r="R40" s="310"/>
      <c r="S40" s="310"/>
      <c r="T40" s="310"/>
      <c r="U40" s="310"/>
      <c r="V40" s="310"/>
      <c r="W40" s="310"/>
      <c r="X40" s="310"/>
    </row>
    <row r="41" customFormat="false" ht="13.5" hidden="false" customHeight="true" outlineLevel="0" collapsed="false">
      <c r="A41" s="311" t="s">
        <v>5368</v>
      </c>
      <c r="B41" s="312"/>
      <c r="C41" s="312"/>
      <c r="D41" s="312"/>
      <c r="E41" s="313" t="n">
        <v>1</v>
      </c>
      <c r="F41" s="312"/>
      <c r="G41" s="312"/>
      <c r="H41" s="312"/>
      <c r="I41" s="312"/>
      <c r="J41" s="312"/>
      <c r="K41" s="312"/>
      <c r="L41" s="312"/>
      <c r="M41" s="312"/>
      <c r="N41" s="312"/>
      <c r="O41" s="312"/>
      <c r="P41" s="312"/>
      <c r="Q41" s="312"/>
      <c r="R41" s="312"/>
      <c r="S41" s="312"/>
      <c r="T41" s="312"/>
      <c r="U41" s="312"/>
      <c r="V41" s="312"/>
      <c r="W41" s="312"/>
      <c r="X41" s="312"/>
    </row>
    <row r="42" customFormat="false" ht="13.5" hidden="false" customHeight="true" outlineLevel="0" collapsed="false">
      <c r="A42" s="309" t="s">
        <v>5369</v>
      </c>
      <c r="B42" s="310"/>
      <c r="C42" s="310"/>
      <c r="D42" s="310"/>
      <c r="E42" s="310"/>
      <c r="F42" s="310"/>
      <c r="G42" s="310"/>
      <c r="H42" s="310"/>
      <c r="I42" s="310"/>
      <c r="J42" s="310"/>
      <c r="K42" s="310"/>
      <c r="L42" s="310"/>
      <c r="M42" s="310"/>
      <c r="N42" s="310"/>
      <c r="O42" s="310"/>
      <c r="P42" s="310"/>
      <c r="Q42" s="310"/>
      <c r="R42" s="310"/>
      <c r="S42" s="310"/>
      <c r="T42" s="310"/>
      <c r="U42" s="310"/>
      <c r="V42" s="310"/>
      <c r="W42" s="310"/>
      <c r="X42" s="310"/>
    </row>
    <row r="43" customFormat="false" ht="13.5" hidden="false" customHeight="true" outlineLevel="0" collapsed="false">
      <c r="A43" s="311" t="s">
        <v>5370</v>
      </c>
      <c r="B43" s="312"/>
      <c r="C43" s="312"/>
      <c r="D43" s="312"/>
      <c r="E43" s="312"/>
      <c r="F43" s="312"/>
      <c r="G43" s="312"/>
      <c r="H43" s="312"/>
      <c r="I43" s="312"/>
      <c r="J43" s="312"/>
      <c r="K43" s="312"/>
      <c r="L43" s="312"/>
      <c r="M43" s="312"/>
      <c r="N43" s="312"/>
      <c r="O43" s="312"/>
      <c r="P43" s="312"/>
      <c r="Q43" s="312"/>
      <c r="R43" s="312"/>
      <c r="S43" s="312"/>
      <c r="T43" s="312"/>
      <c r="U43" s="312"/>
      <c r="V43" s="312"/>
      <c r="W43" s="312"/>
      <c r="X43" s="312"/>
    </row>
    <row r="44" customFormat="false" ht="13.5" hidden="false" customHeight="true" outlineLevel="0" collapsed="false">
      <c r="A44" s="309" t="s">
        <v>5371</v>
      </c>
      <c r="B44" s="310"/>
      <c r="C44" s="310"/>
      <c r="D44" s="310"/>
      <c r="E44" s="310"/>
      <c r="F44" s="310"/>
      <c r="G44" s="310"/>
      <c r="H44" s="310"/>
      <c r="I44" s="310"/>
      <c r="J44" s="310"/>
      <c r="K44" s="310"/>
      <c r="L44" s="310"/>
      <c r="M44" s="310"/>
      <c r="N44" s="310"/>
      <c r="O44" s="310"/>
      <c r="P44" s="310"/>
      <c r="Q44" s="310"/>
      <c r="R44" s="310"/>
      <c r="S44" s="310"/>
      <c r="T44" s="310"/>
      <c r="U44" s="310"/>
      <c r="V44" s="310"/>
      <c r="W44" s="310"/>
      <c r="X44" s="310"/>
    </row>
    <row r="45" customFormat="false" ht="13.5" hidden="false" customHeight="true" outlineLevel="0" collapsed="false">
      <c r="A45" s="311" t="s">
        <v>5372</v>
      </c>
      <c r="B45" s="312"/>
      <c r="C45" s="312"/>
      <c r="D45" s="312"/>
      <c r="E45" s="312"/>
      <c r="F45" s="312"/>
      <c r="G45" s="312"/>
      <c r="H45" s="312"/>
      <c r="I45" s="312"/>
      <c r="J45" s="312"/>
      <c r="K45" s="312"/>
      <c r="L45" s="312"/>
      <c r="M45" s="312"/>
      <c r="N45" s="312"/>
      <c r="O45" s="312"/>
      <c r="P45" s="312"/>
      <c r="Q45" s="312"/>
      <c r="R45" s="312"/>
      <c r="S45" s="312"/>
      <c r="T45" s="312"/>
      <c r="U45" s="312"/>
      <c r="V45" s="312"/>
      <c r="W45" s="312"/>
      <c r="X45" s="312"/>
    </row>
    <row r="46" customFormat="false" ht="13.5" hidden="false" customHeight="true" outlineLevel="0" collapsed="false">
      <c r="A46" s="309" t="s">
        <v>5373</v>
      </c>
      <c r="B46" s="310"/>
      <c r="C46" s="310"/>
      <c r="D46" s="310"/>
      <c r="E46" s="310"/>
      <c r="F46" s="310"/>
      <c r="G46" s="310"/>
      <c r="H46" s="310"/>
      <c r="I46" s="310"/>
      <c r="J46" s="310"/>
      <c r="K46" s="310"/>
      <c r="L46" s="310"/>
      <c r="M46" s="310"/>
      <c r="N46" s="310"/>
      <c r="O46" s="310"/>
      <c r="P46" s="310"/>
      <c r="Q46" s="310"/>
      <c r="R46" s="310"/>
      <c r="S46" s="310"/>
      <c r="T46" s="310"/>
      <c r="U46" s="313" t="n">
        <v>1</v>
      </c>
      <c r="V46" s="310"/>
      <c r="W46" s="310"/>
      <c r="X46" s="310"/>
    </row>
    <row r="47" customFormat="false" ht="13.5" hidden="false" customHeight="true" outlineLevel="0" collapsed="false">
      <c r="A47" s="311" t="s">
        <v>5374</v>
      </c>
      <c r="B47" s="312"/>
      <c r="C47" s="312"/>
      <c r="D47" s="312"/>
      <c r="E47" s="312"/>
      <c r="F47" s="312"/>
      <c r="G47" s="312"/>
      <c r="H47" s="312"/>
      <c r="I47" s="312"/>
      <c r="J47" s="312"/>
      <c r="K47" s="312"/>
      <c r="L47" s="312"/>
      <c r="M47" s="312"/>
      <c r="N47" s="312"/>
      <c r="O47" s="312"/>
      <c r="P47" s="312"/>
      <c r="Q47" s="312"/>
      <c r="R47" s="312"/>
      <c r="S47" s="312"/>
      <c r="T47" s="312"/>
      <c r="U47" s="312"/>
      <c r="V47" s="312"/>
      <c r="W47" s="312"/>
      <c r="X47" s="312"/>
    </row>
    <row r="48" customFormat="false" ht="13.5" hidden="false" customHeight="true" outlineLevel="0" collapsed="false">
      <c r="A48" s="309" t="s">
        <v>5375</v>
      </c>
      <c r="B48" s="310"/>
      <c r="C48" s="310"/>
      <c r="D48" s="310"/>
      <c r="E48" s="310"/>
      <c r="F48" s="310"/>
      <c r="G48" s="313" t="n">
        <v>1</v>
      </c>
      <c r="H48" s="310"/>
      <c r="I48" s="310"/>
      <c r="J48" s="310"/>
      <c r="K48" s="310"/>
      <c r="L48" s="310"/>
      <c r="M48" s="310"/>
      <c r="N48" s="310"/>
      <c r="O48" s="310"/>
      <c r="P48" s="310"/>
      <c r="Q48" s="310"/>
      <c r="R48" s="310"/>
      <c r="S48" s="310"/>
      <c r="T48" s="310"/>
      <c r="U48" s="310"/>
      <c r="V48" s="310"/>
      <c r="W48" s="310"/>
      <c r="X48" s="310"/>
    </row>
    <row r="49" customFormat="false" ht="13.5" hidden="false" customHeight="true" outlineLevel="0" collapsed="false">
      <c r="A49" s="311" t="s">
        <v>5376</v>
      </c>
      <c r="B49" s="312"/>
      <c r="C49" s="312"/>
      <c r="D49" s="312"/>
      <c r="E49" s="312"/>
      <c r="F49" s="313" t="n">
        <v>1</v>
      </c>
      <c r="G49" s="312"/>
      <c r="H49" s="312"/>
      <c r="I49" s="312"/>
      <c r="J49" s="312"/>
      <c r="K49" s="312"/>
      <c r="L49" s="312"/>
      <c r="M49" s="312"/>
      <c r="N49" s="312"/>
      <c r="O49" s="312"/>
      <c r="P49" s="312"/>
      <c r="Q49" s="312"/>
      <c r="R49" s="312"/>
      <c r="S49" s="312"/>
      <c r="T49" s="312"/>
      <c r="U49" s="312"/>
      <c r="V49" s="312"/>
      <c r="W49" s="312"/>
      <c r="X49" s="312"/>
    </row>
    <row r="50" customFormat="false" ht="13.5" hidden="false" customHeight="true" outlineLevel="0" collapsed="false">
      <c r="A50" s="309" t="s">
        <v>5377</v>
      </c>
      <c r="B50" s="310"/>
      <c r="C50" s="310"/>
      <c r="D50" s="310"/>
      <c r="E50" s="310"/>
      <c r="F50" s="310"/>
      <c r="G50" s="310"/>
      <c r="H50" s="310"/>
      <c r="I50" s="310"/>
      <c r="J50" s="310"/>
      <c r="K50" s="310"/>
      <c r="L50" s="310"/>
      <c r="M50" s="310"/>
      <c r="N50" s="310"/>
      <c r="O50" s="310"/>
      <c r="P50" s="310"/>
      <c r="Q50" s="310"/>
      <c r="R50" s="310"/>
      <c r="S50" s="310"/>
      <c r="T50" s="310"/>
      <c r="U50" s="310"/>
      <c r="V50" s="310"/>
      <c r="W50" s="310"/>
      <c r="X50" s="310"/>
    </row>
    <row r="51" customFormat="false" ht="13.5" hidden="false" customHeight="true" outlineLevel="0" collapsed="false">
      <c r="A51" s="311" t="s">
        <v>5378</v>
      </c>
      <c r="B51" s="312"/>
      <c r="C51" s="312"/>
      <c r="D51" s="312"/>
      <c r="E51" s="312"/>
      <c r="F51" s="312"/>
      <c r="G51" s="312"/>
      <c r="H51" s="312"/>
      <c r="I51" s="312"/>
      <c r="J51" s="312"/>
      <c r="K51" s="312"/>
      <c r="L51" s="312"/>
      <c r="M51" s="312"/>
      <c r="N51" s="312"/>
      <c r="O51" s="312"/>
      <c r="P51" s="312"/>
      <c r="Q51" s="312"/>
      <c r="R51" s="312"/>
      <c r="S51" s="312"/>
      <c r="T51" s="312"/>
      <c r="U51" s="312"/>
      <c r="V51" s="312"/>
      <c r="W51" s="312"/>
      <c r="X51" s="312"/>
    </row>
    <row r="52" customFormat="false" ht="13.5" hidden="false" customHeight="true" outlineLevel="0" collapsed="false">
      <c r="A52" s="309" t="s">
        <v>5379</v>
      </c>
      <c r="B52" s="310"/>
      <c r="C52" s="310"/>
      <c r="D52" s="310"/>
      <c r="E52" s="310"/>
      <c r="F52" s="310"/>
      <c r="G52" s="310"/>
      <c r="H52" s="310"/>
      <c r="I52" s="310"/>
      <c r="J52" s="310"/>
      <c r="K52" s="310"/>
      <c r="L52" s="310"/>
      <c r="M52" s="310"/>
      <c r="N52" s="310"/>
      <c r="O52" s="310"/>
      <c r="P52" s="310"/>
      <c r="Q52" s="310"/>
      <c r="R52" s="310"/>
      <c r="S52" s="310"/>
      <c r="T52" s="310"/>
      <c r="U52" s="310"/>
      <c r="V52" s="310"/>
      <c r="W52" s="310"/>
      <c r="X52" s="310"/>
    </row>
    <row r="53" customFormat="false" ht="13.5" hidden="false" customHeight="true" outlineLevel="0" collapsed="false">
      <c r="A53" s="311" t="s">
        <v>5380</v>
      </c>
      <c r="B53" s="312"/>
      <c r="C53" s="312"/>
      <c r="D53" s="312"/>
      <c r="E53" s="312"/>
      <c r="F53" s="312"/>
      <c r="G53" s="312"/>
      <c r="H53" s="312"/>
      <c r="I53" s="312"/>
      <c r="J53" s="312"/>
      <c r="K53" s="312"/>
      <c r="L53" s="312"/>
      <c r="M53" s="312"/>
      <c r="N53" s="312"/>
      <c r="O53" s="312"/>
      <c r="P53" s="312"/>
      <c r="Q53" s="312"/>
      <c r="R53" s="312"/>
      <c r="S53" s="312"/>
      <c r="T53" s="312"/>
      <c r="U53" s="312"/>
      <c r="V53" s="312"/>
      <c r="W53" s="312"/>
      <c r="X53" s="312"/>
    </row>
    <row r="54" customFormat="false" ht="13.5" hidden="false" customHeight="true" outlineLevel="0" collapsed="false">
      <c r="A54" s="309" t="s">
        <v>5381</v>
      </c>
      <c r="B54" s="310"/>
      <c r="C54" s="310"/>
      <c r="D54" s="310"/>
      <c r="E54" s="310"/>
      <c r="F54" s="310"/>
      <c r="G54" s="310"/>
      <c r="H54" s="310"/>
      <c r="I54" s="310"/>
      <c r="J54" s="310"/>
      <c r="K54" s="310"/>
      <c r="L54" s="310"/>
      <c r="M54" s="310"/>
      <c r="N54" s="310"/>
      <c r="O54" s="310"/>
      <c r="P54" s="310"/>
      <c r="Q54" s="310"/>
      <c r="R54" s="310"/>
      <c r="S54" s="310"/>
      <c r="T54" s="310"/>
      <c r="U54" s="310"/>
      <c r="V54" s="310"/>
      <c r="W54" s="310"/>
      <c r="X54" s="310"/>
    </row>
    <row r="55" customFormat="false" ht="13.5" hidden="false" customHeight="true" outlineLevel="0" collapsed="false">
      <c r="A55" s="311" t="s">
        <v>5382</v>
      </c>
      <c r="B55" s="312"/>
      <c r="C55" s="312"/>
      <c r="D55" s="312"/>
      <c r="E55" s="312"/>
      <c r="F55" s="312"/>
      <c r="G55" s="312"/>
      <c r="H55" s="312"/>
      <c r="I55" s="312"/>
      <c r="J55" s="312"/>
      <c r="K55" s="312"/>
      <c r="L55" s="312"/>
      <c r="M55" s="312"/>
      <c r="N55" s="312"/>
      <c r="O55" s="312"/>
      <c r="P55" s="312"/>
      <c r="Q55" s="312"/>
      <c r="R55" s="312"/>
      <c r="S55" s="312"/>
      <c r="T55" s="312"/>
      <c r="U55" s="312"/>
      <c r="V55" s="312"/>
      <c r="W55" s="312"/>
      <c r="X55" s="312"/>
    </row>
    <row r="56" customFormat="false" ht="13.5" hidden="false" customHeight="true" outlineLevel="0" collapsed="false">
      <c r="A56" s="309" t="s">
        <v>5383</v>
      </c>
      <c r="B56" s="310"/>
      <c r="C56" s="310"/>
      <c r="D56" s="310"/>
      <c r="E56" s="310"/>
      <c r="F56" s="310"/>
      <c r="G56" s="310"/>
      <c r="H56" s="310"/>
      <c r="I56" s="310"/>
      <c r="J56" s="310"/>
      <c r="K56" s="310"/>
      <c r="L56" s="310"/>
      <c r="M56" s="310"/>
      <c r="N56" s="310"/>
      <c r="O56" s="310"/>
      <c r="P56" s="310"/>
      <c r="Q56" s="310"/>
      <c r="R56" s="310"/>
      <c r="S56" s="310"/>
      <c r="T56" s="310"/>
      <c r="U56" s="310"/>
      <c r="V56" s="310"/>
      <c r="W56" s="310"/>
      <c r="X56" s="310"/>
    </row>
    <row r="57" customFormat="false" ht="13.5" hidden="false" customHeight="true" outlineLevel="0" collapsed="false">
      <c r="A57" s="311" t="s">
        <v>5384</v>
      </c>
      <c r="B57" s="312"/>
      <c r="C57" s="312"/>
      <c r="D57" s="312"/>
      <c r="E57" s="312"/>
      <c r="F57" s="312"/>
      <c r="G57" s="312"/>
      <c r="H57" s="312"/>
      <c r="I57" s="312"/>
      <c r="J57" s="312"/>
      <c r="K57" s="312"/>
      <c r="L57" s="312"/>
      <c r="M57" s="312"/>
      <c r="N57" s="312"/>
      <c r="O57" s="312"/>
      <c r="P57" s="312"/>
      <c r="Q57" s="312"/>
      <c r="R57" s="312"/>
      <c r="S57" s="312"/>
      <c r="T57" s="312"/>
      <c r="U57" s="312"/>
      <c r="V57" s="312"/>
      <c r="W57" s="312"/>
      <c r="X57" s="312"/>
    </row>
    <row r="58" customFormat="false" ht="13.5" hidden="false" customHeight="true" outlineLevel="0" collapsed="false">
      <c r="A58" s="309" t="s">
        <v>5385</v>
      </c>
      <c r="B58" s="310"/>
      <c r="C58" s="310"/>
      <c r="D58" s="310"/>
      <c r="E58" s="310"/>
      <c r="F58" s="310"/>
      <c r="G58" s="310"/>
      <c r="H58" s="310"/>
      <c r="I58" s="310"/>
      <c r="J58" s="310"/>
      <c r="K58" s="310"/>
      <c r="L58" s="310"/>
      <c r="M58" s="310"/>
      <c r="N58" s="310"/>
      <c r="O58" s="310"/>
      <c r="P58" s="310"/>
      <c r="Q58" s="310"/>
      <c r="R58" s="310"/>
      <c r="S58" s="310"/>
      <c r="T58" s="310"/>
      <c r="U58" s="310"/>
      <c r="V58" s="310"/>
      <c r="W58" s="310"/>
      <c r="X58" s="310"/>
    </row>
    <row r="59" customFormat="false" ht="13.5" hidden="false" customHeight="true" outlineLevel="0" collapsed="false">
      <c r="A59" s="311" t="s">
        <v>5386</v>
      </c>
      <c r="B59" s="312"/>
      <c r="C59" s="312"/>
      <c r="D59" s="312"/>
      <c r="E59" s="312"/>
      <c r="F59" s="312"/>
      <c r="G59" s="312"/>
      <c r="H59" s="312"/>
      <c r="I59" s="312"/>
      <c r="J59" s="312"/>
      <c r="K59" s="312"/>
      <c r="L59" s="312"/>
      <c r="M59" s="312"/>
      <c r="N59" s="312"/>
      <c r="O59" s="312"/>
      <c r="P59" s="312"/>
      <c r="Q59" s="312"/>
      <c r="R59" s="312"/>
      <c r="S59" s="312"/>
      <c r="T59" s="312"/>
      <c r="U59" s="312"/>
      <c r="V59" s="312"/>
      <c r="W59" s="312"/>
      <c r="X59" s="312"/>
    </row>
    <row r="60" customFormat="false" ht="13.5" hidden="false" customHeight="true" outlineLevel="0" collapsed="false">
      <c r="A60" s="309" t="s">
        <v>5387</v>
      </c>
      <c r="B60" s="310"/>
      <c r="C60" s="310"/>
      <c r="D60" s="310"/>
      <c r="E60" s="310"/>
      <c r="F60" s="310"/>
      <c r="G60" s="310"/>
      <c r="H60" s="310"/>
      <c r="I60" s="310"/>
      <c r="J60" s="310"/>
      <c r="K60" s="310"/>
      <c r="L60" s="310"/>
      <c r="M60" s="310"/>
      <c r="N60" s="310"/>
      <c r="O60" s="310"/>
      <c r="P60" s="310"/>
      <c r="Q60" s="310"/>
      <c r="R60" s="310"/>
      <c r="S60" s="310"/>
      <c r="T60" s="310"/>
      <c r="U60" s="310"/>
      <c r="V60" s="310"/>
      <c r="W60" s="310"/>
      <c r="X60" s="310"/>
    </row>
    <row r="61" customFormat="false" ht="13.5" hidden="false" customHeight="true" outlineLevel="0" collapsed="false">
      <c r="A61" s="311" t="s">
        <v>5388</v>
      </c>
      <c r="B61" s="312"/>
      <c r="C61" s="312"/>
      <c r="D61" s="312"/>
      <c r="E61" s="312"/>
      <c r="F61" s="312"/>
      <c r="G61" s="312"/>
      <c r="H61" s="312"/>
      <c r="I61" s="312"/>
      <c r="J61" s="312"/>
      <c r="K61" s="312"/>
      <c r="L61" s="312"/>
      <c r="M61" s="312"/>
      <c r="N61" s="312"/>
      <c r="O61" s="312"/>
      <c r="P61" s="312"/>
      <c r="Q61" s="312"/>
      <c r="R61" s="312"/>
      <c r="S61" s="312"/>
      <c r="T61" s="312"/>
      <c r="U61" s="312"/>
      <c r="V61" s="312"/>
      <c r="W61" s="312"/>
      <c r="X61" s="312"/>
    </row>
    <row r="62" customFormat="false" ht="13.5" hidden="false" customHeight="true" outlineLevel="0" collapsed="false">
      <c r="A62" s="309" t="s">
        <v>5389</v>
      </c>
      <c r="B62" s="310"/>
      <c r="C62" s="310"/>
      <c r="D62" s="310"/>
      <c r="E62" s="310"/>
      <c r="F62" s="310"/>
      <c r="G62" s="310"/>
      <c r="H62" s="310"/>
      <c r="I62" s="310"/>
      <c r="J62" s="310"/>
      <c r="K62" s="310"/>
      <c r="L62" s="310"/>
      <c r="M62" s="310"/>
      <c r="N62" s="310"/>
      <c r="O62" s="310"/>
      <c r="P62" s="310"/>
      <c r="Q62" s="310"/>
      <c r="R62" s="310"/>
      <c r="S62" s="310"/>
      <c r="T62" s="310"/>
      <c r="U62" s="310"/>
      <c r="V62" s="310"/>
      <c r="W62" s="310"/>
      <c r="X62" s="310"/>
    </row>
    <row r="63" customFormat="false" ht="13.5" hidden="false" customHeight="true" outlineLevel="0" collapsed="false">
      <c r="A63" s="311" t="s">
        <v>5390</v>
      </c>
      <c r="B63" s="312"/>
      <c r="C63" s="312"/>
      <c r="D63" s="312"/>
      <c r="E63" s="312"/>
      <c r="F63" s="312"/>
      <c r="G63" s="312"/>
      <c r="H63" s="312"/>
      <c r="I63" s="312"/>
      <c r="J63" s="312"/>
      <c r="K63" s="312"/>
      <c r="L63" s="312"/>
      <c r="M63" s="312"/>
      <c r="N63" s="312"/>
      <c r="O63" s="312"/>
      <c r="P63" s="312"/>
      <c r="Q63" s="312"/>
      <c r="R63" s="312"/>
      <c r="S63" s="312"/>
      <c r="T63" s="312"/>
      <c r="U63" s="312"/>
      <c r="V63" s="312"/>
      <c r="W63" s="312"/>
      <c r="X63" s="312"/>
    </row>
    <row r="64" customFormat="false" ht="13.5" hidden="false" customHeight="true" outlineLevel="0" collapsed="false">
      <c r="A64" s="309" t="s">
        <v>5391</v>
      </c>
      <c r="B64" s="310"/>
      <c r="C64" s="310"/>
      <c r="D64" s="310"/>
      <c r="E64" s="310"/>
      <c r="F64" s="310"/>
      <c r="G64" s="310"/>
      <c r="H64" s="310"/>
      <c r="I64" s="310"/>
      <c r="J64" s="310"/>
      <c r="K64" s="310"/>
      <c r="L64" s="310"/>
      <c r="M64" s="310"/>
      <c r="N64" s="310"/>
      <c r="O64" s="310"/>
      <c r="P64" s="310"/>
      <c r="Q64" s="310"/>
      <c r="R64" s="310"/>
      <c r="S64" s="310"/>
      <c r="T64" s="310"/>
      <c r="U64" s="310"/>
      <c r="V64" s="310"/>
      <c r="W64" s="310"/>
      <c r="X64" s="310"/>
    </row>
    <row r="65" customFormat="false" ht="13.5" hidden="false" customHeight="true" outlineLevel="0" collapsed="false">
      <c r="A65" s="311" t="s">
        <v>5392</v>
      </c>
      <c r="B65" s="312"/>
      <c r="C65" s="312"/>
      <c r="D65" s="312"/>
      <c r="E65" s="312"/>
      <c r="F65" s="312"/>
      <c r="G65" s="312"/>
      <c r="H65" s="312"/>
      <c r="I65" s="312"/>
      <c r="J65" s="312"/>
      <c r="K65" s="312"/>
      <c r="L65" s="312"/>
      <c r="M65" s="312"/>
      <c r="N65" s="312"/>
      <c r="O65" s="312"/>
      <c r="P65" s="312"/>
      <c r="Q65" s="312"/>
      <c r="R65" s="312"/>
      <c r="S65" s="312"/>
      <c r="T65" s="312"/>
      <c r="U65" s="312"/>
      <c r="V65" s="312"/>
      <c r="W65" s="312"/>
      <c r="X65" s="312"/>
    </row>
    <row r="66" customFormat="false" ht="13.5" hidden="false" customHeight="true" outlineLevel="0" collapsed="false">
      <c r="A66" s="309" t="s">
        <v>5393</v>
      </c>
      <c r="B66" s="310"/>
      <c r="C66" s="310"/>
      <c r="D66" s="310"/>
      <c r="E66" s="310"/>
      <c r="F66" s="310"/>
      <c r="G66" s="310"/>
      <c r="H66" s="310"/>
      <c r="I66" s="310"/>
      <c r="J66" s="310"/>
      <c r="K66" s="310"/>
      <c r="L66" s="310"/>
      <c r="M66" s="310"/>
      <c r="N66" s="310"/>
      <c r="O66" s="310"/>
      <c r="P66" s="310"/>
      <c r="Q66" s="310"/>
      <c r="R66" s="310"/>
      <c r="S66" s="310"/>
      <c r="T66" s="310"/>
      <c r="U66" s="310"/>
      <c r="V66" s="310"/>
      <c r="W66" s="310"/>
      <c r="X66" s="310"/>
    </row>
    <row r="67" customFormat="false" ht="13.5" hidden="false" customHeight="true" outlineLevel="0" collapsed="false">
      <c r="A67" s="311" t="s">
        <v>5394</v>
      </c>
      <c r="B67" s="312"/>
      <c r="C67" s="312"/>
      <c r="D67" s="312"/>
      <c r="E67" s="312"/>
      <c r="F67" s="312"/>
      <c r="G67" s="312"/>
      <c r="H67" s="312"/>
      <c r="I67" s="312"/>
      <c r="J67" s="312"/>
      <c r="K67" s="312"/>
      <c r="L67" s="312"/>
      <c r="M67" s="312"/>
      <c r="N67" s="312"/>
      <c r="O67" s="312"/>
      <c r="P67" s="312"/>
      <c r="Q67" s="312"/>
      <c r="R67" s="312"/>
      <c r="S67" s="312"/>
      <c r="T67" s="312"/>
      <c r="U67" s="312"/>
      <c r="V67" s="312"/>
      <c r="W67" s="312"/>
      <c r="X67" s="312"/>
    </row>
    <row r="68" customFormat="false" ht="13.5" hidden="false" customHeight="true" outlineLevel="0" collapsed="false">
      <c r="A68" s="309" t="s">
        <v>5395</v>
      </c>
      <c r="B68" s="310"/>
      <c r="C68" s="310"/>
      <c r="D68" s="310"/>
      <c r="E68" s="310"/>
      <c r="F68" s="310"/>
      <c r="G68" s="310"/>
      <c r="H68" s="310"/>
      <c r="I68" s="310"/>
      <c r="J68" s="310"/>
      <c r="K68" s="310"/>
      <c r="L68" s="310"/>
      <c r="M68" s="310"/>
      <c r="N68" s="310"/>
      <c r="O68" s="310"/>
      <c r="P68" s="310"/>
      <c r="Q68" s="310"/>
      <c r="R68" s="310"/>
      <c r="S68" s="310"/>
      <c r="T68" s="310"/>
      <c r="U68" s="310"/>
      <c r="V68" s="310"/>
      <c r="W68" s="310"/>
      <c r="X68" s="310"/>
    </row>
    <row r="69" customFormat="false" ht="13.5" hidden="false" customHeight="true" outlineLevel="0" collapsed="false">
      <c r="A69" s="311" t="s">
        <v>5396</v>
      </c>
      <c r="B69" s="312"/>
      <c r="C69" s="312"/>
      <c r="D69" s="312"/>
      <c r="E69" s="312"/>
      <c r="F69" s="312"/>
      <c r="G69" s="312"/>
      <c r="H69" s="312"/>
      <c r="I69" s="312"/>
      <c r="J69" s="312"/>
      <c r="K69" s="312"/>
      <c r="L69" s="312"/>
      <c r="M69" s="312"/>
      <c r="N69" s="312"/>
      <c r="O69" s="312"/>
      <c r="P69" s="312"/>
      <c r="Q69" s="312"/>
      <c r="R69" s="312"/>
      <c r="S69" s="312"/>
      <c r="T69" s="312"/>
      <c r="U69" s="312"/>
      <c r="V69" s="312"/>
      <c r="W69" s="312"/>
      <c r="X69" s="312"/>
    </row>
    <row r="70" customFormat="false" ht="13.5" hidden="false" customHeight="true" outlineLevel="0" collapsed="false">
      <c r="A70" s="309" t="s">
        <v>5397</v>
      </c>
      <c r="B70" s="310"/>
      <c r="C70" s="310"/>
      <c r="D70" s="310"/>
      <c r="E70" s="310"/>
      <c r="F70" s="310"/>
      <c r="G70" s="310"/>
      <c r="H70" s="310"/>
      <c r="I70" s="310"/>
      <c r="J70" s="310"/>
      <c r="K70" s="310"/>
      <c r="L70" s="310"/>
      <c r="M70" s="310"/>
      <c r="N70" s="310"/>
      <c r="O70" s="310"/>
      <c r="P70" s="310"/>
      <c r="Q70" s="310"/>
      <c r="R70" s="310"/>
      <c r="S70" s="310"/>
      <c r="T70" s="310"/>
      <c r="U70" s="310"/>
      <c r="V70" s="310"/>
      <c r="W70" s="310"/>
      <c r="X70" s="310"/>
    </row>
    <row r="71" customFormat="false" ht="13.5" hidden="false" customHeight="true" outlineLevel="0" collapsed="false">
      <c r="A71" s="311" t="s">
        <v>5398</v>
      </c>
      <c r="B71" s="312"/>
      <c r="C71" s="312"/>
      <c r="D71" s="312"/>
      <c r="E71" s="313" t="n">
        <v>1</v>
      </c>
      <c r="F71" s="312"/>
      <c r="G71" s="312"/>
      <c r="H71" s="312"/>
      <c r="I71" s="312"/>
      <c r="J71" s="312"/>
      <c r="K71" s="312"/>
      <c r="L71" s="312"/>
      <c r="M71" s="312"/>
      <c r="N71" s="312"/>
      <c r="O71" s="312"/>
      <c r="P71" s="312"/>
      <c r="Q71" s="312"/>
      <c r="R71" s="312"/>
      <c r="S71" s="312"/>
      <c r="T71" s="312"/>
      <c r="U71" s="312"/>
      <c r="V71" s="312"/>
      <c r="W71" s="312"/>
      <c r="X71" s="312"/>
    </row>
    <row r="72" customFormat="false" ht="13.5" hidden="false" customHeight="true" outlineLevel="0" collapsed="false">
      <c r="A72" s="309" t="s">
        <v>5399</v>
      </c>
      <c r="B72" s="310"/>
      <c r="C72" s="310"/>
      <c r="D72" s="310"/>
      <c r="E72" s="310"/>
      <c r="F72" s="310"/>
      <c r="G72" s="310"/>
      <c r="H72" s="310"/>
      <c r="I72" s="310"/>
      <c r="J72" s="310"/>
      <c r="K72" s="310"/>
      <c r="L72" s="310"/>
      <c r="M72" s="310"/>
      <c r="N72" s="310"/>
      <c r="O72" s="310"/>
      <c r="P72" s="310"/>
      <c r="Q72" s="310"/>
      <c r="R72" s="310"/>
      <c r="S72" s="310"/>
      <c r="T72" s="310"/>
      <c r="U72" s="310"/>
      <c r="V72" s="310"/>
      <c r="W72" s="310"/>
      <c r="X72" s="310"/>
    </row>
    <row r="73" customFormat="false" ht="13.5" hidden="false" customHeight="true" outlineLevel="0" collapsed="false">
      <c r="A73" s="311" t="s">
        <v>5400</v>
      </c>
      <c r="B73" s="312"/>
      <c r="C73" s="312"/>
      <c r="D73" s="312"/>
      <c r="E73" s="312"/>
      <c r="F73" s="312"/>
      <c r="G73" s="312"/>
      <c r="H73" s="312"/>
      <c r="I73" s="312"/>
      <c r="J73" s="312"/>
      <c r="K73" s="312"/>
      <c r="L73" s="312"/>
      <c r="M73" s="312"/>
      <c r="N73" s="312"/>
      <c r="O73" s="312"/>
      <c r="P73" s="312"/>
      <c r="Q73" s="312"/>
      <c r="R73" s="312"/>
      <c r="S73" s="312"/>
      <c r="T73" s="312"/>
      <c r="U73" s="312"/>
      <c r="V73" s="312"/>
      <c r="W73" s="312"/>
      <c r="X73" s="312"/>
    </row>
    <row r="74" customFormat="false" ht="13.5" hidden="false" customHeight="true" outlineLevel="0" collapsed="false">
      <c r="A74" s="309" t="s">
        <v>5401</v>
      </c>
      <c r="B74" s="310"/>
      <c r="C74" s="310"/>
      <c r="D74" s="310"/>
      <c r="E74" s="310"/>
      <c r="F74" s="310"/>
      <c r="G74" s="310"/>
      <c r="H74" s="310"/>
      <c r="I74" s="310"/>
      <c r="J74" s="310"/>
      <c r="K74" s="310"/>
      <c r="L74" s="310"/>
      <c r="M74" s="310"/>
      <c r="N74" s="310"/>
      <c r="O74" s="310"/>
      <c r="P74" s="310"/>
      <c r="Q74" s="310"/>
      <c r="R74" s="310"/>
      <c r="S74" s="310"/>
      <c r="T74" s="310"/>
      <c r="U74" s="310"/>
      <c r="V74" s="310"/>
      <c r="W74" s="310"/>
      <c r="X74" s="310"/>
    </row>
    <row r="75" customFormat="false" ht="13.5" hidden="false" customHeight="true" outlineLevel="0" collapsed="false">
      <c r="A75" s="311" t="s">
        <v>5402</v>
      </c>
      <c r="B75" s="312"/>
      <c r="C75" s="312"/>
      <c r="D75" s="312"/>
      <c r="E75" s="312"/>
      <c r="F75" s="312"/>
      <c r="G75" s="312"/>
      <c r="H75" s="312"/>
      <c r="I75" s="312"/>
      <c r="J75" s="312"/>
      <c r="K75" s="312"/>
      <c r="L75" s="312"/>
      <c r="M75" s="312"/>
      <c r="N75" s="312"/>
      <c r="O75" s="312"/>
      <c r="P75" s="312"/>
      <c r="Q75" s="312"/>
      <c r="R75" s="312"/>
      <c r="S75" s="312"/>
      <c r="T75" s="312"/>
      <c r="U75" s="312"/>
      <c r="V75" s="312"/>
      <c r="W75" s="312"/>
      <c r="X75" s="312"/>
    </row>
    <row r="76" customFormat="false" ht="13.5" hidden="false" customHeight="true" outlineLevel="0" collapsed="false">
      <c r="A76" s="309" t="s">
        <v>5403</v>
      </c>
      <c r="B76" s="310"/>
      <c r="C76" s="310"/>
      <c r="D76" s="310"/>
      <c r="E76" s="310"/>
      <c r="F76" s="310"/>
      <c r="G76" s="310"/>
      <c r="H76" s="310"/>
      <c r="I76" s="310"/>
      <c r="J76" s="310"/>
      <c r="K76" s="310"/>
      <c r="L76" s="310"/>
      <c r="M76" s="310"/>
      <c r="N76" s="310"/>
      <c r="O76" s="310"/>
      <c r="P76" s="310"/>
      <c r="Q76" s="310"/>
      <c r="R76" s="310"/>
      <c r="S76" s="310"/>
      <c r="T76" s="310"/>
      <c r="U76" s="310"/>
      <c r="V76" s="310"/>
      <c r="W76" s="310"/>
      <c r="X76" s="310"/>
    </row>
    <row r="77" customFormat="false" ht="13.5" hidden="false" customHeight="true" outlineLevel="0" collapsed="false">
      <c r="A77" s="311" t="s">
        <v>5404</v>
      </c>
      <c r="B77" s="312"/>
      <c r="C77" s="312"/>
      <c r="D77" s="312"/>
      <c r="E77" s="312"/>
      <c r="F77" s="312"/>
      <c r="G77" s="312"/>
      <c r="H77" s="312"/>
      <c r="I77" s="312"/>
      <c r="J77" s="312"/>
      <c r="K77" s="312"/>
      <c r="L77" s="312"/>
      <c r="M77" s="312"/>
      <c r="N77" s="312"/>
      <c r="O77" s="312"/>
      <c r="P77" s="312"/>
      <c r="Q77" s="312"/>
      <c r="R77" s="312"/>
      <c r="S77" s="312"/>
      <c r="T77" s="312"/>
      <c r="U77" s="312"/>
      <c r="V77" s="312"/>
      <c r="W77" s="312"/>
      <c r="X77" s="312"/>
    </row>
    <row r="78" customFormat="false" ht="13.5" hidden="false" customHeight="true" outlineLevel="0" collapsed="false">
      <c r="A78" s="309" t="s">
        <v>5405</v>
      </c>
      <c r="B78" s="310"/>
      <c r="C78" s="310"/>
      <c r="D78" s="310"/>
      <c r="E78" s="310"/>
      <c r="F78" s="310"/>
      <c r="G78" s="310"/>
      <c r="H78" s="310"/>
      <c r="I78" s="310"/>
      <c r="J78" s="310"/>
      <c r="K78" s="310"/>
      <c r="L78" s="310"/>
      <c r="M78" s="310"/>
      <c r="N78" s="310"/>
      <c r="O78" s="310"/>
      <c r="P78" s="310"/>
      <c r="Q78" s="310"/>
      <c r="R78" s="310"/>
      <c r="S78" s="310"/>
      <c r="T78" s="310"/>
      <c r="U78" s="310"/>
      <c r="V78" s="310"/>
      <c r="W78" s="310"/>
      <c r="X78" s="310"/>
    </row>
    <row r="79" customFormat="false" ht="13.5" hidden="false" customHeight="true" outlineLevel="0" collapsed="false">
      <c r="A79" s="311" t="s">
        <v>5406</v>
      </c>
      <c r="B79" s="312"/>
      <c r="C79" s="312"/>
      <c r="D79" s="312"/>
      <c r="E79" s="312"/>
      <c r="F79" s="312"/>
      <c r="G79" s="312"/>
      <c r="H79" s="312"/>
      <c r="I79" s="312"/>
      <c r="J79" s="312"/>
      <c r="K79" s="312"/>
      <c r="L79" s="312"/>
      <c r="M79" s="312"/>
      <c r="N79" s="312"/>
      <c r="O79" s="312"/>
      <c r="P79" s="312"/>
      <c r="Q79" s="312"/>
      <c r="R79" s="312"/>
      <c r="S79" s="312"/>
      <c r="T79" s="312"/>
      <c r="U79" s="312"/>
      <c r="V79" s="312"/>
      <c r="W79" s="312"/>
      <c r="X79" s="312"/>
    </row>
    <row r="80" customFormat="false" ht="13.5" hidden="false" customHeight="true" outlineLevel="0" collapsed="false">
      <c r="A80" s="309" t="s">
        <v>5407</v>
      </c>
      <c r="B80" s="310"/>
      <c r="C80" s="310"/>
      <c r="D80" s="310"/>
      <c r="E80" s="310"/>
      <c r="F80" s="310"/>
      <c r="G80" s="310"/>
      <c r="H80" s="310"/>
      <c r="I80" s="310"/>
      <c r="J80" s="310"/>
      <c r="K80" s="310"/>
      <c r="L80" s="310"/>
      <c r="M80" s="310"/>
      <c r="N80" s="310"/>
      <c r="O80" s="310"/>
      <c r="P80" s="310"/>
      <c r="Q80" s="310"/>
      <c r="R80" s="310"/>
      <c r="S80" s="310"/>
      <c r="T80" s="310"/>
      <c r="U80" s="310"/>
      <c r="V80" s="310"/>
      <c r="W80" s="310"/>
      <c r="X80" s="310"/>
    </row>
    <row r="81" customFormat="false" ht="13.5" hidden="false" customHeight="true" outlineLevel="0" collapsed="false">
      <c r="A81" s="311" t="s">
        <v>5408</v>
      </c>
      <c r="B81" s="312"/>
      <c r="C81" s="312"/>
      <c r="D81" s="312"/>
      <c r="E81" s="312"/>
      <c r="F81" s="312"/>
      <c r="G81" s="312"/>
      <c r="H81" s="312"/>
      <c r="I81" s="312"/>
      <c r="J81" s="312"/>
      <c r="K81" s="312"/>
      <c r="L81" s="312"/>
      <c r="M81" s="312"/>
      <c r="N81" s="312"/>
      <c r="O81" s="312"/>
      <c r="P81" s="312"/>
      <c r="Q81" s="312"/>
      <c r="R81" s="312"/>
      <c r="S81" s="312"/>
      <c r="T81" s="312"/>
      <c r="U81" s="312"/>
      <c r="V81" s="312"/>
      <c r="W81" s="312"/>
      <c r="X81" s="312"/>
    </row>
    <row r="82" customFormat="false" ht="13.5" hidden="false" customHeight="true" outlineLevel="0" collapsed="false">
      <c r="A82" s="309" t="s">
        <v>5409</v>
      </c>
      <c r="B82" s="310"/>
      <c r="C82" s="310"/>
      <c r="D82" s="310"/>
      <c r="E82" s="310"/>
      <c r="F82" s="310"/>
      <c r="G82" s="310"/>
      <c r="H82" s="310"/>
      <c r="I82" s="310"/>
      <c r="J82" s="310"/>
      <c r="K82" s="310"/>
      <c r="L82" s="310"/>
      <c r="M82" s="310"/>
      <c r="N82" s="310"/>
      <c r="O82" s="310"/>
      <c r="P82" s="310"/>
      <c r="Q82" s="310"/>
      <c r="R82" s="310"/>
      <c r="S82" s="310"/>
      <c r="T82" s="310"/>
      <c r="U82" s="310"/>
      <c r="V82" s="310"/>
      <c r="W82" s="310"/>
      <c r="X82" s="310"/>
    </row>
    <row r="83" customFormat="false" ht="13.5" hidden="false" customHeight="true" outlineLevel="0" collapsed="false">
      <c r="A83" s="311" t="s">
        <v>5410</v>
      </c>
      <c r="B83" s="312"/>
      <c r="C83" s="312"/>
      <c r="D83" s="312"/>
      <c r="E83" s="312"/>
      <c r="F83" s="312"/>
      <c r="G83" s="312"/>
      <c r="H83" s="312"/>
      <c r="I83" s="312"/>
      <c r="J83" s="312"/>
      <c r="K83" s="312"/>
      <c r="L83" s="312"/>
      <c r="M83" s="312"/>
      <c r="N83" s="312"/>
      <c r="O83" s="312"/>
      <c r="P83" s="312"/>
      <c r="Q83" s="312"/>
      <c r="R83" s="312"/>
      <c r="S83" s="312"/>
      <c r="T83" s="312"/>
      <c r="U83" s="312"/>
      <c r="V83" s="312"/>
      <c r="W83" s="312"/>
      <c r="X83" s="312"/>
    </row>
    <row r="84" customFormat="false" ht="13.5" hidden="false" customHeight="true" outlineLevel="0" collapsed="false">
      <c r="A84" s="309" t="s">
        <v>5411</v>
      </c>
      <c r="B84" s="310"/>
      <c r="C84" s="310"/>
      <c r="D84" s="310"/>
      <c r="E84" s="310"/>
      <c r="F84" s="310"/>
      <c r="G84" s="310"/>
      <c r="H84" s="310"/>
      <c r="I84" s="310"/>
      <c r="J84" s="310"/>
      <c r="K84" s="310"/>
      <c r="L84" s="310"/>
      <c r="M84" s="310"/>
      <c r="N84" s="310"/>
      <c r="O84" s="310"/>
      <c r="P84" s="310"/>
      <c r="Q84" s="310"/>
      <c r="R84" s="310"/>
      <c r="S84" s="310"/>
      <c r="T84" s="310"/>
      <c r="U84" s="310"/>
      <c r="V84" s="310"/>
      <c r="W84" s="310"/>
      <c r="X84" s="310"/>
    </row>
    <row r="85" customFormat="false" ht="13.5" hidden="false" customHeight="true" outlineLevel="0" collapsed="false">
      <c r="A85" s="311" t="s">
        <v>5412</v>
      </c>
      <c r="B85" s="312"/>
      <c r="C85" s="312"/>
      <c r="D85" s="312"/>
      <c r="E85" s="312"/>
      <c r="F85" s="312"/>
      <c r="G85" s="312"/>
      <c r="H85" s="312"/>
      <c r="I85" s="312"/>
      <c r="J85" s="312"/>
      <c r="K85" s="312"/>
      <c r="L85" s="312"/>
      <c r="M85" s="312"/>
      <c r="N85" s="312"/>
      <c r="O85" s="312"/>
      <c r="P85" s="312"/>
      <c r="Q85" s="312"/>
      <c r="R85" s="312"/>
      <c r="S85" s="312"/>
      <c r="T85" s="312"/>
      <c r="U85" s="312"/>
      <c r="V85" s="312"/>
      <c r="W85" s="312"/>
      <c r="X85" s="312"/>
    </row>
    <row r="86" customFormat="false" ht="13.5" hidden="false" customHeight="true" outlineLevel="0" collapsed="false">
      <c r="A86" s="309" t="s">
        <v>5413</v>
      </c>
      <c r="B86" s="310"/>
      <c r="C86" s="310"/>
      <c r="D86" s="310"/>
      <c r="E86" s="310"/>
      <c r="F86" s="310"/>
      <c r="G86" s="310"/>
      <c r="H86" s="310"/>
      <c r="I86" s="310"/>
      <c r="J86" s="310"/>
      <c r="K86" s="310"/>
      <c r="L86" s="310"/>
      <c r="M86" s="310"/>
      <c r="N86" s="310"/>
      <c r="O86" s="310"/>
      <c r="P86" s="310"/>
      <c r="Q86" s="310"/>
      <c r="R86" s="310"/>
      <c r="S86" s="310"/>
      <c r="T86" s="310"/>
      <c r="U86" s="310"/>
      <c r="V86" s="310"/>
      <c r="W86" s="310"/>
      <c r="X86" s="310"/>
    </row>
    <row r="87" customFormat="false" ht="13.5" hidden="false" customHeight="true" outlineLevel="0" collapsed="false">
      <c r="A87" s="311" t="s">
        <v>5414</v>
      </c>
      <c r="B87" s="312"/>
      <c r="C87" s="312"/>
      <c r="D87" s="312"/>
      <c r="E87" s="313" t="n">
        <v>1</v>
      </c>
      <c r="F87" s="312"/>
      <c r="G87" s="312"/>
      <c r="H87" s="312"/>
      <c r="I87" s="312"/>
      <c r="J87" s="312"/>
      <c r="K87" s="312"/>
      <c r="L87" s="312"/>
      <c r="M87" s="312"/>
      <c r="N87" s="312"/>
      <c r="O87" s="312"/>
      <c r="P87" s="312"/>
      <c r="Q87" s="312"/>
      <c r="R87" s="312"/>
      <c r="S87" s="312"/>
      <c r="T87" s="312"/>
      <c r="U87" s="312"/>
      <c r="V87" s="312"/>
      <c r="W87" s="312"/>
      <c r="X87" s="312"/>
    </row>
    <row r="88" customFormat="false" ht="13.5" hidden="false" customHeight="true" outlineLevel="0" collapsed="false">
      <c r="A88" s="309" t="s">
        <v>5415</v>
      </c>
      <c r="B88" s="310"/>
      <c r="C88" s="310"/>
      <c r="D88" s="310"/>
      <c r="E88" s="310"/>
      <c r="F88" s="310"/>
      <c r="G88" s="310"/>
      <c r="H88" s="310"/>
      <c r="I88" s="310"/>
      <c r="J88" s="310"/>
      <c r="K88" s="310"/>
      <c r="L88" s="310"/>
      <c r="M88" s="310"/>
      <c r="N88" s="310"/>
      <c r="O88" s="310"/>
      <c r="P88" s="310"/>
      <c r="Q88" s="310"/>
      <c r="R88" s="310"/>
      <c r="S88" s="310"/>
      <c r="T88" s="310"/>
      <c r="U88" s="310"/>
      <c r="V88" s="310"/>
      <c r="W88" s="310"/>
      <c r="X88" s="310"/>
    </row>
    <row r="89" customFormat="false" ht="13.5" hidden="false" customHeight="true" outlineLevel="0" collapsed="false">
      <c r="A89" s="311" t="s">
        <v>5416</v>
      </c>
      <c r="B89" s="312"/>
      <c r="C89" s="312"/>
      <c r="D89" s="312"/>
      <c r="E89" s="312"/>
      <c r="F89" s="312"/>
      <c r="G89" s="312"/>
      <c r="H89" s="312"/>
      <c r="I89" s="312"/>
      <c r="J89" s="312"/>
      <c r="K89" s="312"/>
      <c r="L89" s="312"/>
      <c r="M89" s="312"/>
      <c r="N89" s="312"/>
      <c r="O89" s="312"/>
      <c r="P89" s="312"/>
      <c r="Q89" s="312"/>
      <c r="R89" s="312"/>
      <c r="S89" s="312"/>
      <c r="T89" s="312"/>
      <c r="U89" s="312"/>
      <c r="V89" s="312"/>
      <c r="W89" s="312"/>
      <c r="X89" s="312"/>
    </row>
    <row r="90" customFormat="false" ht="13.5" hidden="false" customHeight="true" outlineLevel="0" collapsed="false">
      <c r="A90" s="309" t="s">
        <v>5417</v>
      </c>
      <c r="B90" s="310"/>
      <c r="C90" s="310"/>
      <c r="D90" s="310"/>
      <c r="E90" s="310"/>
      <c r="F90" s="310"/>
      <c r="G90" s="310"/>
      <c r="H90" s="310"/>
      <c r="I90" s="310"/>
      <c r="J90" s="310"/>
      <c r="K90" s="310"/>
      <c r="L90" s="310"/>
      <c r="M90" s="310"/>
      <c r="N90" s="310"/>
      <c r="O90" s="310"/>
      <c r="P90" s="310"/>
      <c r="Q90" s="310"/>
      <c r="R90" s="310"/>
      <c r="S90" s="310"/>
      <c r="T90" s="310"/>
      <c r="U90" s="310"/>
      <c r="V90" s="310"/>
      <c r="W90" s="310"/>
      <c r="X90" s="310"/>
    </row>
    <row r="91" customFormat="false" ht="13.5" hidden="false" customHeight="true" outlineLevel="0" collapsed="false">
      <c r="A91" s="311" t="s">
        <v>5418</v>
      </c>
      <c r="B91" s="312"/>
      <c r="C91" s="312"/>
      <c r="D91" s="312"/>
      <c r="E91" s="312"/>
      <c r="F91" s="312"/>
      <c r="G91" s="312"/>
      <c r="H91" s="312"/>
      <c r="I91" s="312"/>
      <c r="J91" s="312"/>
      <c r="K91" s="312"/>
      <c r="L91" s="312"/>
      <c r="M91" s="312"/>
      <c r="N91" s="312"/>
      <c r="O91" s="312"/>
      <c r="P91" s="312"/>
      <c r="Q91" s="312"/>
      <c r="R91" s="312"/>
      <c r="S91" s="312"/>
      <c r="T91" s="312"/>
      <c r="U91" s="312"/>
      <c r="V91" s="312"/>
      <c r="W91" s="312"/>
      <c r="X91" s="312"/>
    </row>
    <row r="92" customFormat="false" ht="13.5" hidden="false" customHeight="true" outlineLevel="0" collapsed="false">
      <c r="A92" s="309" t="s">
        <v>5419</v>
      </c>
      <c r="B92" s="310"/>
      <c r="C92" s="310"/>
      <c r="D92" s="310"/>
      <c r="E92" s="310"/>
      <c r="F92" s="310"/>
      <c r="G92" s="310"/>
      <c r="H92" s="310"/>
      <c r="I92" s="310"/>
      <c r="J92" s="310"/>
      <c r="K92" s="310"/>
      <c r="L92" s="310"/>
      <c r="M92" s="310"/>
      <c r="N92" s="310"/>
      <c r="O92" s="310"/>
      <c r="P92" s="310"/>
      <c r="Q92" s="310"/>
      <c r="R92" s="310"/>
      <c r="S92" s="310"/>
      <c r="T92" s="310"/>
      <c r="U92" s="310"/>
      <c r="V92" s="310"/>
      <c r="W92" s="310"/>
      <c r="X92" s="310"/>
    </row>
    <row r="93" customFormat="false" ht="13.5" hidden="false" customHeight="true" outlineLevel="0" collapsed="false">
      <c r="A93" s="311" t="s">
        <v>5420</v>
      </c>
      <c r="B93" s="312"/>
      <c r="C93" s="312"/>
      <c r="D93" s="312"/>
      <c r="E93" s="312"/>
      <c r="F93" s="312"/>
      <c r="G93" s="312"/>
      <c r="H93" s="312"/>
      <c r="I93" s="312"/>
      <c r="J93" s="312"/>
      <c r="K93" s="312"/>
      <c r="L93" s="312"/>
      <c r="M93" s="312"/>
      <c r="N93" s="312"/>
      <c r="O93" s="312"/>
      <c r="P93" s="312"/>
      <c r="Q93" s="312"/>
      <c r="R93" s="312"/>
      <c r="S93" s="312"/>
      <c r="T93" s="312"/>
      <c r="U93" s="312"/>
      <c r="V93" s="312"/>
      <c r="W93" s="312"/>
      <c r="X93" s="312"/>
    </row>
    <row r="94" customFormat="false" ht="13.5" hidden="false" customHeight="true" outlineLevel="0" collapsed="false">
      <c r="A94" s="309" t="s">
        <v>5421</v>
      </c>
      <c r="B94" s="310"/>
      <c r="C94" s="310"/>
      <c r="D94" s="310"/>
      <c r="E94" s="310"/>
      <c r="F94" s="310"/>
      <c r="G94" s="310"/>
      <c r="H94" s="310"/>
      <c r="I94" s="310"/>
      <c r="J94" s="310"/>
      <c r="K94" s="310"/>
      <c r="L94" s="310"/>
      <c r="M94" s="310"/>
      <c r="N94" s="310"/>
      <c r="O94" s="310"/>
      <c r="P94" s="310"/>
      <c r="Q94" s="310"/>
      <c r="R94" s="310"/>
      <c r="S94" s="310"/>
      <c r="T94" s="310"/>
      <c r="U94" s="310"/>
      <c r="V94" s="310"/>
      <c r="W94" s="310"/>
      <c r="X94" s="310"/>
    </row>
    <row r="95" customFormat="false" ht="13.5" hidden="false" customHeight="true" outlineLevel="0" collapsed="false">
      <c r="A95" s="311" t="s">
        <v>5422</v>
      </c>
      <c r="B95" s="312"/>
      <c r="C95" s="312"/>
      <c r="D95" s="312"/>
      <c r="E95" s="312"/>
      <c r="F95" s="312"/>
      <c r="G95" s="312"/>
      <c r="H95" s="312"/>
      <c r="I95" s="312"/>
      <c r="J95" s="312"/>
      <c r="K95" s="312"/>
      <c r="L95" s="312"/>
      <c r="M95" s="312"/>
      <c r="N95" s="312"/>
      <c r="O95" s="312"/>
      <c r="P95" s="312"/>
      <c r="Q95" s="312"/>
      <c r="R95" s="312"/>
      <c r="S95" s="312"/>
      <c r="T95" s="312"/>
      <c r="U95" s="312"/>
      <c r="V95" s="312"/>
      <c r="W95" s="312"/>
      <c r="X95" s="312"/>
    </row>
    <row r="96" customFormat="false" ht="13.5" hidden="false" customHeight="true" outlineLevel="0" collapsed="false">
      <c r="A96" s="309" t="s">
        <v>5423</v>
      </c>
      <c r="B96" s="310"/>
      <c r="C96" s="310"/>
      <c r="D96" s="310"/>
      <c r="E96" s="310"/>
      <c r="F96" s="310"/>
      <c r="G96" s="310"/>
      <c r="H96" s="310"/>
      <c r="I96" s="310"/>
      <c r="J96" s="310"/>
      <c r="K96" s="310"/>
      <c r="L96" s="310"/>
      <c r="M96" s="310"/>
      <c r="N96" s="310"/>
      <c r="O96" s="310"/>
      <c r="P96" s="310"/>
      <c r="Q96" s="310"/>
      <c r="R96" s="310"/>
      <c r="S96" s="310"/>
      <c r="T96" s="310"/>
      <c r="U96" s="310"/>
      <c r="V96" s="310"/>
      <c r="W96" s="310"/>
      <c r="X96" s="310"/>
    </row>
    <row r="97" customFormat="false" ht="13.5" hidden="false" customHeight="true" outlineLevel="0" collapsed="false">
      <c r="A97" s="311" t="s">
        <v>5424</v>
      </c>
      <c r="B97" s="312"/>
      <c r="C97" s="312"/>
      <c r="D97" s="312"/>
      <c r="E97" s="312"/>
      <c r="F97" s="312"/>
      <c r="G97" s="312"/>
      <c r="H97" s="312"/>
      <c r="I97" s="312"/>
      <c r="J97" s="312"/>
      <c r="K97" s="312"/>
      <c r="L97" s="312"/>
      <c r="M97" s="312"/>
      <c r="N97" s="312"/>
      <c r="O97" s="313" t="n">
        <v>1</v>
      </c>
      <c r="P97" s="312"/>
      <c r="Q97" s="312"/>
      <c r="R97" s="312"/>
      <c r="S97" s="312"/>
      <c r="T97" s="312"/>
      <c r="U97" s="312"/>
      <c r="V97" s="312"/>
      <c r="W97" s="312"/>
      <c r="X97" s="312"/>
    </row>
    <row r="98" customFormat="false" ht="13.5" hidden="false" customHeight="true" outlineLevel="0" collapsed="false">
      <c r="A98" s="309" t="s">
        <v>5425</v>
      </c>
      <c r="B98" s="310"/>
      <c r="C98" s="310"/>
      <c r="D98" s="310"/>
      <c r="E98" s="310"/>
      <c r="F98" s="310"/>
      <c r="G98" s="310"/>
      <c r="H98" s="310"/>
      <c r="I98" s="310"/>
      <c r="J98" s="310"/>
      <c r="K98" s="310"/>
      <c r="L98" s="310"/>
      <c r="M98" s="310"/>
      <c r="N98" s="310"/>
      <c r="O98" s="310"/>
      <c r="P98" s="310"/>
      <c r="Q98" s="313" t="n">
        <v>1</v>
      </c>
      <c r="R98" s="310"/>
      <c r="S98" s="310"/>
      <c r="T98" s="310"/>
      <c r="U98" s="310"/>
      <c r="V98" s="310"/>
      <c r="W98" s="310"/>
      <c r="X98" s="310"/>
    </row>
    <row r="99" customFormat="false" ht="13.5" hidden="false" customHeight="true" outlineLevel="0" collapsed="false">
      <c r="A99" s="311" t="s">
        <v>5426</v>
      </c>
      <c r="B99" s="312"/>
      <c r="C99" s="312"/>
      <c r="D99" s="312"/>
      <c r="E99" s="312"/>
      <c r="F99" s="312"/>
      <c r="G99" s="312"/>
      <c r="H99" s="312"/>
      <c r="I99" s="312"/>
      <c r="J99" s="312"/>
      <c r="K99" s="312"/>
      <c r="L99" s="312"/>
      <c r="M99" s="312"/>
      <c r="N99" s="312"/>
      <c r="O99" s="312"/>
      <c r="P99" s="312"/>
      <c r="Q99" s="313" t="n">
        <v>1</v>
      </c>
      <c r="R99" s="312"/>
      <c r="S99" s="312"/>
      <c r="T99" s="312"/>
      <c r="U99" s="312"/>
      <c r="V99" s="312"/>
      <c r="W99" s="312"/>
      <c r="X99" s="312"/>
    </row>
    <row r="100" customFormat="false" ht="13.5" hidden="false" customHeight="true" outlineLevel="0" collapsed="false">
      <c r="A100" s="309" t="s">
        <v>5427</v>
      </c>
      <c r="B100" s="310"/>
      <c r="C100" s="310"/>
      <c r="D100" s="310"/>
      <c r="E100" s="310"/>
      <c r="F100" s="310"/>
      <c r="G100" s="310"/>
      <c r="H100" s="310"/>
      <c r="I100" s="310"/>
      <c r="J100" s="310"/>
      <c r="K100" s="310"/>
      <c r="L100" s="310"/>
      <c r="M100" s="310"/>
      <c r="N100" s="310"/>
      <c r="O100" s="310"/>
      <c r="P100" s="310"/>
      <c r="Q100" s="313" t="n">
        <v>1</v>
      </c>
      <c r="R100" s="310"/>
      <c r="S100" s="310"/>
      <c r="T100" s="310"/>
      <c r="U100" s="310"/>
      <c r="V100" s="310"/>
      <c r="W100" s="310"/>
      <c r="X100" s="310"/>
    </row>
    <row r="101" customFormat="false" ht="13.5" hidden="false" customHeight="true" outlineLevel="0" collapsed="false">
      <c r="A101" s="311" t="s">
        <v>5428</v>
      </c>
      <c r="B101" s="312"/>
      <c r="C101" s="312"/>
      <c r="D101" s="312"/>
      <c r="E101" s="312"/>
      <c r="F101" s="312"/>
      <c r="G101" s="312"/>
      <c r="H101" s="312"/>
      <c r="I101" s="312"/>
      <c r="J101" s="312"/>
      <c r="K101" s="312"/>
      <c r="L101" s="312"/>
      <c r="M101" s="312"/>
      <c r="N101" s="312"/>
      <c r="O101" s="312"/>
      <c r="P101" s="312"/>
      <c r="Q101" s="313" t="n">
        <v>1</v>
      </c>
      <c r="R101" s="312"/>
      <c r="S101" s="312"/>
      <c r="T101" s="312"/>
      <c r="U101" s="312"/>
      <c r="V101" s="312"/>
      <c r="W101" s="312"/>
      <c r="X101" s="312"/>
    </row>
    <row r="102" customFormat="false" ht="13.5" hidden="false" customHeight="true" outlineLevel="0" collapsed="false">
      <c r="A102" s="309" t="s">
        <v>5429</v>
      </c>
      <c r="B102" s="310"/>
      <c r="C102" s="310"/>
      <c r="D102" s="310"/>
      <c r="E102" s="310"/>
      <c r="F102" s="310"/>
      <c r="G102" s="310"/>
      <c r="H102" s="310"/>
      <c r="I102" s="310"/>
      <c r="J102" s="310"/>
      <c r="K102" s="310"/>
      <c r="L102" s="310"/>
      <c r="M102" s="310"/>
      <c r="N102" s="310"/>
      <c r="O102" s="310"/>
      <c r="P102" s="310"/>
      <c r="Q102" s="313" t="n">
        <v>1</v>
      </c>
      <c r="R102" s="310"/>
      <c r="S102" s="310"/>
      <c r="T102" s="310"/>
      <c r="U102" s="310"/>
      <c r="V102" s="310"/>
      <c r="W102" s="310"/>
      <c r="X102" s="310"/>
    </row>
    <row r="103" customFormat="false" ht="13.5" hidden="false" customHeight="true" outlineLevel="0" collapsed="false">
      <c r="A103" s="311" t="s">
        <v>5430</v>
      </c>
      <c r="B103" s="312"/>
      <c r="C103" s="312"/>
      <c r="D103" s="312"/>
      <c r="E103" s="312"/>
      <c r="F103" s="312"/>
      <c r="G103" s="312"/>
      <c r="H103" s="312"/>
      <c r="I103" s="312"/>
      <c r="J103" s="312"/>
      <c r="K103" s="312"/>
      <c r="L103" s="312"/>
      <c r="M103" s="312"/>
      <c r="N103" s="312"/>
      <c r="O103" s="312"/>
      <c r="P103" s="312"/>
      <c r="Q103" s="313" t="n">
        <v>1</v>
      </c>
      <c r="R103" s="312"/>
      <c r="S103" s="312"/>
      <c r="T103" s="312"/>
      <c r="U103" s="312"/>
      <c r="V103" s="312"/>
      <c r="W103" s="312"/>
      <c r="X103" s="312"/>
    </row>
    <row r="104" customFormat="false" ht="13.5" hidden="false" customHeight="true" outlineLevel="0" collapsed="false">
      <c r="A104" s="309" t="s">
        <v>5431</v>
      </c>
      <c r="B104" s="310"/>
      <c r="C104" s="310"/>
      <c r="D104" s="310"/>
      <c r="E104" s="310"/>
      <c r="F104" s="310"/>
      <c r="G104" s="310"/>
      <c r="H104" s="310"/>
      <c r="I104" s="310"/>
      <c r="J104" s="310"/>
      <c r="K104" s="310"/>
      <c r="L104" s="310"/>
      <c r="M104" s="310"/>
      <c r="N104" s="310"/>
      <c r="O104" s="310"/>
      <c r="P104" s="310"/>
      <c r="Q104" s="313" t="n">
        <v>1</v>
      </c>
      <c r="R104" s="310"/>
      <c r="S104" s="310"/>
      <c r="T104" s="310"/>
      <c r="U104" s="310"/>
      <c r="V104" s="310"/>
      <c r="W104" s="310"/>
      <c r="X104" s="310"/>
    </row>
    <row r="105" customFormat="false" ht="13.5" hidden="false" customHeight="true" outlineLevel="0" collapsed="false">
      <c r="A105" s="311" t="s">
        <v>5432</v>
      </c>
      <c r="B105" s="312"/>
      <c r="C105" s="312"/>
      <c r="D105" s="312"/>
      <c r="E105" s="312"/>
      <c r="F105" s="312"/>
      <c r="G105" s="312"/>
      <c r="H105" s="312"/>
      <c r="I105" s="312"/>
      <c r="J105" s="312"/>
      <c r="K105" s="312"/>
      <c r="L105" s="312"/>
      <c r="M105" s="312"/>
      <c r="N105" s="312"/>
      <c r="O105" s="312"/>
      <c r="P105" s="312"/>
      <c r="Q105" s="313" t="n">
        <v>1</v>
      </c>
      <c r="R105" s="312"/>
      <c r="S105" s="312"/>
      <c r="T105" s="312"/>
      <c r="U105" s="312"/>
      <c r="V105" s="312"/>
      <c r="W105" s="312"/>
      <c r="X105" s="312"/>
    </row>
    <row r="106" customFormat="false" ht="13.5" hidden="false" customHeight="true" outlineLevel="0" collapsed="false">
      <c r="A106" s="309" t="s">
        <v>5433</v>
      </c>
      <c r="B106" s="310"/>
      <c r="C106" s="310"/>
      <c r="D106" s="310"/>
      <c r="E106" s="310"/>
      <c r="F106" s="310"/>
      <c r="G106" s="310"/>
      <c r="H106" s="310"/>
      <c r="I106" s="310"/>
      <c r="J106" s="310"/>
      <c r="K106" s="310"/>
      <c r="L106" s="310"/>
      <c r="M106" s="310"/>
      <c r="N106" s="310"/>
      <c r="O106" s="310"/>
      <c r="P106" s="310"/>
      <c r="Q106" s="313" t="n">
        <v>1</v>
      </c>
      <c r="R106" s="310"/>
      <c r="S106" s="310"/>
      <c r="T106" s="310"/>
      <c r="U106" s="310"/>
      <c r="V106" s="310"/>
      <c r="W106" s="310"/>
      <c r="X106" s="310"/>
    </row>
    <row r="107" customFormat="false" ht="13.5" hidden="false" customHeight="true" outlineLevel="0" collapsed="false">
      <c r="A107" s="311" t="s">
        <v>5434</v>
      </c>
      <c r="B107" s="312"/>
      <c r="C107" s="312"/>
      <c r="D107" s="312"/>
      <c r="E107" s="313" t="n">
        <v>1</v>
      </c>
      <c r="F107" s="312"/>
      <c r="G107" s="312"/>
      <c r="H107" s="312"/>
      <c r="I107" s="312"/>
      <c r="J107" s="312"/>
      <c r="K107" s="312"/>
      <c r="L107" s="312"/>
      <c r="M107" s="312"/>
      <c r="N107" s="312"/>
      <c r="O107" s="312"/>
      <c r="P107" s="312"/>
      <c r="Q107" s="312"/>
      <c r="R107" s="312"/>
      <c r="S107" s="312"/>
      <c r="T107" s="312"/>
      <c r="U107" s="312"/>
      <c r="V107" s="312"/>
      <c r="W107" s="312"/>
      <c r="X107" s="312"/>
    </row>
    <row r="108" customFormat="false" ht="13.5" hidden="false" customHeight="true" outlineLevel="0" collapsed="false">
      <c r="A108" s="309" t="s">
        <v>5435</v>
      </c>
      <c r="B108" s="310"/>
      <c r="C108" s="310"/>
      <c r="D108" s="310"/>
      <c r="E108" s="310"/>
      <c r="F108" s="310"/>
      <c r="G108" s="310"/>
      <c r="H108" s="310"/>
      <c r="I108" s="310"/>
      <c r="J108" s="310"/>
      <c r="K108" s="310"/>
      <c r="L108" s="310"/>
      <c r="M108" s="310"/>
      <c r="N108" s="310"/>
      <c r="O108" s="310"/>
      <c r="P108" s="310"/>
      <c r="Q108" s="313" t="n">
        <v>1</v>
      </c>
      <c r="R108" s="310"/>
      <c r="S108" s="310"/>
      <c r="T108" s="310"/>
      <c r="U108" s="310"/>
      <c r="V108" s="310"/>
      <c r="W108" s="310"/>
      <c r="X108" s="310"/>
    </row>
    <row r="109" customFormat="false" ht="13.5" hidden="false" customHeight="true" outlineLevel="0" collapsed="false">
      <c r="A109" s="311" t="s">
        <v>5436</v>
      </c>
      <c r="B109" s="312"/>
      <c r="C109" s="312"/>
      <c r="D109" s="312"/>
      <c r="E109" s="312"/>
      <c r="F109" s="312"/>
      <c r="G109" s="312"/>
      <c r="H109" s="312"/>
      <c r="I109" s="312"/>
      <c r="J109" s="312"/>
      <c r="K109" s="312"/>
      <c r="L109" s="312"/>
      <c r="M109" s="312"/>
      <c r="N109" s="312"/>
      <c r="O109" s="312"/>
      <c r="P109" s="312"/>
      <c r="Q109" s="313" t="n">
        <v>1</v>
      </c>
      <c r="R109" s="312"/>
      <c r="S109" s="312"/>
      <c r="T109" s="312"/>
      <c r="U109" s="312"/>
      <c r="V109" s="312"/>
      <c r="W109" s="312"/>
      <c r="X109" s="312"/>
    </row>
    <row r="110" customFormat="false" ht="13.5" hidden="false" customHeight="true" outlineLevel="0" collapsed="false">
      <c r="A110" s="309" t="s">
        <v>5437</v>
      </c>
      <c r="B110" s="310"/>
      <c r="C110" s="310"/>
      <c r="D110" s="310"/>
      <c r="E110" s="310"/>
      <c r="F110" s="310"/>
      <c r="G110" s="310"/>
      <c r="H110" s="310"/>
      <c r="I110" s="310"/>
      <c r="J110" s="310"/>
      <c r="K110" s="310"/>
      <c r="L110" s="310"/>
      <c r="M110" s="310"/>
      <c r="N110" s="313" t="n">
        <v>1</v>
      </c>
      <c r="O110" s="310"/>
      <c r="P110" s="310"/>
      <c r="Q110" s="310"/>
      <c r="R110" s="310"/>
      <c r="S110" s="310"/>
      <c r="T110" s="310"/>
      <c r="U110" s="310"/>
      <c r="V110" s="310"/>
      <c r="W110" s="310"/>
      <c r="X110" s="310"/>
    </row>
    <row r="111" customFormat="false" ht="13.5" hidden="false" customHeight="true" outlineLevel="0" collapsed="false">
      <c r="A111" s="311" t="s">
        <v>5438</v>
      </c>
      <c r="B111" s="312"/>
      <c r="C111" s="312"/>
      <c r="D111" s="312"/>
      <c r="E111" s="312"/>
      <c r="F111" s="312"/>
      <c r="G111" s="312"/>
      <c r="H111" s="312"/>
      <c r="I111" s="312"/>
      <c r="J111" s="312"/>
      <c r="K111" s="312"/>
      <c r="L111" s="312"/>
      <c r="M111" s="312"/>
      <c r="N111" s="313" t="n">
        <v>1</v>
      </c>
      <c r="O111" s="312"/>
      <c r="P111" s="312"/>
      <c r="Q111" s="312"/>
      <c r="R111" s="312"/>
      <c r="S111" s="312"/>
      <c r="T111" s="312"/>
      <c r="U111" s="312"/>
      <c r="V111" s="312"/>
      <c r="W111" s="312"/>
      <c r="X111" s="312"/>
    </row>
    <row r="112" customFormat="false" ht="13.5" hidden="false" customHeight="true" outlineLevel="0" collapsed="false">
      <c r="A112" s="309" t="s">
        <v>5439</v>
      </c>
      <c r="B112" s="310"/>
      <c r="C112" s="310"/>
      <c r="D112" s="310"/>
      <c r="E112" s="310"/>
      <c r="F112" s="310"/>
      <c r="G112" s="310"/>
      <c r="H112" s="310"/>
      <c r="I112" s="310"/>
      <c r="J112" s="310"/>
      <c r="K112" s="310"/>
      <c r="L112" s="310"/>
      <c r="M112" s="310"/>
      <c r="N112" s="313" t="n">
        <v>1</v>
      </c>
      <c r="O112" s="310"/>
      <c r="P112" s="310"/>
      <c r="Q112" s="310"/>
      <c r="R112" s="310"/>
      <c r="S112" s="310"/>
      <c r="T112" s="310"/>
      <c r="U112" s="310"/>
      <c r="V112" s="310"/>
      <c r="W112" s="310"/>
      <c r="X112" s="310"/>
    </row>
    <row r="113" customFormat="false" ht="13.5" hidden="false" customHeight="true" outlineLevel="0" collapsed="false">
      <c r="A113" s="311" t="s">
        <v>5440</v>
      </c>
      <c r="B113" s="312"/>
      <c r="C113" s="312"/>
      <c r="D113" s="312"/>
      <c r="E113" s="312"/>
      <c r="F113" s="312"/>
      <c r="G113" s="312"/>
      <c r="H113" s="312"/>
      <c r="I113" s="312"/>
      <c r="J113" s="312"/>
      <c r="K113" s="312"/>
      <c r="L113" s="312"/>
      <c r="M113" s="312"/>
      <c r="N113" s="313" t="n">
        <v>1</v>
      </c>
      <c r="O113" s="312"/>
      <c r="P113" s="312"/>
      <c r="Q113" s="312"/>
      <c r="R113" s="312"/>
      <c r="S113" s="312"/>
      <c r="T113" s="312"/>
      <c r="U113" s="312"/>
      <c r="V113" s="312"/>
      <c r="W113" s="312"/>
      <c r="X113" s="312"/>
    </row>
    <row r="114" customFormat="false" ht="13.5" hidden="false" customHeight="true" outlineLevel="0" collapsed="false">
      <c r="A114" s="309" t="s">
        <v>5441</v>
      </c>
      <c r="B114" s="310"/>
      <c r="C114" s="310"/>
      <c r="D114" s="310"/>
      <c r="E114" s="310"/>
      <c r="F114" s="310"/>
      <c r="G114" s="310"/>
      <c r="H114" s="310"/>
      <c r="I114" s="310"/>
      <c r="J114" s="310"/>
      <c r="K114" s="310"/>
      <c r="L114" s="310"/>
      <c r="M114" s="310"/>
      <c r="N114" s="313" t="n">
        <v>1</v>
      </c>
      <c r="O114" s="310"/>
      <c r="P114" s="310"/>
      <c r="Q114" s="310"/>
      <c r="R114" s="310"/>
      <c r="S114" s="310"/>
      <c r="T114" s="310"/>
      <c r="U114" s="310"/>
      <c r="V114" s="310"/>
      <c r="W114" s="310"/>
      <c r="X114" s="310"/>
    </row>
    <row r="115" customFormat="false" ht="13.5" hidden="false" customHeight="true" outlineLevel="0" collapsed="false">
      <c r="A115" s="311" t="s">
        <v>5442</v>
      </c>
      <c r="B115" s="312"/>
      <c r="C115" s="312"/>
      <c r="D115" s="312"/>
      <c r="E115" s="312"/>
      <c r="F115" s="312"/>
      <c r="G115" s="312"/>
      <c r="H115" s="312"/>
      <c r="I115" s="312"/>
      <c r="J115" s="313" t="n">
        <v>1</v>
      </c>
      <c r="K115" s="312"/>
      <c r="L115" s="312"/>
      <c r="M115" s="312"/>
      <c r="N115" s="312"/>
      <c r="O115" s="312"/>
      <c r="P115" s="312"/>
      <c r="Q115" s="312"/>
      <c r="R115" s="312"/>
      <c r="S115" s="312"/>
      <c r="T115" s="312"/>
      <c r="U115" s="312"/>
      <c r="V115" s="312"/>
      <c r="W115" s="312"/>
      <c r="X115" s="312"/>
    </row>
    <row r="116" customFormat="false" ht="13.5" hidden="false" customHeight="true" outlineLevel="0" collapsed="false">
      <c r="A116" s="309" t="s">
        <v>5443</v>
      </c>
      <c r="B116" s="310"/>
      <c r="C116" s="310"/>
      <c r="D116" s="310"/>
      <c r="E116" s="310"/>
      <c r="F116" s="310"/>
      <c r="G116" s="310"/>
      <c r="H116" s="310"/>
      <c r="I116" s="310"/>
      <c r="J116" s="310"/>
      <c r="K116" s="310"/>
      <c r="L116" s="310"/>
      <c r="M116" s="310"/>
      <c r="N116" s="313" t="n">
        <v>1</v>
      </c>
      <c r="O116" s="310"/>
      <c r="P116" s="310"/>
      <c r="Q116" s="310"/>
      <c r="R116" s="310"/>
      <c r="S116" s="310"/>
      <c r="T116" s="310"/>
      <c r="U116" s="310"/>
      <c r="V116" s="310"/>
      <c r="W116" s="310"/>
      <c r="X116" s="310"/>
    </row>
    <row r="117" customFormat="false" ht="13.5" hidden="false" customHeight="true" outlineLevel="0" collapsed="false">
      <c r="A117" s="311" t="s">
        <v>5444</v>
      </c>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c r="X117" s="312"/>
    </row>
    <row r="118" customFormat="false" ht="13.5" hidden="false" customHeight="true" outlineLevel="0" collapsed="false">
      <c r="A118" s="309" t="s">
        <v>5445</v>
      </c>
      <c r="B118" s="310"/>
      <c r="C118" s="310"/>
      <c r="D118" s="310"/>
      <c r="E118" s="310"/>
      <c r="F118" s="310"/>
      <c r="G118" s="310"/>
      <c r="H118" s="310"/>
      <c r="I118" s="310"/>
      <c r="J118" s="310"/>
      <c r="K118" s="310"/>
      <c r="L118" s="310"/>
      <c r="M118" s="310"/>
      <c r="N118" s="313" t="n">
        <v>1</v>
      </c>
      <c r="O118" s="310"/>
      <c r="P118" s="310"/>
      <c r="Q118" s="310"/>
      <c r="R118" s="310"/>
      <c r="S118" s="310"/>
      <c r="T118" s="310"/>
      <c r="U118" s="310"/>
      <c r="V118" s="310"/>
      <c r="W118" s="310"/>
      <c r="X118" s="310"/>
    </row>
    <row r="119" customFormat="false" ht="13.5" hidden="false" customHeight="true" outlineLevel="0" collapsed="false">
      <c r="A119" s="311" t="s">
        <v>5446</v>
      </c>
      <c r="B119" s="312"/>
      <c r="C119" s="312"/>
      <c r="D119" s="312"/>
      <c r="E119" s="312"/>
      <c r="F119" s="312"/>
      <c r="G119" s="312"/>
      <c r="H119" s="312"/>
      <c r="I119" s="312"/>
      <c r="J119" s="312"/>
      <c r="K119" s="312"/>
      <c r="L119" s="312"/>
      <c r="M119" s="312"/>
      <c r="N119" s="313" t="n">
        <v>1</v>
      </c>
      <c r="O119" s="312"/>
      <c r="P119" s="312"/>
      <c r="Q119" s="312"/>
      <c r="R119" s="312"/>
      <c r="S119" s="312"/>
      <c r="T119" s="312"/>
      <c r="U119" s="312"/>
      <c r="V119" s="312"/>
      <c r="W119" s="312"/>
      <c r="X119" s="312"/>
    </row>
    <row r="120" customFormat="false" ht="13.5" hidden="false" customHeight="true" outlineLevel="0" collapsed="false">
      <c r="A120" s="309" t="s">
        <v>5447</v>
      </c>
      <c r="B120" s="310"/>
      <c r="C120" s="310"/>
      <c r="D120" s="310"/>
      <c r="E120" s="310"/>
      <c r="F120" s="310"/>
      <c r="G120" s="310"/>
      <c r="H120" s="310"/>
      <c r="I120" s="310"/>
      <c r="J120" s="310"/>
      <c r="K120" s="310"/>
      <c r="L120" s="310"/>
      <c r="M120" s="310"/>
      <c r="N120" s="313" t="n">
        <v>1</v>
      </c>
      <c r="O120" s="310"/>
      <c r="P120" s="310"/>
      <c r="Q120" s="310"/>
      <c r="R120" s="310"/>
      <c r="S120" s="310"/>
      <c r="T120" s="310"/>
      <c r="U120" s="310"/>
      <c r="V120" s="310"/>
      <c r="W120" s="310"/>
      <c r="X120" s="310"/>
    </row>
    <row r="121" customFormat="false" ht="13.5" hidden="false" customHeight="true" outlineLevel="0" collapsed="false">
      <c r="A121" s="311" t="s">
        <v>5448</v>
      </c>
      <c r="B121" s="312"/>
      <c r="C121" s="312"/>
      <c r="D121" s="312"/>
      <c r="E121" s="312"/>
      <c r="F121" s="312"/>
      <c r="G121" s="312"/>
      <c r="H121" s="312"/>
      <c r="I121" s="312"/>
      <c r="J121" s="312"/>
      <c r="K121" s="312"/>
      <c r="L121" s="312"/>
      <c r="M121" s="312"/>
      <c r="N121" s="312"/>
      <c r="O121" s="312"/>
      <c r="P121" s="312"/>
      <c r="Q121" s="312"/>
      <c r="R121" s="312"/>
      <c r="S121" s="313" t="n">
        <v>1</v>
      </c>
      <c r="T121" s="312"/>
      <c r="U121" s="312"/>
      <c r="V121" s="312"/>
      <c r="W121" s="312"/>
      <c r="X121" s="312"/>
    </row>
    <row r="122" customFormat="false" ht="13.5" hidden="false" customHeight="true" outlineLevel="0" collapsed="false">
      <c r="A122" s="309" t="s">
        <v>5449</v>
      </c>
      <c r="B122" s="310"/>
      <c r="C122" s="310"/>
      <c r="D122" s="310"/>
      <c r="E122" s="310"/>
      <c r="F122" s="310"/>
      <c r="G122" s="310"/>
      <c r="H122" s="310"/>
      <c r="I122" s="310"/>
      <c r="J122" s="310"/>
      <c r="K122" s="310"/>
      <c r="L122" s="310"/>
      <c r="M122" s="310"/>
      <c r="N122" s="310"/>
      <c r="O122" s="310"/>
      <c r="P122" s="310"/>
      <c r="Q122" s="310"/>
      <c r="R122" s="310"/>
      <c r="S122" s="310"/>
      <c r="T122" s="310"/>
      <c r="U122" s="310"/>
      <c r="V122" s="310"/>
      <c r="W122" s="310"/>
      <c r="X122" s="310"/>
    </row>
    <row r="123" customFormat="false" ht="13.5" hidden="false" customHeight="true" outlineLevel="0" collapsed="false">
      <c r="A123" s="311" t="s">
        <v>5450</v>
      </c>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c r="X123" s="312"/>
    </row>
    <row r="124" customFormat="false" ht="13.5" hidden="false" customHeight="true" outlineLevel="0" collapsed="false">
      <c r="A124" s="309" t="s">
        <v>5451</v>
      </c>
      <c r="B124" s="310"/>
      <c r="C124" s="310"/>
      <c r="D124" s="310"/>
      <c r="E124" s="310"/>
      <c r="F124" s="310"/>
      <c r="G124" s="310"/>
      <c r="H124" s="310"/>
      <c r="I124" s="310"/>
      <c r="J124" s="310"/>
      <c r="K124" s="310"/>
      <c r="L124" s="310"/>
      <c r="M124" s="310"/>
      <c r="N124" s="310"/>
      <c r="O124" s="310"/>
      <c r="P124" s="310"/>
      <c r="Q124" s="310"/>
      <c r="R124" s="310"/>
      <c r="S124" s="310"/>
      <c r="T124" s="310"/>
      <c r="U124" s="310"/>
      <c r="V124" s="310"/>
      <c r="W124" s="310"/>
      <c r="X124" s="310"/>
    </row>
    <row r="125" customFormat="false" ht="13.5" hidden="false" customHeight="true" outlineLevel="0" collapsed="false">
      <c r="A125" s="311" t="s">
        <v>5452</v>
      </c>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c r="X125" s="312"/>
    </row>
    <row r="126" customFormat="false" ht="13.5" hidden="false" customHeight="true" outlineLevel="0" collapsed="false">
      <c r="A126" s="309" t="s">
        <v>5453</v>
      </c>
      <c r="B126" s="310"/>
      <c r="C126" s="310"/>
      <c r="D126" s="310"/>
      <c r="E126" s="310"/>
      <c r="F126" s="310"/>
      <c r="G126" s="310"/>
      <c r="H126" s="310"/>
      <c r="I126" s="310"/>
      <c r="J126" s="310"/>
      <c r="K126" s="310"/>
      <c r="L126" s="310"/>
      <c r="M126" s="310"/>
      <c r="N126" s="310"/>
      <c r="O126" s="310"/>
      <c r="P126" s="310"/>
      <c r="Q126" s="310"/>
      <c r="R126" s="310"/>
      <c r="S126" s="310"/>
      <c r="T126" s="310"/>
      <c r="U126" s="310"/>
      <c r="V126" s="310"/>
      <c r="W126" s="310"/>
      <c r="X126" s="310"/>
    </row>
    <row r="127" customFormat="false" ht="13.5" hidden="false" customHeight="true" outlineLevel="0" collapsed="false">
      <c r="A127" s="311" t="s">
        <v>5454</v>
      </c>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c r="X127" s="312"/>
    </row>
    <row r="128" customFormat="false" ht="13.5" hidden="false" customHeight="true" outlineLevel="0" collapsed="false">
      <c r="A128" s="309" t="s">
        <v>5455</v>
      </c>
      <c r="B128" s="310"/>
      <c r="C128" s="310"/>
      <c r="D128" s="310"/>
      <c r="E128" s="310"/>
      <c r="F128" s="310"/>
      <c r="G128" s="310"/>
      <c r="H128" s="310"/>
      <c r="I128" s="310"/>
      <c r="J128" s="310"/>
      <c r="K128" s="310"/>
      <c r="L128" s="310"/>
      <c r="M128" s="310"/>
      <c r="N128" s="310"/>
      <c r="O128" s="310"/>
      <c r="P128" s="310"/>
      <c r="Q128" s="310"/>
      <c r="R128" s="310"/>
      <c r="S128" s="310"/>
      <c r="T128" s="310"/>
      <c r="U128" s="310"/>
      <c r="V128" s="310"/>
      <c r="W128" s="310"/>
      <c r="X128" s="310"/>
    </row>
    <row r="129" customFormat="false" ht="13.5" hidden="false" customHeight="true" outlineLevel="0" collapsed="false">
      <c r="A129" s="311" t="s">
        <v>5456</v>
      </c>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c r="X129" s="312"/>
    </row>
    <row r="130" customFormat="false" ht="13.5" hidden="false" customHeight="true" outlineLevel="0" collapsed="false">
      <c r="A130" s="309" t="s">
        <v>5457</v>
      </c>
      <c r="B130" s="310"/>
      <c r="C130" s="310"/>
      <c r="D130" s="310"/>
      <c r="E130" s="310"/>
      <c r="F130" s="310"/>
      <c r="G130" s="310"/>
      <c r="H130" s="310"/>
      <c r="I130" s="310"/>
      <c r="J130" s="310"/>
      <c r="K130" s="310"/>
      <c r="L130" s="310"/>
      <c r="M130" s="310"/>
      <c r="N130" s="310"/>
      <c r="O130" s="310"/>
      <c r="P130" s="310"/>
      <c r="Q130" s="310"/>
      <c r="R130" s="310"/>
      <c r="S130" s="310"/>
      <c r="T130" s="310"/>
      <c r="U130" s="310"/>
      <c r="V130" s="310"/>
      <c r="W130" s="310"/>
      <c r="X130" s="310"/>
    </row>
    <row r="131" customFormat="false" ht="13.5" hidden="false" customHeight="true" outlineLevel="0" collapsed="false">
      <c r="A131" s="311" t="s">
        <v>5458</v>
      </c>
      <c r="B131" s="313" t="n">
        <v>1</v>
      </c>
      <c r="C131" s="312"/>
      <c r="D131" s="312"/>
      <c r="E131" s="312"/>
      <c r="F131" s="312"/>
      <c r="G131" s="312"/>
      <c r="H131" s="312"/>
      <c r="I131" s="312"/>
      <c r="J131" s="312"/>
      <c r="K131" s="312"/>
      <c r="L131" s="312"/>
      <c r="M131" s="312"/>
      <c r="N131" s="312"/>
      <c r="O131" s="312"/>
      <c r="P131" s="312"/>
      <c r="Q131" s="312"/>
      <c r="R131" s="312"/>
      <c r="S131" s="312"/>
      <c r="T131" s="312"/>
      <c r="U131" s="312"/>
      <c r="V131" s="312"/>
      <c r="W131" s="312"/>
      <c r="X131" s="312"/>
    </row>
    <row r="132" customFormat="false" ht="13.5" hidden="false" customHeight="true" outlineLevel="0" collapsed="false">
      <c r="A132" s="309" t="s">
        <v>5459</v>
      </c>
      <c r="B132" s="310"/>
      <c r="C132" s="310"/>
      <c r="D132" s="310"/>
      <c r="E132" s="310"/>
      <c r="F132" s="310"/>
      <c r="G132" s="310"/>
      <c r="H132" s="310"/>
      <c r="I132" s="310"/>
      <c r="J132" s="310"/>
      <c r="K132" s="310"/>
      <c r="L132" s="310"/>
      <c r="M132" s="310"/>
      <c r="N132" s="310"/>
      <c r="O132" s="310"/>
      <c r="P132" s="310"/>
      <c r="Q132" s="310"/>
      <c r="R132" s="310"/>
      <c r="S132" s="310"/>
      <c r="T132" s="310"/>
      <c r="U132" s="310"/>
      <c r="V132" s="310"/>
      <c r="W132" s="310"/>
      <c r="X132" s="310"/>
    </row>
    <row r="133" customFormat="false" ht="13.5" hidden="false" customHeight="true" outlineLevel="0" collapsed="false">
      <c r="A133" s="311" t="s">
        <v>5460</v>
      </c>
      <c r="B133" s="312"/>
      <c r="C133" s="312"/>
      <c r="D133" s="312"/>
      <c r="E133" s="312"/>
      <c r="F133" s="312"/>
      <c r="G133" s="312"/>
      <c r="H133" s="312"/>
      <c r="I133" s="313" t="n">
        <v>1</v>
      </c>
      <c r="J133" s="312"/>
      <c r="K133" s="312"/>
      <c r="L133" s="312"/>
      <c r="M133" s="312"/>
      <c r="N133" s="312"/>
      <c r="O133" s="312"/>
      <c r="P133" s="312"/>
      <c r="Q133" s="312"/>
      <c r="R133" s="312"/>
      <c r="S133" s="312"/>
      <c r="T133" s="312"/>
      <c r="U133" s="312"/>
      <c r="V133" s="312"/>
      <c r="W133" s="312"/>
      <c r="X133" s="312"/>
    </row>
    <row r="134" customFormat="false" ht="13.5" hidden="false" customHeight="true" outlineLevel="0" collapsed="false">
      <c r="A134" s="309" t="s">
        <v>5461</v>
      </c>
      <c r="B134" s="310"/>
      <c r="C134" s="313" t="n">
        <v>1</v>
      </c>
      <c r="D134" s="310"/>
      <c r="E134" s="310"/>
      <c r="F134" s="310"/>
      <c r="G134" s="310"/>
      <c r="H134" s="310"/>
      <c r="I134" s="310"/>
      <c r="J134" s="310"/>
      <c r="K134" s="310"/>
      <c r="L134" s="310"/>
      <c r="M134" s="310"/>
      <c r="N134" s="310"/>
      <c r="O134" s="310"/>
      <c r="P134" s="310"/>
      <c r="Q134" s="310"/>
      <c r="R134" s="310"/>
      <c r="S134" s="310"/>
      <c r="T134" s="310"/>
      <c r="U134" s="310"/>
      <c r="V134" s="310"/>
      <c r="W134" s="310"/>
      <c r="X134" s="310"/>
    </row>
    <row r="135" customFormat="false" ht="13.5" hidden="false" customHeight="true" outlineLevel="0" collapsed="false">
      <c r="A135" s="311" t="s">
        <v>5462</v>
      </c>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c r="X135" s="312"/>
    </row>
    <row r="136" customFormat="false" ht="13.5" hidden="false" customHeight="true" outlineLevel="0" collapsed="false">
      <c r="A136" s="309" t="s">
        <v>5463</v>
      </c>
      <c r="B136" s="310"/>
      <c r="C136" s="310"/>
      <c r="D136" s="310"/>
      <c r="E136" s="310"/>
      <c r="F136" s="310"/>
      <c r="G136" s="310"/>
      <c r="H136" s="310"/>
      <c r="I136" s="310"/>
      <c r="J136" s="310"/>
      <c r="K136" s="310"/>
      <c r="L136" s="310"/>
      <c r="M136" s="310"/>
      <c r="N136" s="310"/>
      <c r="O136" s="310"/>
      <c r="P136" s="310"/>
      <c r="Q136" s="310"/>
      <c r="R136" s="310"/>
      <c r="S136" s="310"/>
      <c r="T136" s="310"/>
      <c r="U136" s="310"/>
      <c r="V136" s="310"/>
      <c r="W136" s="310"/>
      <c r="X136" s="310"/>
    </row>
    <row r="137" customFormat="false" ht="13.5" hidden="false" customHeight="true" outlineLevel="0" collapsed="false">
      <c r="A137" s="311" t="s">
        <v>5464</v>
      </c>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row>
    <row r="138" customFormat="false" ht="13.5" hidden="false" customHeight="true" outlineLevel="0" collapsed="false">
      <c r="A138" s="309" t="s">
        <v>5465</v>
      </c>
      <c r="B138" s="310"/>
      <c r="C138" s="310"/>
      <c r="D138" s="310"/>
      <c r="E138" s="310"/>
      <c r="F138" s="310"/>
      <c r="G138" s="310"/>
      <c r="H138" s="310"/>
      <c r="I138" s="310"/>
      <c r="J138" s="310"/>
      <c r="K138" s="310"/>
      <c r="L138" s="310"/>
      <c r="M138" s="310"/>
      <c r="N138" s="310"/>
      <c r="O138" s="310"/>
      <c r="P138" s="310"/>
      <c r="Q138" s="310"/>
      <c r="R138" s="310"/>
      <c r="S138" s="310"/>
      <c r="T138" s="310"/>
      <c r="U138" s="310"/>
      <c r="V138" s="310"/>
      <c r="W138" s="310"/>
      <c r="X138" s="310"/>
    </row>
    <row r="139" customFormat="false" ht="13.5" hidden="false" customHeight="true" outlineLevel="0" collapsed="false">
      <c r="A139" s="311" t="s">
        <v>5466</v>
      </c>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c r="X139" s="312"/>
    </row>
    <row r="140" customFormat="false" ht="13.5" hidden="false" customHeight="true" outlineLevel="0" collapsed="false">
      <c r="A140" s="309" t="s">
        <v>5467</v>
      </c>
      <c r="B140" s="310"/>
      <c r="C140" s="310"/>
      <c r="D140" s="310"/>
      <c r="E140" s="310"/>
      <c r="F140" s="310"/>
      <c r="G140" s="310"/>
      <c r="H140" s="310"/>
      <c r="I140" s="310"/>
      <c r="J140" s="310"/>
      <c r="K140" s="310"/>
      <c r="L140" s="310"/>
      <c r="M140" s="310"/>
      <c r="N140" s="310"/>
      <c r="O140" s="310"/>
      <c r="P140" s="310"/>
      <c r="Q140" s="310"/>
      <c r="R140" s="310"/>
      <c r="S140" s="310"/>
      <c r="T140" s="310"/>
      <c r="U140" s="310"/>
      <c r="V140" s="310"/>
      <c r="W140" s="310"/>
      <c r="X140" s="310"/>
    </row>
    <row r="141" customFormat="false" ht="13.5" hidden="false" customHeight="true" outlineLevel="0" collapsed="false">
      <c r="A141" s="311" t="s">
        <v>5468</v>
      </c>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c r="X141" s="312"/>
    </row>
    <row r="142" customFormat="false" ht="13.5" hidden="false" customHeight="true" outlineLevel="0" collapsed="false">
      <c r="A142" s="309" t="s">
        <v>5469</v>
      </c>
      <c r="B142" s="310"/>
      <c r="C142" s="310"/>
      <c r="D142" s="310"/>
      <c r="E142" s="310"/>
      <c r="F142" s="310"/>
      <c r="G142" s="310"/>
      <c r="H142" s="310"/>
      <c r="I142" s="310"/>
      <c r="J142" s="310"/>
      <c r="K142" s="310"/>
      <c r="L142" s="310"/>
      <c r="M142" s="310"/>
      <c r="N142" s="310"/>
      <c r="O142" s="310"/>
      <c r="P142" s="310"/>
      <c r="Q142" s="310"/>
      <c r="R142" s="310"/>
      <c r="S142" s="310"/>
      <c r="T142" s="310"/>
      <c r="U142" s="310"/>
      <c r="V142" s="310"/>
      <c r="W142" s="310"/>
      <c r="X142" s="310"/>
    </row>
    <row r="143" customFormat="false" ht="13.5" hidden="false" customHeight="true" outlineLevel="0" collapsed="false">
      <c r="A143" s="311" t="s">
        <v>5470</v>
      </c>
      <c r="B143" s="312"/>
      <c r="C143" s="313" t="n">
        <v>1</v>
      </c>
      <c r="D143" s="312"/>
      <c r="E143" s="312"/>
      <c r="F143" s="312"/>
      <c r="G143" s="312"/>
      <c r="H143" s="312"/>
      <c r="I143" s="312"/>
      <c r="J143" s="312"/>
      <c r="K143" s="312"/>
      <c r="L143" s="312"/>
      <c r="M143" s="312"/>
      <c r="N143" s="312"/>
      <c r="O143" s="312"/>
      <c r="P143" s="312"/>
      <c r="Q143" s="312"/>
      <c r="R143" s="312"/>
      <c r="S143" s="312"/>
      <c r="T143" s="312"/>
      <c r="U143" s="312"/>
      <c r="V143" s="312"/>
      <c r="W143" s="312"/>
      <c r="X143" s="312"/>
    </row>
    <row r="144" customFormat="false" ht="13.5" hidden="false" customHeight="true" outlineLevel="0" collapsed="false">
      <c r="A144" s="309" t="s">
        <v>5471</v>
      </c>
      <c r="B144" s="310"/>
      <c r="C144" s="310"/>
      <c r="D144" s="313" t="n">
        <v>1</v>
      </c>
      <c r="E144" s="310"/>
      <c r="F144" s="310"/>
      <c r="G144" s="310"/>
      <c r="H144" s="310"/>
      <c r="I144" s="310"/>
      <c r="J144" s="310"/>
      <c r="K144" s="310"/>
      <c r="L144" s="310"/>
      <c r="M144" s="310"/>
      <c r="N144" s="310"/>
      <c r="O144" s="310"/>
      <c r="P144" s="310"/>
      <c r="Q144" s="310"/>
      <c r="R144" s="310"/>
      <c r="S144" s="310"/>
      <c r="T144" s="310"/>
      <c r="U144" s="310"/>
      <c r="V144" s="310"/>
      <c r="W144" s="310"/>
      <c r="X144" s="310"/>
    </row>
    <row r="145" customFormat="false" ht="13.5" hidden="false" customHeight="true" outlineLevel="0" collapsed="false">
      <c r="A145" s="311" t="s">
        <v>5472</v>
      </c>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c r="X145" s="312"/>
    </row>
    <row r="146" customFormat="false" ht="13.5" hidden="false" customHeight="true" outlineLevel="0" collapsed="false">
      <c r="A146" s="309" t="s">
        <v>5473</v>
      </c>
      <c r="B146" s="310"/>
      <c r="C146" s="310"/>
      <c r="D146" s="310"/>
      <c r="E146" s="310"/>
      <c r="F146" s="310"/>
      <c r="G146" s="310"/>
      <c r="H146" s="310"/>
      <c r="I146" s="310"/>
      <c r="J146" s="310"/>
      <c r="K146" s="310"/>
      <c r="L146" s="310"/>
      <c r="M146" s="310"/>
      <c r="N146" s="310"/>
      <c r="O146" s="310"/>
      <c r="P146" s="310"/>
      <c r="Q146" s="310"/>
      <c r="R146" s="310"/>
      <c r="S146" s="310"/>
      <c r="T146" s="310"/>
      <c r="U146" s="310"/>
      <c r="V146" s="310"/>
      <c r="W146" s="310"/>
      <c r="X146" s="310"/>
    </row>
    <row r="147" customFormat="false" ht="13.5" hidden="false" customHeight="true" outlineLevel="0" collapsed="false">
      <c r="A147" s="311" t="s">
        <v>5474</v>
      </c>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c r="X147" s="312"/>
    </row>
    <row r="148" customFormat="false" ht="13.5" hidden="false" customHeight="true" outlineLevel="0" collapsed="false">
      <c r="A148" s="309" t="s">
        <v>5475</v>
      </c>
      <c r="B148" s="310"/>
      <c r="C148" s="310"/>
      <c r="D148" s="310"/>
      <c r="E148" s="310"/>
      <c r="F148" s="310"/>
      <c r="G148" s="310"/>
      <c r="H148" s="310"/>
      <c r="I148" s="310"/>
      <c r="J148" s="310"/>
      <c r="K148" s="310"/>
      <c r="L148" s="310"/>
      <c r="M148" s="310"/>
      <c r="N148" s="313" t="n">
        <v>1</v>
      </c>
      <c r="O148" s="310"/>
      <c r="P148" s="310"/>
      <c r="Q148" s="310"/>
      <c r="R148" s="310"/>
      <c r="S148" s="310"/>
      <c r="T148" s="310"/>
      <c r="U148" s="310"/>
      <c r="V148" s="310"/>
      <c r="W148" s="310"/>
      <c r="X148" s="310"/>
    </row>
    <row r="149" customFormat="false" ht="13.5" hidden="false" customHeight="true" outlineLevel="0" collapsed="false">
      <c r="A149" s="311" t="s">
        <v>5476</v>
      </c>
      <c r="B149" s="313" t="n">
        <v>1</v>
      </c>
      <c r="C149" s="312"/>
      <c r="D149" s="312"/>
      <c r="E149" s="312"/>
      <c r="F149" s="312"/>
      <c r="G149" s="312"/>
      <c r="H149" s="312"/>
      <c r="I149" s="312"/>
      <c r="J149" s="312"/>
      <c r="K149" s="312"/>
      <c r="L149" s="312"/>
      <c r="M149" s="312"/>
      <c r="N149" s="312"/>
      <c r="O149" s="312"/>
      <c r="P149" s="312"/>
      <c r="Q149" s="312"/>
      <c r="R149" s="312"/>
      <c r="S149" s="312"/>
      <c r="T149" s="312"/>
      <c r="U149" s="312"/>
      <c r="V149" s="312"/>
      <c r="W149" s="312"/>
      <c r="X149" s="312"/>
    </row>
    <row r="150" customFormat="false" ht="13.5" hidden="false" customHeight="true" outlineLevel="0" collapsed="false">
      <c r="A150" s="309" t="s">
        <v>5477</v>
      </c>
      <c r="B150" s="310"/>
      <c r="C150" s="310"/>
      <c r="D150" s="310"/>
      <c r="E150" s="310"/>
      <c r="F150" s="310"/>
      <c r="G150" s="313" t="n">
        <v>1</v>
      </c>
      <c r="H150" s="310"/>
      <c r="I150" s="310"/>
      <c r="J150" s="310"/>
      <c r="K150" s="310"/>
      <c r="L150" s="310"/>
      <c r="M150" s="310"/>
      <c r="N150" s="310"/>
      <c r="O150" s="310"/>
      <c r="P150" s="310"/>
      <c r="Q150" s="310"/>
      <c r="R150" s="310"/>
      <c r="S150" s="310"/>
      <c r="T150" s="310"/>
      <c r="U150" s="310"/>
      <c r="V150" s="310"/>
      <c r="W150" s="310"/>
      <c r="X150" s="310"/>
    </row>
    <row r="151" customFormat="false" ht="13.5" hidden="false" customHeight="true" outlineLevel="0" collapsed="false">
      <c r="A151" s="311" t="s">
        <v>5478</v>
      </c>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c r="X151" s="312"/>
    </row>
    <row r="152" customFormat="false" ht="13.5" hidden="false" customHeight="true" outlineLevel="0" collapsed="false">
      <c r="A152" s="309" t="s">
        <v>5479</v>
      </c>
      <c r="B152" s="310"/>
      <c r="C152" s="310"/>
      <c r="D152" s="310"/>
      <c r="E152" s="310"/>
      <c r="F152" s="310"/>
      <c r="G152" s="310"/>
      <c r="H152" s="310"/>
      <c r="I152" s="310"/>
      <c r="J152" s="310"/>
      <c r="K152" s="310"/>
      <c r="L152" s="310"/>
      <c r="M152" s="310"/>
      <c r="N152" s="310"/>
      <c r="O152" s="310"/>
      <c r="P152" s="310"/>
      <c r="Q152" s="310"/>
      <c r="R152" s="313" t="n">
        <v>1</v>
      </c>
      <c r="S152" s="310"/>
      <c r="T152" s="310"/>
      <c r="U152" s="310"/>
      <c r="V152" s="310"/>
      <c r="W152" s="310"/>
      <c r="X152" s="310"/>
    </row>
    <row r="153" customFormat="false" ht="13.5" hidden="false" customHeight="true" outlineLevel="0" collapsed="false">
      <c r="A153" s="311" t="s">
        <v>5480</v>
      </c>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c r="X153" s="312"/>
    </row>
    <row r="154" customFormat="false" ht="13.5" hidden="false" customHeight="true" outlineLevel="0" collapsed="false">
      <c r="A154" s="309" t="s">
        <v>5481</v>
      </c>
      <c r="B154" s="310"/>
      <c r="C154" s="310"/>
      <c r="D154" s="310"/>
      <c r="E154" s="310"/>
      <c r="F154" s="310"/>
      <c r="G154" s="310"/>
      <c r="H154" s="310"/>
      <c r="I154" s="310"/>
      <c r="J154" s="310"/>
      <c r="K154" s="310"/>
      <c r="L154" s="310"/>
      <c r="M154" s="310"/>
      <c r="N154" s="310"/>
      <c r="O154" s="310"/>
      <c r="P154" s="310"/>
      <c r="Q154" s="310"/>
      <c r="R154" s="310"/>
      <c r="S154" s="310"/>
      <c r="T154" s="310"/>
      <c r="U154" s="310"/>
      <c r="V154" s="310"/>
      <c r="W154" s="310"/>
      <c r="X154" s="310"/>
    </row>
    <row r="155" customFormat="false" ht="13.5" hidden="false" customHeight="true" outlineLevel="0" collapsed="false">
      <c r="A155" s="311" t="s">
        <v>5482</v>
      </c>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c r="X155" s="312"/>
    </row>
    <row r="156" customFormat="false" ht="13.5" hidden="false" customHeight="true" outlineLevel="0" collapsed="false">
      <c r="A156" s="309" t="s">
        <v>5483</v>
      </c>
      <c r="B156" s="310"/>
      <c r="C156" s="310"/>
      <c r="D156" s="310"/>
      <c r="E156" s="310"/>
      <c r="F156" s="310"/>
      <c r="G156" s="310"/>
      <c r="H156" s="310"/>
      <c r="I156" s="310"/>
      <c r="J156" s="310"/>
      <c r="K156" s="310"/>
      <c r="L156" s="310"/>
      <c r="M156" s="310"/>
      <c r="N156" s="310"/>
      <c r="O156" s="310"/>
      <c r="P156" s="310"/>
      <c r="Q156" s="310"/>
      <c r="R156" s="310"/>
      <c r="S156" s="310"/>
      <c r="T156" s="310"/>
      <c r="U156" s="310"/>
      <c r="V156" s="310"/>
      <c r="W156" s="310"/>
      <c r="X156" s="310"/>
    </row>
    <row r="157" customFormat="false" ht="13.5" hidden="false" customHeight="true" outlineLevel="0" collapsed="false">
      <c r="A157" s="311" t="s">
        <v>5484</v>
      </c>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c r="X157" s="312"/>
    </row>
    <row r="158" customFormat="false" ht="13.5" hidden="false" customHeight="true" outlineLevel="0" collapsed="false">
      <c r="A158" s="309" t="s">
        <v>5485</v>
      </c>
      <c r="B158" s="310"/>
      <c r="C158" s="310"/>
      <c r="D158" s="310"/>
      <c r="E158" s="310"/>
      <c r="F158" s="310"/>
      <c r="G158" s="310"/>
      <c r="H158" s="310"/>
      <c r="I158" s="310"/>
      <c r="J158" s="310"/>
      <c r="K158" s="310"/>
      <c r="L158" s="310"/>
      <c r="M158" s="310"/>
      <c r="N158" s="310"/>
      <c r="O158" s="310"/>
      <c r="P158" s="310"/>
      <c r="Q158" s="310"/>
      <c r="R158" s="310"/>
      <c r="S158" s="310"/>
      <c r="T158" s="310"/>
      <c r="U158" s="310"/>
      <c r="V158" s="310"/>
      <c r="W158" s="310"/>
      <c r="X158" s="310"/>
    </row>
    <row r="159" customFormat="false" ht="13.5" hidden="false" customHeight="true" outlineLevel="0" collapsed="false">
      <c r="A159" s="311" t="s">
        <v>5486</v>
      </c>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c r="X159" s="312"/>
    </row>
    <row r="160" customFormat="false" ht="13.5" hidden="false" customHeight="true" outlineLevel="0" collapsed="false">
      <c r="A160" s="309" t="s">
        <v>5487</v>
      </c>
      <c r="B160" s="310"/>
      <c r="C160" s="310"/>
      <c r="D160" s="310"/>
      <c r="E160" s="310"/>
      <c r="F160" s="310"/>
      <c r="G160" s="310"/>
      <c r="H160" s="310"/>
      <c r="I160" s="310"/>
      <c r="J160" s="310"/>
      <c r="K160" s="310"/>
      <c r="L160" s="310"/>
      <c r="M160" s="310"/>
      <c r="N160" s="310"/>
      <c r="O160" s="310"/>
      <c r="P160" s="310"/>
      <c r="Q160" s="310"/>
      <c r="R160" s="310"/>
      <c r="S160" s="310"/>
      <c r="T160" s="310"/>
      <c r="U160" s="310"/>
      <c r="V160" s="310"/>
      <c r="W160" s="310"/>
      <c r="X160" s="310"/>
    </row>
    <row r="161" customFormat="false" ht="13.5" hidden="false" customHeight="true" outlineLevel="0" collapsed="false">
      <c r="A161" s="311" t="s">
        <v>5488</v>
      </c>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row>
    <row r="162" customFormat="false" ht="13.5" hidden="false" customHeight="true" outlineLevel="0" collapsed="false">
      <c r="A162" s="309" t="s">
        <v>5489</v>
      </c>
      <c r="B162" s="310"/>
      <c r="C162" s="310"/>
      <c r="D162" s="310"/>
      <c r="E162" s="310"/>
      <c r="F162" s="310"/>
      <c r="G162" s="310"/>
      <c r="H162" s="310"/>
      <c r="I162" s="310"/>
      <c r="J162" s="310"/>
      <c r="K162" s="310"/>
      <c r="L162" s="310"/>
      <c r="M162" s="310"/>
      <c r="N162" s="310"/>
      <c r="O162" s="310"/>
      <c r="P162" s="310"/>
      <c r="Q162" s="310"/>
      <c r="R162" s="310"/>
      <c r="S162" s="310"/>
      <c r="T162" s="310"/>
      <c r="U162" s="310"/>
      <c r="V162" s="310"/>
      <c r="W162" s="310"/>
      <c r="X162" s="310"/>
    </row>
    <row r="163" customFormat="false" ht="13.5" hidden="false" customHeight="true" outlineLevel="0" collapsed="false">
      <c r="A163" s="311" t="s">
        <v>5490</v>
      </c>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row>
    <row r="164" customFormat="false" ht="13.5" hidden="false" customHeight="true" outlineLevel="0" collapsed="false">
      <c r="A164" s="309" t="s">
        <v>5491</v>
      </c>
      <c r="B164" s="310"/>
      <c r="C164" s="310"/>
      <c r="D164" s="310"/>
      <c r="E164" s="310"/>
      <c r="F164" s="310"/>
      <c r="G164" s="310"/>
      <c r="H164" s="310"/>
      <c r="I164" s="310"/>
      <c r="J164" s="310"/>
      <c r="K164" s="310"/>
      <c r="L164" s="310"/>
      <c r="M164" s="310"/>
      <c r="N164" s="310"/>
      <c r="O164" s="310"/>
      <c r="P164" s="310"/>
      <c r="Q164" s="310"/>
      <c r="R164" s="310"/>
      <c r="S164" s="310"/>
      <c r="T164" s="310"/>
      <c r="U164" s="310"/>
      <c r="V164" s="310"/>
      <c r="W164" s="310"/>
      <c r="X164" s="310"/>
    </row>
    <row r="165" customFormat="false" ht="13.5" hidden="false" customHeight="true" outlineLevel="0" collapsed="false">
      <c r="A165" s="311" t="s">
        <v>5492</v>
      </c>
      <c r="B165" s="312"/>
      <c r="C165" s="313" t="n">
        <v>1</v>
      </c>
      <c r="D165" s="312"/>
      <c r="E165" s="312"/>
      <c r="F165" s="312"/>
      <c r="G165" s="312"/>
      <c r="H165" s="312"/>
      <c r="I165" s="312"/>
      <c r="J165" s="312"/>
      <c r="K165" s="312"/>
      <c r="L165" s="312"/>
      <c r="M165" s="312"/>
      <c r="N165" s="312"/>
      <c r="O165" s="312"/>
      <c r="P165" s="312"/>
      <c r="Q165" s="312"/>
      <c r="R165" s="312"/>
      <c r="S165" s="312"/>
      <c r="T165" s="312"/>
      <c r="U165" s="312"/>
      <c r="V165" s="312"/>
      <c r="W165" s="312"/>
      <c r="X165" s="312"/>
    </row>
    <row r="166" customFormat="false" ht="13.5" hidden="false" customHeight="true" outlineLevel="0" collapsed="false">
      <c r="A166" s="309" t="s">
        <v>5493</v>
      </c>
      <c r="B166" s="310"/>
      <c r="C166" s="310"/>
      <c r="D166" s="313" t="n">
        <v>1</v>
      </c>
      <c r="E166" s="310"/>
      <c r="F166" s="310"/>
      <c r="G166" s="310"/>
      <c r="H166" s="310"/>
      <c r="I166" s="310"/>
      <c r="J166" s="310"/>
      <c r="K166" s="310"/>
      <c r="L166" s="310"/>
      <c r="M166" s="310"/>
      <c r="N166" s="310"/>
      <c r="O166" s="310"/>
      <c r="P166" s="310"/>
      <c r="Q166" s="310"/>
      <c r="R166" s="310"/>
      <c r="S166" s="310"/>
      <c r="T166" s="310"/>
      <c r="U166" s="310"/>
      <c r="V166" s="310"/>
      <c r="W166" s="310"/>
      <c r="X166" s="310"/>
    </row>
    <row r="167" customFormat="false" ht="13.5" hidden="false" customHeight="true" outlineLevel="0" collapsed="false">
      <c r="A167" s="311" t="s">
        <v>5494</v>
      </c>
      <c r="B167" s="313" t="n">
        <v>1</v>
      </c>
      <c r="C167" s="312"/>
      <c r="D167" s="312"/>
      <c r="E167" s="312"/>
      <c r="F167" s="312"/>
      <c r="G167" s="312"/>
      <c r="H167" s="312"/>
      <c r="I167" s="312"/>
      <c r="J167" s="312"/>
      <c r="K167" s="312"/>
      <c r="L167" s="312"/>
      <c r="M167" s="312"/>
      <c r="N167" s="312"/>
      <c r="O167" s="312"/>
      <c r="P167" s="312"/>
      <c r="Q167" s="312"/>
      <c r="R167" s="312"/>
      <c r="S167" s="312"/>
      <c r="T167" s="312"/>
      <c r="U167" s="312"/>
      <c r="V167" s="312"/>
      <c r="W167" s="312"/>
      <c r="X167" s="312"/>
    </row>
    <row r="168" customFormat="false" ht="13.5" hidden="false" customHeight="true" outlineLevel="0" collapsed="false">
      <c r="A168" s="309" t="s">
        <v>5495</v>
      </c>
      <c r="B168" s="310"/>
      <c r="C168" s="310"/>
      <c r="D168" s="310"/>
      <c r="E168" s="310"/>
      <c r="F168" s="310"/>
      <c r="G168" s="310"/>
      <c r="H168" s="310"/>
      <c r="I168" s="310"/>
      <c r="J168" s="310"/>
      <c r="K168" s="310"/>
      <c r="L168" s="310"/>
      <c r="M168" s="310"/>
      <c r="N168" s="310"/>
      <c r="O168" s="310"/>
      <c r="P168" s="310"/>
      <c r="Q168" s="310"/>
      <c r="R168" s="310"/>
      <c r="S168" s="310"/>
      <c r="T168" s="310"/>
      <c r="U168" s="310"/>
      <c r="V168" s="310"/>
      <c r="W168" s="310"/>
      <c r="X168" s="310"/>
    </row>
    <row r="169" customFormat="false" ht="13.5" hidden="false" customHeight="true" outlineLevel="0" collapsed="false">
      <c r="A169" s="311" t="s">
        <v>5496</v>
      </c>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12"/>
      <c r="X169" s="312"/>
    </row>
    <row r="170" customFormat="false" ht="13.5" hidden="false" customHeight="true" outlineLevel="0" collapsed="false">
      <c r="A170" s="309" t="s">
        <v>5497</v>
      </c>
      <c r="B170" s="310"/>
      <c r="C170" s="310"/>
      <c r="D170" s="310"/>
      <c r="E170" s="310"/>
      <c r="F170" s="310"/>
      <c r="G170" s="310"/>
      <c r="H170" s="310"/>
      <c r="I170" s="310"/>
      <c r="J170" s="310"/>
      <c r="K170" s="310"/>
      <c r="L170" s="310"/>
      <c r="M170" s="310"/>
      <c r="N170" s="310"/>
      <c r="O170" s="310"/>
      <c r="P170" s="310"/>
      <c r="Q170" s="310"/>
      <c r="R170" s="310"/>
      <c r="S170" s="310"/>
      <c r="T170" s="310"/>
      <c r="U170" s="310"/>
      <c r="V170" s="310"/>
      <c r="W170" s="310"/>
      <c r="X170" s="310"/>
    </row>
    <row r="171" customFormat="false" ht="13.5" hidden="false" customHeight="true" outlineLevel="0" collapsed="false">
      <c r="A171" s="311" t="s">
        <v>5498</v>
      </c>
      <c r="B171" s="312"/>
      <c r="C171" s="312"/>
      <c r="D171" s="312"/>
      <c r="E171" s="312"/>
      <c r="F171" s="312"/>
      <c r="G171" s="312"/>
      <c r="H171" s="312"/>
      <c r="I171" s="312"/>
      <c r="J171" s="312"/>
      <c r="K171" s="312"/>
      <c r="L171" s="312"/>
      <c r="M171" s="312"/>
      <c r="N171" s="312"/>
      <c r="O171" s="312"/>
      <c r="P171" s="312"/>
      <c r="Q171" s="312"/>
      <c r="R171" s="312"/>
      <c r="S171" s="312"/>
      <c r="T171" s="312"/>
      <c r="U171" s="312"/>
      <c r="V171" s="312"/>
      <c r="W171" s="312"/>
      <c r="X171" s="312"/>
    </row>
    <row r="172" customFormat="false" ht="13.5" hidden="false" customHeight="true" outlineLevel="0" collapsed="false">
      <c r="A172" s="309" t="s">
        <v>5499</v>
      </c>
      <c r="B172" s="310"/>
      <c r="C172" s="310"/>
      <c r="D172" s="310"/>
      <c r="E172" s="310"/>
      <c r="F172" s="310"/>
      <c r="G172" s="310"/>
      <c r="H172" s="310"/>
      <c r="I172" s="310"/>
      <c r="J172" s="310"/>
      <c r="K172" s="310"/>
      <c r="L172" s="310"/>
      <c r="M172" s="310"/>
      <c r="N172" s="310"/>
      <c r="O172" s="310"/>
      <c r="P172" s="310"/>
      <c r="Q172" s="310"/>
      <c r="R172" s="310"/>
      <c r="S172" s="310"/>
      <c r="T172" s="310"/>
      <c r="U172" s="310"/>
      <c r="V172" s="310"/>
      <c r="W172" s="310"/>
      <c r="X172" s="310"/>
    </row>
    <row r="173" customFormat="false" ht="13.5" hidden="false" customHeight="true" outlineLevel="0" collapsed="false">
      <c r="A173" s="311" t="s">
        <v>5500</v>
      </c>
      <c r="B173" s="312"/>
      <c r="C173" s="312"/>
      <c r="D173" s="312"/>
      <c r="E173" s="312"/>
      <c r="F173" s="312"/>
      <c r="G173" s="312"/>
      <c r="H173" s="312"/>
      <c r="I173" s="312"/>
      <c r="J173" s="312"/>
      <c r="K173" s="312"/>
      <c r="L173" s="312"/>
      <c r="M173" s="312"/>
      <c r="N173" s="312"/>
      <c r="O173" s="312"/>
      <c r="P173" s="312"/>
      <c r="Q173" s="312"/>
      <c r="R173" s="312"/>
      <c r="S173" s="312"/>
      <c r="T173" s="312"/>
      <c r="U173" s="312"/>
      <c r="V173" s="312"/>
      <c r="W173" s="312"/>
      <c r="X173" s="312"/>
    </row>
    <row r="174" customFormat="false" ht="13.5" hidden="false" customHeight="true" outlineLevel="0" collapsed="false">
      <c r="A174" s="309" t="s">
        <v>5501</v>
      </c>
      <c r="B174" s="310"/>
      <c r="C174" s="310"/>
      <c r="D174" s="310"/>
      <c r="E174" s="310"/>
      <c r="F174" s="310"/>
      <c r="G174" s="310"/>
      <c r="H174" s="310"/>
      <c r="I174" s="310"/>
      <c r="J174" s="310"/>
      <c r="K174" s="310"/>
      <c r="L174" s="310"/>
      <c r="M174" s="310"/>
      <c r="N174" s="310"/>
      <c r="O174" s="310"/>
      <c r="P174" s="310"/>
      <c r="Q174" s="310"/>
      <c r="R174" s="310"/>
      <c r="S174" s="310"/>
      <c r="T174" s="310"/>
      <c r="U174" s="310"/>
      <c r="V174" s="310"/>
      <c r="W174" s="310"/>
      <c r="X174" s="310"/>
    </row>
    <row r="175" customFormat="false" ht="13.5" hidden="false" customHeight="true" outlineLevel="0" collapsed="false">
      <c r="A175" s="311" t="s">
        <v>5502</v>
      </c>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row>
    <row r="176" customFormat="false" ht="13.5" hidden="false" customHeight="true" outlineLevel="0" collapsed="false">
      <c r="A176" s="309" t="s">
        <v>5503</v>
      </c>
      <c r="B176" s="310"/>
      <c r="C176" s="310"/>
      <c r="D176" s="310"/>
      <c r="E176" s="310"/>
      <c r="F176" s="310"/>
      <c r="G176" s="310"/>
      <c r="H176" s="310"/>
      <c r="I176" s="310"/>
      <c r="J176" s="310"/>
      <c r="K176" s="310"/>
      <c r="L176" s="310"/>
      <c r="M176" s="310"/>
      <c r="N176" s="310"/>
      <c r="O176" s="310"/>
      <c r="P176" s="310"/>
      <c r="Q176" s="310"/>
      <c r="R176" s="310"/>
      <c r="S176" s="310"/>
      <c r="T176" s="310"/>
      <c r="U176" s="310"/>
      <c r="V176" s="310"/>
      <c r="W176" s="310"/>
      <c r="X176" s="310"/>
    </row>
    <row r="177" customFormat="false" ht="13.5" hidden="false" customHeight="true" outlineLevel="0" collapsed="false">
      <c r="A177" s="311" t="s">
        <v>5504</v>
      </c>
      <c r="B177" s="312"/>
      <c r="C177" s="312"/>
      <c r="D177" s="312"/>
      <c r="E177" s="312"/>
      <c r="F177" s="312"/>
      <c r="G177" s="312"/>
      <c r="H177" s="312"/>
      <c r="I177" s="312"/>
      <c r="J177" s="312"/>
      <c r="K177" s="312"/>
      <c r="L177" s="312"/>
      <c r="M177" s="312"/>
      <c r="N177" s="312"/>
      <c r="O177" s="312"/>
      <c r="P177" s="312"/>
      <c r="Q177" s="312"/>
      <c r="R177" s="312"/>
      <c r="S177" s="312"/>
      <c r="T177" s="312"/>
      <c r="U177" s="312"/>
      <c r="V177" s="312"/>
      <c r="W177" s="312"/>
      <c r="X177" s="312"/>
    </row>
    <row r="178" customFormat="false" ht="13.5" hidden="false" customHeight="true" outlineLevel="0" collapsed="false">
      <c r="A178" s="309" t="s">
        <v>5505</v>
      </c>
      <c r="B178" s="310"/>
      <c r="C178" s="310"/>
      <c r="D178" s="310"/>
      <c r="E178" s="310"/>
      <c r="F178" s="310"/>
      <c r="G178" s="310"/>
      <c r="H178" s="310"/>
      <c r="I178" s="310"/>
      <c r="J178" s="310"/>
      <c r="K178" s="310"/>
      <c r="L178" s="310"/>
      <c r="M178" s="310"/>
      <c r="N178" s="310"/>
      <c r="O178" s="310"/>
      <c r="P178" s="310"/>
      <c r="Q178" s="310"/>
      <c r="R178" s="310"/>
      <c r="S178" s="310"/>
      <c r="T178" s="310"/>
      <c r="U178" s="310"/>
      <c r="V178" s="310"/>
      <c r="W178" s="310"/>
      <c r="X178" s="310"/>
    </row>
    <row r="179" customFormat="false" ht="13.5" hidden="false" customHeight="true" outlineLevel="0" collapsed="false">
      <c r="A179" s="311" t="s">
        <v>5506</v>
      </c>
      <c r="B179" s="312"/>
      <c r="C179" s="312"/>
      <c r="D179" s="313" t="n">
        <v>1</v>
      </c>
      <c r="E179" s="312"/>
      <c r="F179" s="312"/>
      <c r="G179" s="312"/>
      <c r="H179" s="312"/>
      <c r="I179" s="312"/>
      <c r="J179" s="312"/>
      <c r="K179" s="312"/>
      <c r="L179" s="312"/>
      <c r="M179" s="312"/>
      <c r="N179" s="312"/>
      <c r="O179" s="312"/>
      <c r="P179" s="312"/>
      <c r="Q179" s="312"/>
      <c r="R179" s="312"/>
      <c r="S179" s="312"/>
      <c r="T179" s="312"/>
      <c r="U179" s="312"/>
      <c r="V179" s="312"/>
      <c r="W179" s="312"/>
      <c r="X179" s="312"/>
    </row>
    <row r="180" customFormat="false" ht="13.5" hidden="false" customHeight="true" outlineLevel="0" collapsed="false">
      <c r="A180" s="309" t="s">
        <v>5507</v>
      </c>
      <c r="B180" s="310"/>
      <c r="C180" s="310"/>
      <c r="D180" s="310"/>
      <c r="E180" s="310"/>
      <c r="F180" s="310"/>
      <c r="G180" s="310"/>
      <c r="H180" s="310"/>
      <c r="I180" s="310"/>
      <c r="J180" s="310"/>
      <c r="K180" s="310"/>
      <c r="L180" s="310"/>
      <c r="M180" s="310"/>
      <c r="N180" s="310"/>
      <c r="O180" s="310"/>
      <c r="P180" s="310"/>
      <c r="Q180" s="310"/>
      <c r="R180" s="310"/>
      <c r="S180" s="310"/>
      <c r="T180" s="310"/>
      <c r="U180" s="310"/>
      <c r="V180" s="310"/>
      <c r="W180" s="310"/>
      <c r="X180" s="310"/>
    </row>
    <row r="181" customFormat="false" ht="13.5" hidden="false" customHeight="true" outlineLevel="0" collapsed="false">
      <c r="A181" s="311" t="s">
        <v>5508</v>
      </c>
      <c r="B181" s="313" t="n">
        <v>1</v>
      </c>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row>
    <row r="182" customFormat="false" ht="13.5" hidden="false" customHeight="true" outlineLevel="0" collapsed="false">
      <c r="A182" s="309" t="s">
        <v>5509</v>
      </c>
      <c r="B182" s="310"/>
      <c r="C182" s="310"/>
      <c r="D182" s="310"/>
      <c r="E182" s="310"/>
      <c r="F182" s="310"/>
      <c r="G182" s="310"/>
      <c r="H182" s="310"/>
      <c r="I182" s="310"/>
      <c r="J182" s="310"/>
      <c r="K182" s="310"/>
      <c r="L182" s="310"/>
      <c r="M182" s="310"/>
      <c r="N182" s="310"/>
      <c r="O182" s="310"/>
      <c r="P182" s="310"/>
      <c r="Q182" s="310"/>
      <c r="R182" s="313" t="n">
        <v>1</v>
      </c>
      <c r="S182" s="310"/>
      <c r="T182" s="310"/>
      <c r="U182" s="310"/>
      <c r="V182" s="310"/>
      <c r="W182" s="310"/>
      <c r="X182" s="310"/>
    </row>
    <row r="183" customFormat="false" ht="13.5" hidden="false" customHeight="true" outlineLevel="0" collapsed="false">
      <c r="A183" s="311" t="s">
        <v>5510</v>
      </c>
      <c r="B183" s="312"/>
      <c r="C183" s="312"/>
      <c r="D183" s="312"/>
      <c r="E183" s="313" t="n">
        <v>1</v>
      </c>
      <c r="F183" s="312"/>
      <c r="G183" s="312"/>
      <c r="H183" s="312"/>
      <c r="I183" s="312"/>
      <c r="J183" s="312"/>
      <c r="K183" s="312"/>
      <c r="L183" s="312"/>
      <c r="M183" s="312"/>
      <c r="N183" s="312"/>
      <c r="O183" s="312"/>
      <c r="P183" s="312"/>
      <c r="Q183" s="312"/>
      <c r="R183" s="312"/>
      <c r="S183" s="312"/>
      <c r="T183" s="312"/>
      <c r="U183" s="312"/>
      <c r="V183" s="312"/>
      <c r="W183" s="312"/>
      <c r="X183" s="312"/>
    </row>
    <row r="184" customFormat="false" ht="13.5" hidden="false" customHeight="true" outlineLevel="0" collapsed="false">
      <c r="A184" s="309" t="s">
        <v>5511</v>
      </c>
      <c r="B184" s="310"/>
      <c r="C184" s="310"/>
      <c r="D184" s="310"/>
      <c r="E184" s="310"/>
      <c r="F184" s="310"/>
      <c r="G184" s="310"/>
      <c r="H184" s="310"/>
      <c r="I184" s="310"/>
      <c r="J184" s="310"/>
      <c r="K184" s="310"/>
      <c r="L184" s="310"/>
      <c r="M184" s="310"/>
      <c r="N184" s="310"/>
      <c r="O184" s="310"/>
      <c r="P184" s="310"/>
      <c r="Q184" s="310"/>
      <c r="R184" s="310"/>
      <c r="S184" s="310"/>
      <c r="T184" s="310"/>
      <c r="U184" s="310"/>
      <c r="V184" s="310"/>
      <c r="W184" s="310"/>
      <c r="X184" s="310"/>
    </row>
    <row r="185" customFormat="false" ht="13.5" hidden="false" customHeight="true" outlineLevel="0" collapsed="false">
      <c r="A185" s="311" t="s">
        <v>5512</v>
      </c>
      <c r="B185" s="312"/>
      <c r="C185" s="312"/>
      <c r="D185" s="312"/>
      <c r="E185" s="312"/>
      <c r="F185" s="312"/>
      <c r="G185" s="312"/>
      <c r="H185" s="312"/>
      <c r="I185" s="312"/>
      <c r="J185" s="312"/>
      <c r="K185" s="312"/>
      <c r="L185" s="312"/>
      <c r="M185" s="312"/>
      <c r="N185" s="312"/>
      <c r="O185" s="312"/>
      <c r="P185" s="312"/>
      <c r="Q185" s="312"/>
      <c r="R185" s="312"/>
      <c r="S185" s="312"/>
      <c r="T185" s="312"/>
      <c r="U185" s="312"/>
      <c r="V185" s="312"/>
      <c r="W185" s="312"/>
      <c r="X185" s="312"/>
    </row>
    <row r="186" customFormat="false" ht="13.5" hidden="false" customHeight="true" outlineLevel="0" collapsed="false">
      <c r="A186" s="309" t="s">
        <v>5513</v>
      </c>
      <c r="B186" s="310"/>
      <c r="C186" s="310"/>
      <c r="D186" s="310"/>
      <c r="E186" s="310"/>
      <c r="F186" s="310"/>
      <c r="G186" s="310"/>
      <c r="H186" s="310"/>
      <c r="I186" s="310"/>
      <c r="J186" s="310"/>
      <c r="K186" s="310"/>
      <c r="L186" s="310"/>
      <c r="M186" s="310"/>
      <c r="N186" s="310"/>
      <c r="O186" s="310"/>
      <c r="P186" s="310"/>
      <c r="Q186" s="310"/>
      <c r="R186" s="310"/>
      <c r="S186" s="310"/>
      <c r="T186" s="310"/>
      <c r="U186" s="310"/>
      <c r="V186" s="310"/>
      <c r="W186" s="310"/>
      <c r="X186" s="310"/>
    </row>
    <row r="187" customFormat="false" ht="13.5" hidden="false" customHeight="true" outlineLevel="0" collapsed="false">
      <c r="A187" s="311" t="s">
        <v>5514</v>
      </c>
      <c r="B187" s="312"/>
      <c r="C187" s="312"/>
      <c r="D187" s="312"/>
      <c r="E187" s="312"/>
      <c r="F187" s="312"/>
      <c r="G187" s="312"/>
      <c r="H187" s="312"/>
      <c r="I187" s="312"/>
      <c r="J187" s="312"/>
      <c r="K187" s="312"/>
      <c r="L187" s="312"/>
      <c r="M187" s="312"/>
      <c r="N187" s="312"/>
      <c r="O187" s="312"/>
      <c r="P187" s="312"/>
      <c r="Q187" s="312"/>
      <c r="R187" s="312"/>
      <c r="S187" s="312"/>
      <c r="T187" s="312"/>
      <c r="U187" s="312"/>
      <c r="V187" s="312"/>
      <c r="W187" s="312"/>
      <c r="X187" s="312"/>
    </row>
    <row r="188" customFormat="false" ht="13.5" hidden="false" customHeight="true" outlineLevel="0" collapsed="false">
      <c r="A188" s="309" t="s">
        <v>5515</v>
      </c>
      <c r="B188" s="310"/>
      <c r="C188" s="310"/>
      <c r="D188" s="310"/>
      <c r="E188" s="310"/>
      <c r="F188" s="310"/>
      <c r="G188" s="310"/>
      <c r="H188" s="310"/>
      <c r="I188" s="310"/>
      <c r="J188" s="310"/>
      <c r="K188" s="310"/>
      <c r="L188" s="310"/>
      <c r="M188" s="310"/>
      <c r="N188" s="310"/>
      <c r="O188" s="313" t="n">
        <v>1</v>
      </c>
      <c r="P188" s="310"/>
      <c r="Q188" s="310"/>
      <c r="R188" s="310"/>
      <c r="S188" s="310"/>
      <c r="T188" s="310"/>
      <c r="U188" s="310"/>
      <c r="V188" s="310"/>
      <c r="W188" s="310"/>
      <c r="X188" s="310"/>
    </row>
    <row r="189" customFormat="false" ht="13.5" hidden="false" customHeight="true" outlineLevel="0" collapsed="false">
      <c r="A189" s="311" t="s">
        <v>5516</v>
      </c>
      <c r="B189" s="312"/>
      <c r="C189" s="312"/>
      <c r="D189" s="312"/>
      <c r="E189" s="312"/>
      <c r="F189" s="312"/>
      <c r="G189" s="312"/>
      <c r="H189" s="312"/>
      <c r="I189" s="312"/>
      <c r="J189" s="312"/>
      <c r="K189" s="312"/>
      <c r="L189" s="312"/>
      <c r="M189" s="312"/>
      <c r="N189" s="312"/>
      <c r="O189" s="312"/>
      <c r="P189" s="312"/>
      <c r="Q189" s="312"/>
      <c r="R189" s="312"/>
      <c r="S189" s="312"/>
      <c r="T189" s="312"/>
      <c r="U189" s="312"/>
      <c r="V189" s="312"/>
      <c r="W189" s="312"/>
      <c r="X189" s="312"/>
    </row>
    <row r="190" customFormat="false" ht="15.75" hidden="false" customHeight="true" outlineLevel="0" collapsed="false">
      <c r="A190" s="314"/>
      <c r="B190" s="315"/>
      <c r="C190" s="315"/>
      <c r="D190" s="315"/>
      <c r="E190" s="315"/>
      <c r="F190" s="315"/>
      <c r="G190" s="315"/>
      <c r="H190" s="315"/>
      <c r="I190" s="315"/>
      <c r="J190" s="315"/>
      <c r="K190" s="315"/>
      <c r="L190" s="315"/>
      <c r="M190" s="315"/>
      <c r="N190" s="315"/>
      <c r="O190" s="315"/>
      <c r="P190" s="315"/>
      <c r="Q190" s="315"/>
      <c r="R190" s="315"/>
      <c r="S190" s="315"/>
      <c r="T190" s="315"/>
      <c r="U190" s="315"/>
      <c r="V190" s="315"/>
      <c r="W190" s="315"/>
      <c r="X190" s="315"/>
    </row>
    <row r="191" customFormat="false" ht="15.75" hidden="false" customHeight="true" outlineLevel="0" collapsed="false">
      <c r="A191" s="316"/>
      <c r="B191" s="317"/>
      <c r="C191" s="317"/>
      <c r="D191" s="317"/>
      <c r="E191" s="317"/>
      <c r="F191" s="317"/>
      <c r="G191" s="317"/>
      <c r="H191" s="317"/>
      <c r="I191" s="317"/>
      <c r="J191" s="317"/>
      <c r="K191" s="317"/>
      <c r="L191" s="317"/>
      <c r="M191" s="317"/>
      <c r="N191" s="317"/>
      <c r="O191" s="317"/>
      <c r="P191" s="317"/>
      <c r="Q191" s="317"/>
      <c r="R191" s="317"/>
      <c r="S191" s="317"/>
      <c r="T191" s="317"/>
      <c r="U191" s="317"/>
      <c r="V191" s="317"/>
      <c r="W191" s="317"/>
      <c r="X191" s="317"/>
    </row>
    <row r="192" customFormat="false" ht="15.75" hidden="false" customHeight="true" outlineLevel="0" collapsed="false">
      <c r="A192" s="314"/>
      <c r="B192" s="315"/>
      <c r="C192" s="315"/>
      <c r="D192" s="315"/>
      <c r="E192" s="315"/>
      <c r="F192" s="315"/>
      <c r="G192" s="315"/>
      <c r="H192" s="315"/>
      <c r="I192" s="315"/>
      <c r="J192" s="315"/>
      <c r="K192" s="315"/>
      <c r="L192" s="315"/>
      <c r="M192" s="315"/>
      <c r="N192" s="315"/>
      <c r="O192" s="315"/>
      <c r="P192" s="315"/>
      <c r="Q192" s="315"/>
      <c r="R192" s="315"/>
      <c r="S192" s="315"/>
      <c r="T192" s="315"/>
      <c r="U192" s="315"/>
      <c r="V192" s="315"/>
      <c r="W192" s="315"/>
      <c r="X192" s="315"/>
    </row>
    <row r="193" customFormat="false" ht="15.75" hidden="false" customHeight="true" outlineLevel="0" collapsed="false">
      <c r="A193" s="316"/>
      <c r="B193" s="317"/>
      <c r="C193" s="317"/>
      <c r="D193" s="317"/>
      <c r="E193" s="317"/>
      <c r="F193" s="317"/>
      <c r="G193" s="317"/>
      <c r="H193" s="317"/>
      <c r="I193" s="317"/>
      <c r="J193" s="317"/>
      <c r="K193" s="317"/>
      <c r="L193" s="317"/>
      <c r="M193" s="317"/>
      <c r="N193" s="317"/>
      <c r="O193" s="317"/>
      <c r="P193" s="317"/>
      <c r="Q193" s="317"/>
      <c r="R193" s="317"/>
      <c r="S193" s="317"/>
      <c r="T193" s="317"/>
      <c r="U193" s="317"/>
      <c r="V193" s="317"/>
      <c r="W193" s="318"/>
      <c r="X193" s="317"/>
    </row>
    <row r="194" customFormat="false" ht="15.75" hidden="false" customHeight="true" outlineLevel="0" collapsed="false">
      <c r="A194" s="314"/>
      <c r="B194" s="315"/>
      <c r="C194" s="315"/>
      <c r="D194" s="315"/>
      <c r="E194" s="315"/>
      <c r="F194" s="315"/>
      <c r="G194" s="315"/>
      <c r="H194" s="315"/>
      <c r="I194" s="315"/>
      <c r="J194" s="315"/>
      <c r="K194" s="315"/>
      <c r="L194" s="315"/>
      <c r="M194" s="315"/>
      <c r="N194" s="315"/>
      <c r="O194" s="315"/>
      <c r="P194" s="315"/>
      <c r="Q194" s="315"/>
      <c r="R194" s="315"/>
      <c r="S194" s="315"/>
      <c r="T194" s="315"/>
      <c r="U194" s="315"/>
      <c r="V194" s="315"/>
      <c r="W194" s="315"/>
      <c r="X194" s="315"/>
    </row>
    <row r="195" customFormat="false" ht="15.75" hidden="false" customHeight="true" outlineLevel="0" collapsed="false">
      <c r="A195" s="316"/>
      <c r="B195" s="317"/>
      <c r="C195" s="317"/>
      <c r="D195" s="317"/>
      <c r="E195" s="317"/>
      <c r="F195" s="317"/>
      <c r="G195" s="317"/>
      <c r="H195" s="317"/>
      <c r="I195" s="317"/>
      <c r="J195" s="317"/>
      <c r="K195" s="317"/>
      <c r="L195" s="317"/>
      <c r="M195" s="317"/>
      <c r="N195" s="317"/>
      <c r="O195" s="317"/>
      <c r="P195" s="317"/>
      <c r="Q195" s="317"/>
      <c r="R195" s="317"/>
      <c r="S195" s="317"/>
      <c r="T195" s="317"/>
      <c r="U195" s="317"/>
      <c r="V195" s="317"/>
      <c r="W195" s="317"/>
      <c r="X195" s="317"/>
    </row>
    <row r="196" customFormat="false" ht="15.75" hidden="false" customHeight="true" outlineLevel="0" collapsed="false">
      <c r="A196" s="314"/>
      <c r="B196" s="315"/>
      <c r="C196" s="315"/>
      <c r="D196" s="315"/>
      <c r="E196" s="315"/>
      <c r="F196" s="315"/>
      <c r="G196" s="315"/>
      <c r="H196" s="315"/>
      <c r="I196" s="315"/>
      <c r="J196" s="315"/>
      <c r="K196" s="315"/>
      <c r="L196" s="315"/>
      <c r="M196" s="315"/>
      <c r="N196" s="315"/>
      <c r="O196" s="315"/>
      <c r="P196" s="315"/>
      <c r="Q196" s="315"/>
      <c r="R196" s="315"/>
      <c r="S196" s="315"/>
      <c r="T196" s="315"/>
      <c r="U196" s="315"/>
      <c r="V196" s="315"/>
      <c r="W196" s="315"/>
      <c r="X196" s="315"/>
    </row>
    <row r="197" customFormat="false" ht="15.75" hidden="false" customHeight="true" outlineLevel="0" collapsed="false">
      <c r="A197" s="316"/>
      <c r="B197" s="317"/>
      <c r="C197" s="317"/>
      <c r="D197" s="317"/>
      <c r="E197" s="317"/>
      <c r="F197" s="317"/>
      <c r="G197" s="317"/>
      <c r="H197" s="317"/>
      <c r="I197" s="317"/>
      <c r="J197" s="317"/>
      <c r="K197" s="317"/>
      <c r="L197" s="317"/>
      <c r="M197" s="317"/>
      <c r="N197" s="317"/>
      <c r="O197" s="317"/>
      <c r="P197" s="317"/>
      <c r="Q197" s="317"/>
      <c r="R197" s="317"/>
      <c r="S197" s="317"/>
      <c r="T197" s="317"/>
      <c r="U197" s="317"/>
      <c r="V197" s="317"/>
      <c r="W197" s="317"/>
      <c r="X197" s="317"/>
    </row>
    <row r="198" customFormat="false" ht="15.75" hidden="false" customHeight="true" outlineLevel="0" collapsed="false">
      <c r="A198" s="314"/>
      <c r="B198" s="315"/>
      <c r="C198" s="315"/>
      <c r="D198" s="315"/>
      <c r="E198" s="315"/>
      <c r="F198" s="315"/>
      <c r="G198" s="315"/>
      <c r="H198" s="315"/>
      <c r="I198" s="315"/>
      <c r="J198" s="315"/>
      <c r="K198" s="315"/>
      <c r="L198" s="315"/>
      <c r="M198" s="315"/>
      <c r="N198" s="318"/>
      <c r="O198" s="315"/>
      <c r="P198" s="315"/>
      <c r="Q198" s="315"/>
      <c r="R198" s="315"/>
      <c r="S198" s="315"/>
      <c r="T198" s="315"/>
      <c r="U198" s="315"/>
      <c r="V198" s="315"/>
      <c r="W198" s="315"/>
      <c r="X198" s="315"/>
    </row>
    <row r="199" customFormat="false" ht="15.75" hidden="false" customHeight="true" outlineLevel="0" collapsed="false">
      <c r="A199" s="316"/>
      <c r="B199" s="318"/>
      <c r="C199" s="317"/>
      <c r="D199" s="317"/>
      <c r="E199" s="317"/>
      <c r="F199" s="317"/>
      <c r="G199" s="317"/>
      <c r="H199" s="317"/>
      <c r="I199" s="317"/>
      <c r="J199" s="317"/>
      <c r="K199" s="317"/>
      <c r="L199" s="317"/>
      <c r="M199" s="317"/>
      <c r="N199" s="317"/>
      <c r="O199" s="317"/>
      <c r="P199" s="317"/>
      <c r="Q199" s="317"/>
      <c r="R199" s="317"/>
      <c r="S199" s="317"/>
      <c r="T199" s="317"/>
      <c r="U199" s="317"/>
      <c r="V199" s="317"/>
      <c r="W199" s="317"/>
      <c r="X199" s="317"/>
    </row>
    <row r="200" customFormat="false" ht="15.75" hidden="false" customHeight="true" outlineLevel="0" collapsed="false">
      <c r="A200" s="314"/>
      <c r="B200" s="315"/>
      <c r="C200" s="315"/>
      <c r="D200" s="315"/>
      <c r="E200" s="315"/>
      <c r="F200" s="315"/>
      <c r="G200" s="318"/>
      <c r="H200" s="315"/>
      <c r="I200" s="315"/>
      <c r="J200" s="315"/>
      <c r="K200" s="315"/>
      <c r="L200" s="315"/>
      <c r="M200" s="315"/>
      <c r="N200" s="315"/>
      <c r="O200" s="315"/>
      <c r="P200" s="315"/>
      <c r="Q200" s="315"/>
      <c r="R200" s="315"/>
      <c r="S200" s="315"/>
      <c r="T200" s="315"/>
      <c r="U200" s="315"/>
      <c r="V200" s="315"/>
      <c r="W200" s="315"/>
      <c r="X200" s="315"/>
    </row>
    <row r="201" customFormat="false" ht="15.75" hidden="false" customHeight="true" outlineLevel="0" collapsed="false">
      <c r="A201" s="316"/>
      <c r="B201" s="317"/>
      <c r="C201" s="317"/>
      <c r="D201" s="317"/>
      <c r="E201" s="317"/>
      <c r="F201" s="317"/>
      <c r="G201" s="317"/>
      <c r="H201" s="317"/>
      <c r="I201" s="317"/>
      <c r="J201" s="317"/>
      <c r="K201" s="317"/>
      <c r="L201" s="317"/>
      <c r="M201" s="317"/>
      <c r="N201" s="317"/>
      <c r="O201" s="317"/>
      <c r="P201" s="317"/>
      <c r="Q201" s="317"/>
      <c r="R201" s="317"/>
      <c r="S201" s="317"/>
      <c r="T201" s="317"/>
      <c r="U201" s="317"/>
      <c r="V201" s="317"/>
      <c r="W201" s="317"/>
      <c r="X201" s="317"/>
    </row>
    <row r="202" customFormat="false" ht="15.75" hidden="false" customHeight="true" outlineLevel="0" collapsed="false">
      <c r="A202" s="314"/>
      <c r="B202" s="315"/>
      <c r="C202" s="315"/>
      <c r="D202" s="315"/>
      <c r="E202" s="315"/>
      <c r="F202" s="315"/>
      <c r="G202" s="315"/>
      <c r="H202" s="315"/>
      <c r="I202" s="315"/>
      <c r="J202" s="315"/>
      <c r="K202" s="315"/>
      <c r="L202" s="315"/>
      <c r="M202" s="315"/>
      <c r="N202" s="315"/>
      <c r="O202" s="315"/>
      <c r="P202" s="315"/>
      <c r="Q202" s="315"/>
      <c r="R202" s="318"/>
      <c r="S202" s="315"/>
      <c r="T202" s="315"/>
      <c r="U202" s="315"/>
      <c r="V202" s="315"/>
      <c r="W202" s="315"/>
      <c r="X202" s="315"/>
    </row>
    <row r="203" customFormat="false" ht="15.75" hidden="false" customHeight="true" outlineLevel="0" collapsed="false">
      <c r="A203" s="316"/>
      <c r="B203" s="317"/>
      <c r="C203" s="317"/>
      <c r="D203" s="317"/>
      <c r="E203" s="317"/>
      <c r="F203" s="317"/>
      <c r="G203" s="317"/>
      <c r="H203" s="317"/>
      <c r="I203" s="317"/>
      <c r="J203" s="317"/>
      <c r="K203" s="317"/>
      <c r="L203" s="317"/>
      <c r="M203" s="317"/>
      <c r="N203" s="317"/>
      <c r="O203" s="318"/>
      <c r="P203" s="317"/>
      <c r="Q203" s="317"/>
      <c r="R203" s="317"/>
      <c r="S203" s="317"/>
      <c r="T203" s="317"/>
      <c r="U203" s="317"/>
      <c r="V203" s="317"/>
      <c r="W203" s="317"/>
      <c r="X203" s="317"/>
    </row>
    <row r="204" customFormat="false" ht="15.75" hidden="false" customHeight="true" outlineLevel="0" collapsed="false">
      <c r="A204" s="314"/>
      <c r="B204" s="315"/>
      <c r="C204" s="315"/>
      <c r="D204" s="315"/>
      <c r="E204" s="315"/>
      <c r="F204" s="315"/>
      <c r="G204" s="315"/>
      <c r="H204" s="315"/>
      <c r="I204" s="315"/>
      <c r="J204" s="315"/>
      <c r="K204" s="315"/>
      <c r="L204" s="315"/>
      <c r="M204" s="315"/>
      <c r="N204" s="315"/>
      <c r="O204" s="315"/>
      <c r="P204" s="315"/>
      <c r="Q204" s="315"/>
      <c r="R204" s="315"/>
      <c r="S204" s="315"/>
      <c r="T204" s="315"/>
      <c r="U204" s="315"/>
      <c r="V204" s="315"/>
      <c r="W204" s="315"/>
      <c r="X204" s="315"/>
    </row>
    <row r="205" customFormat="false" ht="15.75" hidden="false" customHeight="true" outlineLevel="0" collapsed="false">
      <c r="A205" s="316"/>
      <c r="B205" s="317"/>
      <c r="C205" s="317"/>
      <c r="D205" s="317"/>
      <c r="E205" s="317"/>
      <c r="F205" s="317"/>
      <c r="G205" s="317"/>
      <c r="H205" s="317"/>
      <c r="I205" s="317"/>
      <c r="J205" s="317"/>
      <c r="K205" s="317"/>
      <c r="L205" s="317"/>
      <c r="M205" s="317"/>
      <c r="N205" s="317"/>
      <c r="O205" s="317"/>
      <c r="P205" s="317"/>
      <c r="Q205" s="317"/>
      <c r="R205" s="317"/>
      <c r="S205" s="317"/>
      <c r="T205" s="317"/>
      <c r="U205" s="317"/>
      <c r="V205" s="317"/>
      <c r="W205" s="317"/>
      <c r="X205" s="317"/>
    </row>
    <row r="206" customFormat="false" ht="15.75" hidden="false" customHeight="true" outlineLevel="0" collapsed="false">
      <c r="A206" s="314"/>
      <c r="B206" s="315"/>
      <c r="C206" s="315"/>
      <c r="D206" s="315"/>
      <c r="E206" s="315"/>
      <c r="F206" s="315"/>
      <c r="G206" s="315"/>
      <c r="H206" s="315"/>
      <c r="I206" s="315"/>
      <c r="J206" s="315"/>
      <c r="K206" s="315"/>
      <c r="L206" s="315"/>
      <c r="M206" s="315"/>
      <c r="N206" s="315"/>
      <c r="O206" s="315"/>
      <c r="P206" s="315"/>
      <c r="Q206" s="315"/>
      <c r="R206" s="315"/>
      <c r="S206" s="315"/>
      <c r="T206" s="315"/>
      <c r="U206" s="315"/>
      <c r="V206" s="315"/>
      <c r="W206" s="315"/>
      <c r="X206" s="315"/>
    </row>
    <row r="207" customFormat="false" ht="15.75" hidden="false" customHeight="true" outlineLevel="0" collapsed="false">
      <c r="A207" s="316"/>
      <c r="B207" s="317"/>
      <c r="C207" s="317"/>
      <c r="D207" s="317"/>
      <c r="E207" s="317"/>
      <c r="F207" s="317"/>
      <c r="G207" s="317"/>
      <c r="H207" s="317"/>
      <c r="I207" s="317"/>
      <c r="J207" s="317"/>
      <c r="K207" s="317"/>
      <c r="L207" s="317"/>
      <c r="M207" s="317"/>
      <c r="N207" s="317"/>
      <c r="O207" s="317"/>
      <c r="P207" s="317"/>
      <c r="Q207" s="317"/>
      <c r="R207" s="317"/>
      <c r="S207" s="317"/>
      <c r="T207" s="317"/>
      <c r="U207" s="317"/>
      <c r="V207" s="317"/>
      <c r="W207" s="317"/>
      <c r="X207" s="317"/>
    </row>
    <row r="208" customFormat="false" ht="15.75" hidden="false" customHeight="true" outlineLevel="0" collapsed="false">
      <c r="A208" s="314"/>
      <c r="B208" s="315"/>
      <c r="C208" s="315"/>
      <c r="D208" s="315"/>
      <c r="E208" s="315"/>
      <c r="F208" s="315"/>
      <c r="G208" s="315"/>
      <c r="H208" s="315"/>
      <c r="I208" s="315"/>
      <c r="J208" s="315"/>
      <c r="K208" s="315"/>
      <c r="L208" s="315"/>
      <c r="M208" s="315"/>
      <c r="N208" s="315"/>
      <c r="O208" s="315"/>
      <c r="P208" s="315"/>
      <c r="Q208" s="315"/>
      <c r="R208" s="315"/>
      <c r="S208" s="315"/>
      <c r="T208" s="315"/>
      <c r="U208" s="315"/>
      <c r="V208" s="315"/>
      <c r="W208" s="315"/>
      <c r="X208" s="315"/>
    </row>
    <row r="209" customFormat="false" ht="15.75" hidden="false" customHeight="true" outlineLevel="0" collapsed="false">
      <c r="A209" s="316"/>
      <c r="B209" s="317"/>
      <c r="C209" s="317"/>
      <c r="D209" s="317"/>
      <c r="E209" s="317"/>
      <c r="F209" s="317"/>
      <c r="G209" s="317"/>
      <c r="H209" s="317"/>
      <c r="I209" s="317"/>
      <c r="J209" s="317"/>
      <c r="K209" s="317"/>
      <c r="L209" s="317"/>
      <c r="M209" s="317"/>
      <c r="N209" s="317"/>
      <c r="O209" s="317"/>
      <c r="P209" s="317"/>
      <c r="Q209" s="317"/>
      <c r="R209" s="317"/>
      <c r="S209" s="317"/>
      <c r="T209" s="317"/>
      <c r="U209" s="317"/>
      <c r="V209" s="317"/>
      <c r="W209" s="317"/>
      <c r="X209" s="317"/>
    </row>
    <row r="210" customFormat="false" ht="15.75" hidden="false" customHeight="true" outlineLevel="0" collapsed="false">
      <c r="A210" s="314"/>
      <c r="B210" s="315"/>
      <c r="C210" s="315"/>
      <c r="D210" s="315"/>
      <c r="E210" s="315"/>
      <c r="F210" s="315"/>
      <c r="G210" s="315"/>
      <c r="H210" s="315"/>
      <c r="I210" s="315"/>
      <c r="J210" s="315"/>
      <c r="K210" s="315"/>
      <c r="L210" s="315"/>
      <c r="M210" s="315"/>
      <c r="N210" s="315"/>
      <c r="O210" s="315"/>
      <c r="P210" s="315"/>
      <c r="Q210" s="315"/>
      <c r="R210" s="315"/>
      <c r="S210" s="315"/>
      <c r="T210" s="315"/>
      <c r="U210" s="315"/>
      <c r="V210" s="315"/>
      <c r="W210" s="315"/>
      <c r="X210" s="315"/>
    </row>
    <row r="211" customFormat="false" ht="15.75" hidden="false" customHeight="true" outlineLevel="0" collapsed="false">
      <c r="A211" s="316"/>
      <c r="B211" s="317"/>
      <c r="C211" s="317"/>
      <c r="D211" s="317"/>
      <c r="E211" s="317"/>
      <c r="F211" s="317"/>
      <c r="G211" s="317"/>
      <c r="H211" s="317"/>
      <c r="I211" s="317"/>
      <c r="J211" s="317"/>
      <c r="K211" s="317"/>
      <c r="L211" s="317"/>
      <c r="M211" s="317"/>
      <c r="N211" s="317"/>
      <c r="O211" s="317"/>
      <c r="P211" s="317"/>
      <c r="Q211" s="317"/>
      <c r="R211" s="317"/>
      <c r="S211" s="317"/>
      <c r="T211" s="317"/>
      <c r="U211" s="317"/>
      <c r="V211" s="317"/>
      <c r="W211" s="317"/>
      <c r="X211" s="317"/>
    </row>
    <row r="212" customFormat="false" ht="15.75" hidden="false" customHeight="true" outlineLevel="0" collapsed="false">
      <c r="A212" s="314"/>
      <c r="B212" s="315"/>
      <c r="C212" s="315"/>
      <c r="D212" s="315"/>
      <c r="E212" s="315"/>
      <c r="F212" s="315"/>
      <c r="G212" s="315"/>
      <c r="H212" s="315"/>
      <c r="I212" s="315"/>
      <c r="J212" s="315"/>
      <c r="K212" s="315"/>
      <c r="L212" s="315"/>
      <c r="M212" s="315"/>
      <c r="N212" s="315"/>
      <c r="O212" s="315"/>
      <c r="P212" s="315"/>
      <c r="Q212" s="315"/>
      <c r="R212" s="315"/>
      <c r="S212" s="315"/>
      <c r="T212" s="315"/>
      <c r="U212" s="315"/>
      <c r="V212" s="315"/>
      <c r="W212" s="315"/>
      <c r="X212" s="315"/>
    </row>
    <row r="213" customFormat="false" ht="15.75" hidden="false" customHeight="true" outlineLevel="0" collapsed="false">
      <c r="A213" s="316"/>
      <c r="B213" s="317"/>
      <c r="C213" s="317"/>
      <c r="D213" s="317"/>
      <c r="E213" s="317"/>
      <c r="F213" s="317"/>
      <c r="G213" s="317"/>
      <c r="H213" s="317"/>
      <c r="I213" s="317"/>
      <c r="J213" s="317"/>
      <c r="K213" s="317"/>
      <c r="L213" s="317"/>
      <c r="M213" s="317"/>
      <c r="N213" s="317"/>
      <c r="O213" s="317"/>
      <c r="P213" s="317"/>
      <c r="Q213" s="317"/>
      <c r="R213" s="317"/>
      <c r="S213" s="317"/>
      <c r="T213" s="317"/>
      <c r="U213" s="317"/>
      <c r="V213" s="317"/>
      <c r="W213" s="317"/>
      <c r="X213" s="317"/>
    </row>
    <row r="214" customFormat="false" ht="15.75" hidden="false" customHeight="true" outlineLevel="0" collapsed="false">
      <c r="A214" s="314"/>
      <c r="B214" s="315"/>
      <c r="C214" s="315"/>
      <c r="D214" s="315"/>
      <c r="E214" s="315"/>
      <c r="F214" s="315"/>
      <c r="G214" s="315"/>
      <c r="H214" s="315"/>
      <c r="I214" s="315"/>
      <c r="J214" s="315"/>
      <c r="K214" s="315"/>
      <c r="L214" s="315"/>
      <c r="M214" s="315"/>
      <c r="N214" s="315"/>
      <c r="O214" s="315"/>
      <c r="P214" s="315"/>
      <c r="Q214" s="315"/>
      <c r="R214" s="315"/>
      <c r="S214" s="315"/>
      <c r="T214" s="315"/>
      <c r="U214" s="315"/>
      <c r="V214" s="315"/>
      <c r="W214" s="315"/>
      <c r="X214" s="315"/>
    </row>
    <row r="215" customFormat="false" ht="15.75" hidden="false" customHeight="true" outlineLevel="0" collapsed="false">
      <c r="A215" s="316"/>
      <c r="B215" s="317"/>
      <c r="C215" s="317"/>
      <c r="D215" s="317"/>
      <c r="E215" s="317"/>
      <c r="F215" s="317"/>
      <c r="G215" s="317"/>
      <c r="H215" s="317"/>
      <c r="I215" s="317"/>
      <c r="J215" s="317"/>
      <c r="K215" s="317"/>
      <c r="L215" s="317"/>
      <c r="M215" s="317"/>
      <c r="N215" s="317"/>
      <c r="O215" s="317"/>
      <c r="P215" s="317"/>
      <c r="Q215" s="317"/>
      <c r="R215" s="317"/>
      <c r="S215" s="317"/>
      <c r="T215" s="317"/>
      <c r="U215" s="317"/>
      <c r="V215" s="317"/>
      <c r="W215" s="317"/>
      <c r="X215" s="317"/>
    </row>
    <row r="216" customFormat="false" ht="15.75" hidden="false" customHeight="true" outlineLevel="0" collapsed="false">
      <c r="A216" s="314"/>
      <c r="B216" s="315"/>
      <c r="C216" s="315"/>
      <c r="D216" s="315"/>
      <c r="E216" s="315"/>
      <c r="F216" s="315"/>
      <c r="G216" s="315"/>
      <c r="H216" s="315"/>
      <c r="I216" s="315"/>
      <c r="J216" s="315"/>
      <c r="K216" s="315"/>
      <c r="L216" s="315"/>
      <c r="M216" s="315"/>
      <c r="N216" s="315"/>
      <c r="O216" s="315"/>
      <c r="P216" s="315"/>
      <c r="Q216" s="315"/>
      <c r="R216" s="315"/>
      <c r="S216" s="315"/>
      <c r="T216" s="315"/>
      <c r="U216" s="315"/>
      <c r="V216" s="315"/>
      <c r="W216" s="315"/>
      <c r="X216" s="315"/>
    </row>
    <row r="217" customFormat="false" ht="15.75" hidden="false" customHeight="true" outlineLevel="0" collapsed="false">
      <c r="A217" s="316"/>
      <c r="B217" s="317"/>
      <c r="C217" s="317"/>
      <c r="D217" s="317"/>
      <c r="E217" s="317"/>
      <c r="F217" s="317"/>
      <c r="G217" s="317"/>
      <c r="H217" s="317"/>
      <c r="I217" s="317"/>
      <c r="J217" s="317"/>
      <c r="K217" s="317"/>
      <c r="L217" s="317"/>
      <c r="M217" s="317"/>
      <c r="N217" s="317"/>
      <c r="O217" s="317"/>
      <c r="P217" s="317"/>
      <c r="Q217" s="317"/>
      <c r="R217" s="317"/>
      <c r="S217" s="317"/>
      <c r="T217" s="317"/>
      <c r="U217" s="317"/>
      <c r="V217" s="317"/>
      <c r="W217" s="317"/>
      <c r="X217" s="317"/>
    </row>
    <row r="218" customFormat="false" ht="15.75" hidden="false" customHeight="true" outlineLevel="0" collapsed="false">
      <c r="A218" s="314"/>
      <c r="B218" s="315"/>
      <c r="C218" s="315"/>
      <c r="D218" s="315"/>
      <c r="E218" s="315"/>
      <c r="F218" s="315"/>
      <c r="G218" s="315"/>
      <c r="H218" s="315"/>
      <c r="I218" s="315"/>
      <c r="J218" s="315"/>
      <c r="K218" s="315"/>
      <c r="L218" s="315"/>
      <c r="M218" s="315"/>
      <c r="N218" s="315"/>
      <c r="O218" s="315"/>
      <c r="P218" s="315"/>
      <c r="Q218" s="315"/>
      <c r="R218" s="315"/>
      <c r="S218" s="315"/>
      <c r="T218" s="315"/>
      <c r="U218" s="315"/>
      <c r="V218" s="315"/>
      <c r="W218" s="315"/>
      <c r="X218" s="315"/>
    </row>
    <row r="219" customFormat="false" ht="15.75" hidden="false" customHeight="true" outlineLevel="0" collapsed="false">
      <c r="A219" s="316"/>
      <c r="B219" s="317"/>
      <c r="C219" s="317"/>
      <c r="D219" s="317"/>
      <c r="E219" s="317"/>
      <c r="F219" s="317"/>
      <c r="G219" s="317"/>
      <c r="H219" s="317"/>
      <c r="I219" s="317"/>
      <c r="J219" s="317"/>
      <c r="K219" s="317"/>
      <c r="L219" s="317"/>
      <c r="M219" s="317"/>
      <c r="N219" s="317"/>
      <c r="O219" s="317"/>
      <c r="P219" s="317"/>
      <c r="Q219" s="317"/>
      <c r="R219" s="317"/>
      <c r="S219" s="317"/>
      <c r="T219" s="317"/>
      <c r="U219" s="317"/>
      <c r="V219" s="317"/>
      <c r="W219" s="317"/>
      <c r="X219" s="317"/>
    </row>
    <row r="220" customFormat="false" ht="15.75" hidden="false" customHeight="true" outlineLevel="0" collapsed="false">
      <c r="A220" s="314"/>
      <c r="B220" s="315"/>
      <c r="C220" s="315"/>
      <c r="D220" s="315"/>
      <c r="E220" s="315"/>
      <c r="F220" s="315"/>
      <c r="G220" s="315"/>
      <c r="H220" s="315"/>
      <c r="I220" s="315"/>
      <c r="J220" s="315"/>
      <c r="K220" s="315"/>
      <c r="L220" s="315"/>
      <c r="M220" s="315"/>
      <c r="N220" s="315"/>
      <c r="O220" s="315"/>
      <c r="P220" s="315"/>
      <c r="Q220" s="315"/>
      <c r="R220" s="315"/>
      <c r="S220" s="315"/>
      <c r="T220" s="315"/>
      <c r="U220" s="315"/>
      <c r="V220" s="315"/>
      <c r="W220" s="315"/>
      <c r="X220" s="315"/>
    </row>
    <row r="221" customFormat="false" ht="15.75" hidden="false" customHeight="true" outlineLevel="0" collapsed="false">
      <c r="A221" s="316"/>
      <c r="B221" s="317"/>
      <c r="C221" s="317"/>
      <c r="D221" s="317"/>
      <c r="E221" s="317"/>
      <c r="F221" s="317"/>
      <c r="G221" s="317"/>
      <c r="H221" s="317"/>
      <c r="I221" s="317"/>
      <c r="J221" s="317"/>
      <c r="K221" s="317"/>
      <c r="L221" s="317"/>
      <c r="M221" s="317"/>
      <c r="N221" s="317"/>
      <c r="O221" s="317"/>
      <c r="P221" s="317"/>
      <c r="Q221" s="317"/>
      <c r="R221" s="317"/>
      <c r="S221" s="317"/>
      <c r="T221" s="317"/>
      <c r="U221" s="317"/>
      <c r="V221" s="317"/>
      <c r="W221" s="317"/>
      <c r="X221" s="317"/>
    </row>
    <row r="222" customFormat="false" ht="15.75" hidden="false" customHeight="true" outlineLevel="0" collapsed="false">
      <c r="A222" s="314"/>
      <c r="B222" s="315"/>
      <c r="C222" s="315"/>
      <c r="D222" s="315"/>
      <c r="E222" s="315"/>
      <c r="F222" s="315"/>
      <c r="G222" s="315"/>
      <c r="H222" s="315"/>
      <c r="I222" s="315"/>
      <c r="J222" s="315"/>
      <c r="K222" s="315"/>
      <c r="L222" s="315"/>
      <c r="M222" s="315"/>
      <c r="N222" s="315"/>
      <c r="O222" s="315"/>
      <c r="P222" s="315"/>
      <c r="Q222" s="315"/>
      <c r="R222" s="315"/>
      <c r="S222" s="315"/>
      <c r="T222" s="315"/>
      <c r="U222" s="315"/>
      <c r="V222" s="315"/>
      <c r="W222" s="315"/>
      <c r="X222" s="315"/>
    </row>
    <row r="223" customFormat="false" ht="15.75" hidden="false" customHeight="true" outlineLevel="0" collapsed="false">
      <c r="A223" s="316"/>
      <c r="B223" s="317"/>
      <c r="C223" s="317"/>
      <c r="D223" s="317"/>
      <c r="E223" s="317"/>
      <c r="F223" s="317"/>
      <c r="G223" s="317"/>
      <c r="H223" s="317"/>
      <c r="I223" s="317"/>
      <c r="J223" s="317"/>
      <c r="K223" s="317"/>
      <c r="L223" s="317"/>
      <c r="M223" s="317"/>
      <c r="N223" s="317"/>
      <c r="O223" s="317"/>
      <c r="P223" s="317"/>
      <c r="Q223" s="317"/>
      <c r="R223" s="317"/>
      <c r="S223" s="317"/>
      <c r="T223" s="317"/>
      <c r="U223" s="317"/>
      <c r="V223" s="317"/>
      <c r="W223" s="317"/>
      <c r="X223" s="317"/>
    </row>
    <row r="224" customFormat="false" ht="15.75" hidden="false" customHeight="true" outlineLevel="0" collapsed="false">
      <c r="A224" s="314"/>
      <c r="B224" s="315"/>
      <c r="C224" s="315"/>
      <c r="D224" s="315"/>
      <c r="E224" s="315"/>
      <c r="F224" s="315"/>
      <c r="G224" s="315"/>
      <c r="H224" s="315"/>
      <c r="I224" s="315"/>
      <c r="J224" s="315"/>
      <c r="K224" s="315"/>
      <c r="L224" s="315"/>
      <c r="M224" s="315"/>
      <c r="N224" s="315"/>
      <c r="O224" s="315"/>
      <c r="P224" s="315"/>
      <c r="Q224" s="315"/>
      <c r="R224" s="315"/>
      <c r="S224" s="315"/>
      <c r="T224" s="315"/>
      <c r="U224" s="315"/>
      <c r="V224" s="315"/>
      <c r="W224" s="315"/>
      <c r="X224" s="315"/>
    </row>
    <row r="225" customFormat="false" ht="15.75" hidden="false" customHeight="true" outlineLevel="0" collapsed="false">
      <c r="A225" s="316"/>
      <c r="B225" s="317"/>
      <c r="C225" s="317"/>
      <c r="D225" s="317"/>
      <c r="E225" s="317"/>
      <c r="F225" s="317"/>
      <c r="G225" s="317"/>
      <c r="H225" s="317"/>
      <c r="I225" s="317"/>
      <c r="J225" s="317"/>
      <c r="K225" s="317"/>
      <c r="L225" s="317"/>
      <c r="M225" s="317"/>
      <c r="N225" s="317"/>
      <c r="O225" s="317"/>
      <c r="P225" s="317"/>
      <c r="Q225" s="317"/>
      <c r="R225" s="317"/>
      <c r="S225" s="317"/>
      <c r="T225" s="317"/>
      <c r="U225" s="317"/>
      <c r="V225" s="317"/>
      <c r="W225" s="317"/>
      <c r="X225" s="317"/>
    </row>
    <row r="226" customFormat="false" ht="15.75" hidden="false" customHeight="true" outlineLevel="0" collapsed="false">
      <c r="A226" s="314"/>
      <c r="B226" s="315"/>
      <c r="C226" s="315"/>
      <c r="D226" s="315"/>
      <c r="E226" s="315"/>
      <c r="F226" s="315"/>
      <c r="G226" s="315"/>
      <c r="H226" s="315"/>
      <c r="I226" s="315"/>
      <c r="J226" s="315"/>
      <c r="K226" s="315"/>
      <c r="L226" s="315"/>
      <c r="M226" s="315"/>
      <c r="N226" s="315"/>
      <c r="O226" s="315"/>
      <c r="P226" s="315"/>
      <c r="Q226" s="315"/>
      <c r="R226" s="315"/>
      <c r="S226" s="315"/>
      <c r="T226" s="315"/>
      <c r="U226" s="315"/>
      <c r="V226" s="315"/>
      <c r="W226" s="315"/>
      <c r="X226" s="315"/>
    </row>
    <row r="227" customFormat="false" ht="15.75" hidden="false" customHeight="true" outlineLevel="0" collapsed="false">
      <c r="A227" s="316"/>
      <c r="B227" s="317"/>
      <c r="C227" s="317"/>
      <c r="D227" s="317"/>
      <c r="E227" s="317"/>
      <c r="F227" s="317"/>
      <c r="G227" s="317"/>
      <c r="H227" s="317"/>
      <c r="I227" s="317"/>
      <c r="J227" s="317"/>
      <c r="K227" s="317"/>
      <c r="L227" s="317"/>
      <c r="M227" s="317"/>
      <c r="N227" s="317"/>
      <c r="O227" s="317"/>
      <c r="P227" s="317"/>
      <c r="Q227" s="317"/>
      <c r="R227" s="317"/>
      <c r="S227" s="317"/>
      <c r="T227" s="317"/>
      <c r="U227" s="317"/>
      <c r="V227" s="317"/>
      <c r="W227" s="317"/>
      <c r="X227" s="317"/>
    </row>
    <row r="228" customFormat="false" ht="15.75" hidden="false" customHeight="true" outlineLevel="0" collapsed="false">
      <c r="A228" s="314"/>
      <c r="B228" s="315"/>
      <c r="C228" s="315"/>
      <c r="D228" s="315"/>
      <c r="E228" s="315"/>
      <c r="F228" s="315"/>
      <c r="G228" s="315"/>
      <c r="H228" s="315"/>
      <c r="I228" s="315"/>
      <c r="J228" s="315"/>
      <c r="K228" s="315"/>
      <c r="L228" s="315"/>
      <c r="M228" s="315"/>
      <c r="N228" s="315"/>
      <c r="O228" s="315"/>
      <c r="P228" s="315"/>
      <c r="Q228" s="315"/>
      <c r="R228" s="318"/>
      <c r="S228" s="315"/>
      <c r="T228" s="315"/>
      <c r="U228" s="315"/>
      <c r="V228" s="315"/>
      <c r="W228" s="315"/>
      <c r="X228" s="315"/>
    </row>
    <row r="229" customFormat="false" ht="15.75" hidden="false" customHeight="true" outlineLevel="0" collapsed="false">
      <c r="A229" s="316"/>
      <c r="B229" s="317"/>
      <c r="C229" s="317"/>
      <c r="D229" s="317"/>
      <c r="E229" s="317"/>
      <c r="F229" s="317"/>
      <c r="G229" s="317"/>
      <c r="H229" s="317"/>
      <c r="I229" s="317"/>
      <c r="J229" s="317"/>
      <c r="K229" s="317"/>
      <c r="L229" s="317"/>
      <c r="M229" s="317"/>
      <c r="N229" s="317"/>
      <c r="O229" s="317"/>
      <c r="P229" s="317"/>
      <c r="Q229" s="317"/>
      <c r="R229" s="317"/>
      <c r="S229" s="317"/>
      <c r="T229" s="317"/>
      <c r="U229" s="317"/>
      <c r="V229" s="317"/>
      <c r="W229" s="317"/>
      <c r="X229" s="317"/>
    </row>
    <row r="230" customFormat="false" ht="15.75" hidden="false" customHeight="true" outlineLevel="0" collapsed="false">
      <c r="A230" s="314"/>
      <c r="B230" s="315"/>
      <c r="C230" s="315"/>
      <c r="D230" s="315"/>
      <c r="E230" s="315"/>
      <c r="F230" s="315"/>
      <c r="G230" s="315"/>
      <c r="H230" s="315"/>
      <c r="I230" s="315"/>
      <c r="J230" s="315"/>
      <c r="K230" s="315"/>
      <c r="L230" s="315"/>
      <c r="M230" s="315"/>
      <c r="N230" s="315"/>
      <c r="O230" s="318"/>
      <c r="P230" s="315"/>
      <c r="Q230" s="315"/>
      <c r="R230" s="315"/>
      <c r="S230" s="315"/>
      <c r="T230" s="315"/>
      <c r="U230" s="315"/>
      <c r="V230" s="315"/>
      <c r="W230" s="315"/>
      <c r="X230" s="315"/>
    </row>
    <row r="231" customFormat="false" ht="15.75" hidden="false" customHeight="true" outlineLevel="0" collapsed="false">
      <c r="A231" s="316"/>
      <c r="B231" s="317"/>
      <c r="C231" s="318"/>
      <c r="D231" s="317"/>
      <c r="E231" s="317"/>
      <c r="F231" s="317"/>
      <c r="G231" s="317"/>
      <c r="H231" s="317"/>
      <c r="I231" s="317"/>
      <c r="J231" s="317"/>
      <c r="K231" s="317"/>
      <c r="L231" s="317"/>
      <c r="M231" s="317"/>
      <c r="N231" s="317"/>
      <c r="O231" s="317"/>
      <c r="P231" s="317"/>
      <c r="Q231" s="317"/>
      <c r="R231" s="317"/>
      <c r="S231" s="317"/>
      <c r="T231" s="317"/>
      <c r="U231" s="317"/>
      <c r="V231" s="317"/>
      <c r="W231" s="317"/>
      <c r="X231" s="317"/>
    </row>
    <row r="232" customFormat="false" ht="15.75" hidden="false" customHeight="true" outlineLevel="0" collapsed="false">
      <c r="A232" s="314"/>
      <c r="B232" s="315"/>
      <c r="C232" s="315"/>
      <c r="D232" s="318"/>
      <c r="E232" s="315"/>
      <c r="F232" s="315"/>
      <c r="G232" s="315"/>
      <c r="H232" s="315"/>
      <c r="I232" s="315"/>
      <c r="J232" s="315"/>
      <c r="K232" s="315"/>
      <c r="L232" s="315"/>
      <c r="M232" s="315"/>
      <c r="N232" s="315"/>
      <c r="O232" s="315"/>
      <c r="P232" s="315"/>
      <c r="Q232" s="315"/>
      <c r="R232" s="315"/>
      <c r="S232" s="315"/>
      <c r="T232" s="315"/>
      <c r="U232" s="315"/>
      <c r="V232" s="315"/>
      <c r="W232" s="315"/>
      <c r="X232" s="315"/>
    </row>
    <row r="233" customFormat="false" ht="15.75" hidden="false" customHeight="true" outlineLevel="0" collapsed="false">
      <c r="A233" s="316"/>
      <c r="B233" s="318"/>
      <c r="C233" s="317"/>
      <c r="D233" s="317"/>
      <c r="E233" s="317"/>
      <c r="F233" s="317"/>
      <c r="G233" s="317"/>
      <c r="H233" s="317"/>
      <c r="I233" s="317"/>
      <c r="J233" s="317"/>
      <c r="K233" s="317"/>
      <c r="L233" s="317"/>
      <c r="M233" s="317"/>
      <c r="N233" s="317"/>
      <c r="O233" s="317"/>
      <c r="P233" s="317"/>
      <c r="Q233" s="317"/>
      <c r="R233" s="317"/>
      <c r="S233" s="317"/>
      <c r="T233" s="317"/>
      <c r="U233" s="317"/>
      <c r="V233" s="317"/>
      <c r="W233" s="317"/>
      <c r="X233" s="317"/>
    </row>
    <row r="234" customFormat="false" ht="15.75" hidden="false" customHeight="true" outlineLevel="0" collapsed="false">
      <c r="A234" s="314"/>
      <c r="B234" s="315"/>
      <c r="C234" s="315"/>
      <c r="D234" s="315"/>
      <c r="E234" s="315"/>
      <c r="F234" s="318"/>
      <c r="G234" s="315"/>
      <c r="H234" s="315"/>
      <c r="I234" s="315"/>
      <c r="J234" s="315"/>
      <c r="K234" s="315"/>
      <c r="L234" s="315"/>
      <c r="M234" s="315"/>
      <c r="N234" s="315"/>
      <c r="O234" s="315"/>
      <c r="P234" s="315"/>
      <c r="Q234" s="315"/>
      <c r="R234" s="315"/>
      <c r="S234" s="315"/>
      <c r="T234" s="315"/>
      <c r="U234" s="315"/>
      <c r="V234" s="315"/>
      <c r="W234" s="315"/>
      <c r="X234" s="315"/>
    </row>
    <row r="235" customFormat="false" ht="15.75" hidden="false" customHeight="true" outlineLevel="0" collapsed="false">
      <c r="A235" s="316"/>
      <c r="B235" s="317"/>
      <c r="C235" s="317"/>
      <c r="D235" s="317"/>
      <c r="E235" s="318"/>
      <c r="F235" s="317"/>
      <c r="G235" s="317"/>
      <c r="H235" s="317"/>
      <c r="I235" s="317"/>
      <c r="J235" s="317"/>
      <c r="K235" s="317"/>
      <c r="L235" s="317"/>
      <c r="M235" s="317"/>
      <c r="N235" s="317"/>
      <c r="O235" s="317"/>
      <c r="P235" s="317"/>
      <c r="Q235" s="317"/>
      <c r="R235" s="317"/>
      <c r="S235" s="317"/>
      <c r="T235" s="317"/>
      <c r="U235" s="317"/>
      <c r="V235" s="317"/>
      <c r="W235" s="317"/>
      <c r="X235" s="317"/>
    </row>
    <row r="236" customFormat="false" ht="15.75" hidden="false" customHeight="true" outlineLevel="0" collapsed="false">
      <c r="A236" s="314"/>
      <c r="B236" s="315"/>
      <c r="C236" s="315"/>
      <c r="D236" s="315"/>
      <c r="E236" s="315"/>
      <c r="F236" s="315"/>
      <c r="G236" s="315"/>
      <c r="H236" s="315"/>
      <c r="I236" s="315"/>
      <c r="J236" s="315"/>
      <c r="K236" s="315"/>
      <c r="L236" s="318"/>
      <c r="M236" s="315"/>
      <c r="N236" s="315"/>
      <c r="O236" s="315"/>
      <c r="P236" s="315"/>
      <c r="Q236" s="315"/>
      <c r="R236" s="315"/>
      <c r="S236" s="315"/>
      <c r="T236" s="315"/>
      <c r="U236" s="315"/>
      <c r="V236" s="315"/>
      <c r="W236" s="315"/>
      <c r="X236" s="315"/>
    </row>
    <row r="237" customFormat="false" ht="15.75" hidden="false" customHeight="true" outlineLevel="0" collapsed="false">
      <c r="A237" s="316"/>
      <c r="B237" s="317"/>
      <c r="C237" s="317"/>
      <c r="D237" s="317"/>
      <c r="E237" s="317"/>
      <c r="F237" s="317"/>
      <c r="G237" s="317"/>
      <c r="H237" s="317"/>
      <c r="I237" s="317"/>
      <c r="J237" s="317"/>
      <c r="K237" s="317"/>
      <c r="L237" s="317"/>
      <c r="M237" s="317"/>
      <c r="N237" s="317"/>
      <c r="O237" s="317"/>
      <c r="P237" s="317"/>
      <c r="Q237" s="317"/>
      <c r="R237" s="317"/>
      <c r="S237" s="317"/>
      <c r="T237" s="317"/>
      <c r="U237" s="317"/>
      <c r="V237" s="317"/>
      <c r="W237" s="317"/>
      <c r="X237" s="317"/>
    </row>
    <row r="238" customFormat="false" ht="15.75" hidden="false" customHeight="true" outlineLevel="0" collapsed="false">
      <c r="A238" s="314"/>
      <c r="B238" s="315"/>
      <c r="C238" s="315"/>
      <c r="D238" s="315"/>
      <c r="E238" s="315"/>
      <c r="F238" s="315"/>
      <c r="G238" s="315"/>
      <c r="H238" s="315"/>
      <c r="I238" s="315"/>
      <c r="J238" s="315"/>
      <c r="K238" s="315"/>
      <c r="L238" s="315"/>
      <c r="M238" s="315"/>
      <c r="N238" s="315"/>
      <c r="O238" s="315"/>
      <c r="P238" s="315"/>
      <c r="Q238" s="315"/>
      <c r="R238" s="315"/>
      <c r="S238" s="315"/>
      <c r="T238" s="315"/>
      <c r="U238" s="315"/>
      <c r="V238" s="315"/>
      <c r="W238" s="315"/>
      <c r="X238" s="315"/>
    </row>
    <row r="239" customFormat="false" ht="15.75" hidden="false" customHeight="true" outlineLevel="0" collapsed="false">
      <c r="A239" s="316"/>
      <c r="B239" s="317"/>
      <c r="C239" s="317"/>
      <c r="D239" s="317"/>
      <c r="E239" s="317"/>
      <c r="F239" s="317"/>
      <c r="G239" s="317"/>
      <c r="H239" s="317"/>
      <c r="I239" s="317"/>
      <c r="J239" s="317"/>
      <c r="K239" s="317"/>
      <c r="L239" s="317"/>
      <c r="M239" s="317"/>
      <c r="N239" s="317"/>
      <c r="O239" s="317"/>
      <c r="P239" s="317"/>
      <c r="Q239" s="317"/>
      <c r="R239" s="317"/>
      <c r="S239" s="317"/>
      <c r="T239" s="317"/>
      <c r="U239" s="317"/>
      <c r="V239" s="317"/>
      <c r="W239" s="317"/>
      <c r="X239" s="317"/>
    </row>
    <row r="240" customFormat="false" ht="15.75" hidden="false" customHeight="true" outlineLevel="0" collapsed="false">
      <c r="A240" s="314"/>
      <c r="B240" s="315"/>
      <c r="C240" s="315"/>
      <c r="D240" s="315"/>
      <c r="E240" s="315"/>
      <c r="F240" s="315"/>
      <c r="G240" s="315"/>
      <c r="H240" s="315"/>
      <c r="I240" s="315"/>
      <c r="J240" s="315"/>
      <c r="K240" s="315"/>
      <c r="L240" s="315"/>
      <c r="M240" s="315"/>
      <c r="N240" s="315"/>
      <c r="O240" s="315"/>
      <c r="P240" s="315"/>
      <c r="Q240" s="315"/>
      <c r="R240" s="315"/>
      <c r="S240" s="315"/>
      <c r="T240" s="315"/>
      <c r="U240" s="315"/>
      <c r="V240" s="315"/>
      <c r="W240" s="315"/>
      <c r="X240" s="315"/>
    </row>
    <row r="241" customFormat="false" ht="15.75" hidden="false" customHeight="true" outlineLevel="0" collapsed="false">
      <c r="A241" s="316"/>
      <c r="B241" s="317"/>
      <c r="C241" s="317"/>
      <c r="D241" s="317"/>
      <c r="E241" s="317"/>
      <c r="F241" s="317"/>
      <c r="G241" s="317"/>
      <c r="H241" s="317"/>
      <c r="I241" s="317"/>
      <c r="J241" s="317"/>
      <c r="K241" s="317"/>
      <c r="L241" s="317"/>
      <c r="M241" s="317"/>
      <c r="N241" s="317"/>
      <c r="O241" s="317"/>
      <c r="P241" s="317"/>
      <c r="Q241" s="317"/>
      <c r="R241" s="317"/>
      <c r="S241" s="317"/>
      <c r="T241" s="317"/>
      <c r="U241" s="317"/>
      <c r="V241" s="317"/>
      <c r="W241" s="317"/>
      <c r="X241" s="317"/>
    </row>
    <row r="242" customFormat="false" ht="15.75" hidden="false" customHeight="true" outlineLevel="0" collapsed="false">
      <c r="A242" s="314"/>
      <c r="B242" s="315"/>
      <c r="C242" s="315"/>
      <c r="D242" s="315"/>
      <c r="E242" s="315"/>
      <c r="F242" s="315"/>
      <c r="G242" s="315"/>
      <c r="H242" s="315"/>
      <c r="I242" s="315"/>
      <c r="J242" s="315"/>
      <c r="K242" s="315"/>
      <c r="L242" s="315"/>
      <c r="M242" s="315"/>
      <c r="N242" s="315"/>
      <c r="O242" s="315"/>
      <c r="P242" s="315"/>
      <c r="Q242" s="315"/>
      <c r="R242" s="315"/>
      <c r="S242" s="315"/>
      <c r="T242" s="315"/>
      <c r="U242" s="315"/>
      <c r="V242" s="315"/>
      <c r="W242" s="315"/>
      <c r="X242" s="315"/>
    </row>
    <row r="243" customFormat="false" ht="15.75" hidden="false" customHeight="true" outlineLevel="0" collapsed="false">
      <c r="A243" s="316"/>
      <c r="B243" s="317"/>
      <c r="C243" s="317"/>
      <c r="D243" s="317"/>
      <c r="E243" s="317"/>
      <c r="F243" s="317"/>
      <c r="G243" s="317"/>
      <c r="H243" s="317"/>
      <c r="I243" s="317"/>
      <c r="J243" s="317"/>
      <c r="K243" s="317"/>
      <c r="L243" s="317"/>
      <c r="M243" s="317"/>
      <c r="N243" s="317"/>
      <c r="O243" s="317"/>
      <c r="P243" s="317"/>
      <c r="Q243" s="317"/>
      <c r="R243" s="317"/>
      <c r="S243" s="317"/>
      <c r="T243" s="317"/>
      <c r="U243" s="317"/>
      <c r="V243" s="317"/>
      <c r="W243" s="317"/>
      <c r="X243" s="317"/>
    </row>
    <row r="244" customFormat="false" ht="15.75" hidden="false" customHeight="true" outlineLevel="0" collapsed="false">
      <c r="A244" s="314"/>
      <c r="B244" s="315"/>
      <c r="C244" s="315"/>
      <c r="D244" s="315"/>
      <c r="E244" s="315"/>
      <c r="F244" s="315"/>
      <c r="G244" s="315"/>
      <c r="H244" s="315"/>
      <c r="I244" s="315"/>
      <c r="J244" s="315"/>
      <c r="K244" s="315"/>
      <c r="L244" s="315"/>
      <c r="M244" s="315"/>
      <c r="N244" s="315"/>
      <c r="O244" s="315"/>
      <c r="P244" s="315"/>
      <c r="Q244" s="315"/>
      <c r="R244" s="315"/>
      <c r="S244" s="315"/>
      <c r="T244" s="315"/>
      <c r="U244" s="315"/>
      <c r="V244" s="315"/>
      <c r="W244" s="315"/>
      <c r="X244" s="315"/>
    </row>
    <row r="245" customFormat="false" ht="15.75" hidden="false" customHeight="true" outlineLevel="0" collapsed="false">
      <c r="A245" s="316"/>
      <c r="B245" s="317"/>
      <c r="C245" s="317"/>
      <c r="D245" s="317"/>
      <c r="E245" s="317"/>
      <c r="F245" s="317"/>
      <c r="G245" s="317"/>
      <c r="H245" s="317"/>
      <c r="I245" s="317"/>
      <c r="J245" s="317"/>
      <c r="K245" s="317"/>
      <c r="L245" s="317"/>
      <c r="M245" s="317"/>
      <c r="N245" s="317"/>
      <c r="O245" s="317"/>
      <c r="P245" s="317"/>
      <c r="Q245" s="317"/>
      <c r="R245" s="317"/>
      <c r="S245" s="317"/>
      <c r="T245" s="317"/>
      <c r="U245" s="317"/>
      <c r="V245" s="317"/>
      <c r="W245" s="317"/>
      <c r="X245" s="317"/>
    </row>
    <row r="246" customFormat="false" ht="15.75" hidden="false" customHeight="true" outlineLevel="0" collapsed="false">
      <c r="A246" s="314"/>
      <c r="B246" s="315"/>
      <c r="C246" s="315"/>
      <c r="D246" s="315"/>
      <c r="E246" s="315"/>
      <c r="F246" s="315"/>
      <c r="G246" s="315"/>
      <c r="H246" s="315"/>
      <c r="I246" s="315"/>
      <c r="J246" s="315"/>
      <c r="K246" s="315"/>
      <c r="L246" s="315"/>
      <c r="M246" s="315"/>
      <c r="N246" s="315"/>
      <c r="O246" s="315"/>
      <c r="P246" s="315"/>
      <c r="Q246" s="315"/>
      <c r="R246" s="315"/>
      <c r="S246" s="315"/>
      <c r="T246" s="315"/>
      <c r="U246" s="315"/>
      <c r="V246" s="315"/>
      <c r="W246" s="315"/>
      <c r="X246" s="315"/>
    </row>
    <row r="247" customFormat="false" ht="15.75" hidden="false" customHeight="true" outlineLevel="0" collapsed="false">
      <c r="A247" s="316"/>
      <c r="B247" s="317"/>
      <c r="C247" s="317"/>
      <c r="D247" s="317"/>
      <c r="E247" s="317"/>
      <c r="F247" s="317"/>
      <c r="G247" s="317"/>
      <c r="H247" s="317"/>
      <c r="I247" s="317"/>
      <c r="J247" s="317"/>
      <c r="K247" s="317"/>
      <c r="L247" s="317"/>
      <c r="M247" s="317"/>
      <c r="N247" s="317"/>
      <c r="O247" s="317"/>
      <c r="P247" s="317"/>
      <c r="Q247" s="317"/>
      <c r="R247" s="317"/>
      <c r="S247" s="317"/>
      <c r="T247" s="317"/>
      <c r="U247" s="317"/>
      <c r="V247" s="317"/>
      <c r="W247" s="317"/>
      <c r="X247" s="317"/>
    </row>
    <row r="248" customFormat="false" ht="15.75" hidden="false" customHeight="true" outlineLevel="0" collapsed="false">
      <c r="A248" s="314"/>
      <c r="B248" s="315"/>
      <c r="C248" s="315"/>
      <c r="D248" s="315"/>
      <c r="E248" s="315"/>
      <c r="F248" s="315"/>
      <c r="G248" s="315"/>
      <c r="H248" s="315"/>
      <c r="I248" s="315"/>
      <c r="J248" s="315"/>
      <c r="K248" s="315"/>
      <c r="L248" s="315"/>
      <c r="M248" s="315"/>
      <c r="N248" s="315"/>
      <c r="O248" s="315"/>
      <c r="P248" s="315"/>
      <c r="Q248" s="315"/>
      <c r="R248" s="315"/>
      <c r="S248" s="315"/>
      <c r="T248" s="315"/>
      <c r="U248" s="315"/>
      <c r="V248" s="315"/>
      <c r="W248" s="315"/>
      <c r="X248" s="315"/>
    </row>
    <row r="249" customFormat="false" ht="15.75" hidden="false" customHeight="true" outlineLevel="0" collapsed="false">
      <c r="A249" s="316"/>
      <c r="B249" s="317"/>
      <c r="C249" s="317"/>
      <c r="D249" s="317"/>
      <c r="E249" s="317"/>
      <c r="F249" s="317"/>
      <c r="G249" s="317"/>
      <c r="H249" s="317"/>
      <c r="I249" s="317"/>
      <c r="J249" s="317"/>
      <c r="K249" s="317"/>
      <c r="L249" s="317"/>
      <c r="M249" s="317"/>
      <c r="N249" s="317"/>
      <c r="O249" s="317"/>
      <c r="P249" s="317"/>
      <c r="Q249" s="317"/>
      <c r="R249" s="317"/>
      <c r="S249" s="317"/>
      <c r="T249" s="317"/>
      <c r="U249" s="317"/>
      <c r="V249" s="317"/>
      <c r="W249" s="317"/>
      <c r="X249" s="317"/>
    </row>
    <row r="250" customFormat="false" ht="15.75" hidden="false" customHeight="true" outlineLevel="0" collapsed="false">
      <c r="A250" s="314"/>
      <c r="B250" s="315"/>
      <c r="C250" s="315"/>
      <c r="D250" s="315"/>
      <c r="E250" s="315"/>
      <c r="F250" s="315"/>
      <c r="G250" s="315"/>
      <c r="H250" s="315"/>
      <c r="I250" s="315"/>
      <c r="J250" s="315"/>
      <c r="K250" s="315"/>
      <c r="L250" s="315"/>
      <c r="M250" s="315"/>
      <c r="N250" s="315"/>
      <c r="O250" s="315"/>
      <c r="P250" s="315"/>
      <c r="Q250" s="315"/>
      <c r="R250" s="315"/>
      <c r="S250" s="315"/>
      <c r="T250" s="315"/>
      <c r="U250" s="315"/>
      <c r="V250" s="315"/>
      <c r="W250" s="315"/>
      <c r="X250" s="315"/>
    </row>
    <row r="251" customFormat="false" ht="15.75" hidden="false" customHeight="true" outlineLevel="0" collapsed="false">
      <c r="A251" s="316"/>
      <c r="B251" s="317"/>
      <c r="C251" s="317"/>
      <c r="D251" s="317"/>
      <c r="E251" s="317"/>
      <c r="F251" s="317"/>
      <c r="G251" s="317"/>
      <c r="H251" s="317"/>
      <c r="I251" s="317"/>
      <c r="J251" s="317"/>
      <c r="K251" s="317"/>
      <c r="L251" s="317"/>
      <c r="M251" s="317"/>
      <c r="N251" s="317"/>
      <c r="O251" s="317"/>
      <c r="P251" s="317"/>
      <c r="Q251" s="317"/>
      <c r="R251" s="317"/>
      <c r="S251" s="317"/>
      <c r="T251" s="317"/>
      <c r="U251" s="317"/>
      <c r="V251" s="317"/>
      <c r="W251" s="317"/>
      <c r="X251" s="317"/>
    </row>
    <row r="252" customFormat="false" ht="15.75" hidden="false" customHeight="true" outlineLevel="0" collapsed="false">
      <c r="A252" s="314"/>
      <c r="B252" s="315"/>
      <c r="C252" s="315"/>
      <c r="D252" s="315"/>
      <c r="E252" s="315"/>
      <c r="F252" s="315"/>
      <c r="G252" s="315"/>
      <c r="H252" s="315"/>
      <c r="I252" s="315"/>
      <c r="J252" s="315"/>
      <c r="K252" s="315"/>
      <c r="L252" s="315"/>
      <c r="M252" s="315"/>
      <c r="N252" s="315"/>
      <c r="O252" s="315"/>
      <c r="P252" s="315"/>
      <c r="Q252" s="315"/>
      <c r="R252" s="315"/>
      <c r="S252" s="315"/>
      <c r="T252" s="315"/>
      <c r="U252" s="315"/>
      <c r="V252" s="315"/>
      <c r="W252" s="315"/>
      <c r="X252" s="315"/>
    </row>
    <row r="253" customFormat="false" ht="15.75" hidden="false" customHeight="true" outlineLevel="0" collapsed="false">
      <c r="A253" s="316"/>
      <c r="B253" s="317"/>
      <c r="C253" s="317"/>
      <c r="D253" s="318"/>
      <c r="E253" s="317"/>
      <c r="F253" s="317"/>
      <c r="G253" s="317"/>
      <c r="H253" s="317"/>
      <c r="I253" s="317"/>
      <c r="J253" s="317"/>
      <c r="K253" s="317"/>
      <c r="L253" s="317"/>
      <c r="M253" s="317"/>
      <c r="N253" s="317"/>
      <c r="O253" s="317"/>
      <c r="P253" s="317"/>
      <c r="Q253" s="317"/>
      <c r="R253" s="317"/>
      <c r="S253" s="317"/>
      <c r="T253" s="317"/>
      <c r="U253" s="317"/>
      <c r="V253" s="317"/>
      <c r="W253" s="317"/>
      <c r="X253" s="317"/>
    </row>
    <row r="254" customFormat="false" ht="15.75" hidden="false" customHeight="true" outlineLevel="0" collapsed="false">
      <c r="A254" s="314"/>
      <c r="B254" s="315"/>
      <c r="C254" s="315"/>
      <c r="D254" s="315"/>
      <c r="E254" s="315"/>
      <c r="F254" s="315"/>
      <c r="G254" s="315"/>
      <c r="H254" s="315"/>
      <c r="I254" s="315"/>
      <c r="J254" s="315"/>
      <c r="K254" s="315"/>
      <c r="L254" s="315"/>
      <c r="M254" s="315"/>
      <c r="N254" s="315"/>
      <c r="O254" s="315"/>
      <c r="P254" s="315"/>
      <c r="Q254" s="315"/>
      <c r="R254" s="315"/>
      <c r="S254" s="315"/>
      <c r="T254" s="315"/>
      <c r="U254" s="315"/>
      <c r="V254" s="315"/>
      <c r="W254" s="315"/>
      <c r="X254" s="315"/>
    </row>
    <row r="255" customFormat="false" ht="15.75" hidden="false" customHeight="true" outlineLevel="0" collapsed="false">
      <c r="A255" s="316"/>
      <c r="B255" s="318"/>
      <c r="C255" s="317"/>
      <c r="D255" s="317"/>
      <c r="E255" s="317"/>
      <c r="F255" s="317"/>
      <c r="G255" s="317"/>
      <c r="H255" s="317"/>
      <c r="I255" s="317"/>
      <c r="J255" s="317"/>
      <c r="K255" s="317"/>
      <c r="L255" s="317"/>
      <c r="M255" s="317"/>
      <c r="N255" s="317"/>
      <c r="O255" s="317"/>
      <c r="P255" s="317"/>
      <c r="Q255" s="317"/>
      <c r="R255" s="317"/>
      <c r="S255" s="317"/>
      <c r="T255" s="317"/>
      <c r="U255" s="317"/>
      <c r="V255" s="317"/>
      <c r="W255" s="317"/>
      <c r="X255" s="317"/>
    </row>
    <row r="256" customFormat="false" ht="15.75" hidden="false" customHeight="true" outlineLevel="0" collapsed="false">
      <c r="A256" s="314"/>
      <c r="B256" s="315"/>
      <c r="C256" s="315"/>
      <c r="D256" s="315"/>
      <c r="E256" s="315"/>
      <c r="F256" s="315"/>
      <c r="G256" s="315"/>
      <c r="H256" s="315"/>
      <c r="I256" s="315"/>
      <c r="J256" s="315"/>
      <c r="K256" s="315"/>
      <c r="L256" s="315"/>
      <c r="M256" s="315"/>
      <c r="N256" s="315"/>
      <c r="O256" s="315"/>
      <c r="P256" s="315"/>
      <c r="Q256" s="315"/>
      <c r="R256" s="318"/>
      <c r="S256" s="315"/>
      <c r="T256" s="315"/>
      <c r="U256" s="315"/>
      <c r="V256" s="315"/>
      <c r="W256" s="315"/>
      <c r="X256" s="315"/>
    </row>
    <row r="257" customFormat="false" ht="15.75" hidden="false" customHeight="true" outlineLevel="0" collapsed="false">
      <c r="A257" s="316"/>
      <c r="B257" s="317"/>
      <c r="C257" s="317"/>
      <c r="D257" s="317"/>
      <c r="E257" s="318"/>
      <c r="F257" s="317"/>
      <c r="G257" s="317"/>
      <c r="H257" s="317"/>
      <c r="I257" s="317"/>
      <c r="J257" s="317"/>
      <c r="K257" s="317"/>
      <c r="L257" s="317"/>
      <c r="M257" s="317"/>
      <c r="N257" s="317"/>
      <c r="O257" s="317"/>
      <c r="P257" s="317"/>
      <c r="Q257" s="317"/>
      <c r="R257" s="317"/>
      <c r="S257" s="317"/>
      <c r="T257" s="317"/>
      <c r="U257" s="317"/>
      <c r="V257" s="317"/>
      <c r="W257" s="317"/>
      <c r="X257" s="317"/>
    </row>
    <row r="258" customFormat="false" ht="15.75" hidden="false" customHeight="true" outlineLevel="0" collapsed="false">
      <c r="A258" s="314"/>
      <c r="B258" s="315"/>
      <c r="C258" s="315"/>
      <c r="D258" s="315"/>
      <c r="E258" s="315"/>
      <c r="F258" s="315"/>
      <c r="G258" s="315"/>
      <c r="H258" s="315"/>
      <c r="I258" s="315"/>
      <c r="J258" s="315"/>
      <c r="K258" s="315"/>
      <c r="L258" s="315"/>
      <c r="M258" s="315"/>
      <c r="N258" s="315"/>
      <c r="O258" s="318"/>
      <c r="P258" s="315"/>
      <c r="Q258" s="315"/>
      <c r="R258" s="315"/>
      <c r="S258" s="315"/>
      <c r="T258" s="315"/>
      <c r="U258" s="315"/>
      <c r="V258" s="315"/>
      <c r="W258" s="315"/>
      <c r="X258" s="315"/>
    </row>
    <row r="259" customFormat="false" ht="15.75" hidden="false" customHeight="true" outlineLevel="0" collapsed="false">
      <c r="A259" s="316"/>
      <c r="B259" s="317"/>
      <c r="C259" s="317"/>
      <c r="D259" s="317"/>
      <c r="E259" s="317"/>
      <c r="F259" s="317"/>
      <c r="G259" s="317"/>
      <c r="H259" s="317"/>
      <c r="I259" s="317"/>
      <c r="J259" s="317"/>
      <c r="K259" s="317"/>
      <c r="L259" s="317"/>
      <c r="M259" s="317"/>
      <c r="N259" s="317"/>
      <c r="O259" s="317"/>
      <c r="P259" s="317"/>
      <c r="Q259" s="317"/>
      <c r="R259" s="317"/>
      <c r="S259" s="317"/>
      <c r="T259" s="317"/>
      <c r="U259" s="317"/>
      <c r="V259" s="317"/>
      <c r="W259" s="317"/>
      <c r="X259" s="317"/>
    </row>
    <row r="260" customFormat="false" ht="15.75" hidden="false" customHeight="true" outlineLevel="0" collapsed="false">
      <c r="A260" s="314"/>
      <c r="B260" s="315"/>
      <c r="C260" s="315"/>
      <c r="D260" s="315"/>
      <c r="E260" s="315"/>
      <c r="F260" s="315"/>
      <c r="G260" s="315"/>
      <c r="H260" s="315"/>
      <c r="I260" s="315"/>
      <c r="J260" s="315"/>
      <c r="K260" s="315"/>
      <c r="L260" s="315"/>
      <c r="M260" s="315"/>
      <c r="N260" s="315"/>
      <c r="O260" s="315"/>
      <c r="P260" s="315"/>
      <c r="Q260" s="315"/>
      <c r="R260" s="315"/>
      <c r="S260" s="315"/>
      <c r="T260" s="315"/>
      <c r="U260" s="315"/>
      <c r="V260" s="315"/>
      <c r="W260" s="315"/>
      <c r="X260" s="315"/>
    </row>
    <row r="261" customFormat="false" ht="15.75" hidden="false" customHeight="true" outlineLevel="0" collapsed="false">
      <c r="A261" s="316"/>
      <c r="B261" s="317"/>
      <c r="C261" s="317"/>
      <c r="D261" s="317"/>
      <c r="E261" s="317"/>
      <c r="F261" s="317"/>
      <c r="G261" s="317"/>
      <c r="H261" s="317"/>
      <c r="I261" s="317"/>
      <c r="J261" s="317"/>
      <c r="K261" s="317"/>
      <c r="L261" s="317"/>
      <c r="M261" s="317"/>
      <c r="N261" s="317"/>
      <c r="O261" s="317"/>
      <c r="P261" s="317"/>
      <c r="Q261" s="317"/>
      <c r="R261" s="317"/>
      <c r="S261" s="317"/>
      <c r="T261" s="317"/>
      <c r="U261" s="317"/>
      <c r="V261" s="317"/>
      <c r="W261" s="317"/>
      <c r="X261" s="317"/>
    </row>
    <row r="262" customFormat="false" ht="15.75" hidden="false" customHeight="true" outlineLevel="0" collapsed="false">
      <c r="A262" s="314"/>
      <c r="B262" s="315"/>
      <c r="C262" s="315"/>
      <c r="D262" s="315"/>
      <c r="E262" s="315"/>
      <c r="F262" s="315"/>
      <c r="G262" s="315"/>
      <c r="H262" s="315"/>
      <c r="I262" s="315"/>
      <c r="J262" s="315"/>
      <c r="K262" s="315"/>
      <c r="L262" s="315"/>
      <c r="M262" s="315"/>
      <c r="N262" s="315"/>
      <c r="O262" s="315"/>
      <c r="P262" s="315"/>
      <c r="Q262" s="315"/>
      <c r="R262" s="315"/>
      <c r="S262" s="315"/>
      <c r="T262" s="315"/>
      <c r="U262" s="315"/>
      <c r="V262" s="315"/>
      <c r="W262" s="315"/>
      <c r="X262" s="315"/>
    </row>
    <row r="263" customFormat="false" ht="15.75" hidden="false" customHeight="true" outlineLevel="0" collapsed="false">
      <c r="A263" s="316"/>
      <c r="B263" s="317"/>
      <c r="C263" s="317"/>
      <c r="D263" s="317"/>
      <c r="E263" s="317"/>
      <c r="F263" s="317"/>
      <c r="G263" s="317"/>
      <c r="H263" s="317"/>
      <c r="I263" s="317"/>
      <c r="J263" s="317"/>
      <c r="K263" s="317"/>
      <c r="L263" s="317"/>
      <c r="M263" s="317"/>
      <c r="N263" s="317"/>
      <c r="O263" s="318"/>
      <c r="P263" s="317"/>
      <c r="Q263" s="317"/>
      <c r="R263" s="317"/>
      <c r="S263" s="317"/>
      <c r="T263" s="317"/>
      <c r="U263" s="317"/>
      <c r="V263" s="317"/>
      <c r="W263" s="317"/>
      <c r="X263" s="317"/>
    </row>
    <row r="264" customFormat="false" ht="15.75" hidden="false" customHeight="true" outlineLevel="0" collapsed="false">
      <c r="A264" s="314"/>
      <c r="B264" s="315"/>
      <c r="C264" s="315"/>
      <c r="D264" s="315"/>
      <c r="E264" s="315"/>
      <c r="F264" s="315"/>
      <c r="G264" s="315"/>
      <c r="H264" s="315"/>
      <c r="I264" s="315"/>
      <c r="J264" s="315"/>
      <c r="K264" s="315"/>
      <c r="L264" s="315"/>
      <c r="M264" s="315"/>
      <c r="N264" s="315"/>
      <c r="O264" s="315"/>
      <c r="P264" s="315"/>
      <c r="Q264" s="315"/>
      <c r="R264" s="315"/>
      <c r="S264" s="315"/>
      <c r="T264" s="315"/>
      <c r="U264" s="315"/>
      <c r="V264" s="315"/>
      <c r="W264" s="315"/>
      <c r="X264" s="315"/>
    </row>
    <row r="265" customFormat="false" ht="15.75" hidden="false" customHeight="true" outlineLevel="0" collapsed="false">
      <c r="A265" s="316"/>
      <c r="B265" s="317"/>
      <c r="C265" s="317"/>
      <c r="D265" s="317"/>
      <c r="E265" s="317"/>
      <c r="F265" s="317"/>
      <c r="G265" s="317"/>
      <c r="H265" s="317"/>
      <c r="I265" s="317"/>
      <c r="J265" s="317"/>
      <c r="K265" s="317"/>
      <c r="L265" s="317"/>
      <c r="M265" s="317"/>
      <c r="N265" s="317"/>
      <c r="O265" s="317"/>
      <c r="P265" s="317"/>
      <c r="Q265" s="317"/>
      <c r="R265" s="317"/>
      <c r="S265" s="317"/>
      <c r="T265" s="317"/>
      <c r="U265" s="317"/>
      <c r="V265" s="317"/>
      <c r="W265" s="317"/>
      <c r="X265" s="317"/>
    </row>
    <row r="266" customFormat="false" ht="15.75" hidden="false" customHeight="true" outlineLevel="0" collapsed="false">
      <c r="A266" s="314"/>
      <c r="B266" s="315"/>
      <c r="C266" s="315"/>
      <c r="D266" s="315"/>
      <c r="E266" s="315"/>
      <c r="F266" s="315"/>
      <c r="G266" s="315"/>
      <c r="H266" s="315"/>
      <c r="I266" s="315"/>
      <c r="J266" s="315"/>
      <c r="K266" s="315"/>
      <c r="L266" s="315"/>
      <c r="M266" s="315"/>
      <c r="N266" s="315"/>
      <c r="O266" s="315"/>
      <c r="P266" s="315"/>
      <c r="Q266" s="315"/>
      <c r="R266" s="315"/>
      <c r="S266" s="315"/>
      <c r="T266" s="315"/>
      <c r="U266" s="315"/>
      <c r="V266" s="315"/>
      <c r="W266" s="315"/>
      <c r="X266" s="315"/>
    </row>
    <row r="267" customFormat="false" ht="15.75" hidden="false" customHeight="true" outlineLevel="0" collapsed="false">
      <c r="A267" s="316"/>
      <c r="B267" s="317"/>
      <c r="C267" s="317"/>
      <c r="D267" s="317"/>
      <c r="E267" s="317"/>
      <c r="F267" s="317"/>
      <c r="G267" s="317"/>
      <c r="H267" s="317"/>
      <c r="I267" s="317"/>
      <c r="J267" s="317"/>
      <c r="K267" s="317"/>
      <c r="L267" s="317"/>
      <c r="M267" s="317"/>
      <c r="N267" s="317"/>
      <c r="O267" s="317"/>
      <c r="P267" s="317"/>
      <c r="Q267" s="317"/>
      <c r="R267" s="317"/>
      <c r="S267" s="317"/>
      <c r="T267" s="317"/>
      <c r="U267" s="317"/>
      <c r="V267" s="317"/>
      <c r="W267" s="317"/>
      <c r="X267" s="317"/>
    </row>
    <row r="268" customFormat="false" ht="15.75" hidden="false" customHeight="true" outlineLevel="0" collapsed="false">
      <c r="A268" s="314"/>
      <c r="B268" s="315"/>
      <c r="C268" s="315"/>
      <c r="D268" s="315"/>
      <c r="E268" s="315"/>
      <c r="F268" s="315"/>
      <c r="G268" s="315"/>
      <c r="H268" s="315"/>
      <c r="I268" s="315"/>
      <c r="J268" s="315"/>
      <c r="K268" s="315"/>
      <c r="L268" s="315"/>
      <c r="M268" s="315"/>
      <c r="N268" s="315"/>
      <c r="O268" s="315"/>
      <c r="P268" s="315"/>
      <c r="Q268" s="315"/>
      <c r="R268" s="315"/>
      <c r="S268" s="315"/>
      <c r="T268" s="315"/>
      <c r="U268" s="315"/>
      <c r="V268" s="315"/>
      <c r="W268" s="315"/>
      <c r="X268" s="315"/>
    </row>
    <row r="269" customFormat="false" ht="15.75" hidden="false" customHeight="true" outlineLevel="0" collapsed="false">
      <c r="A269" s="316"/>
      <c r="B269" s="317"/>
      <c r="C269" s="317"/>
      <c r="D269" s="317"/>
      <c r="E269" s="317"/>
      <c r="F269" s="317"/>
      <c r="G269" s="317"/>
      <c r="H269" s="317"/>
      <c r="I269" s="317"/>
      <c r="J269" s="317"/>
      <c r="K269" s="317"/>
      <c r="L269" s="317"/>
      <c r="M269" s="317"/>
      <c r="N269" s="317"/>
      <c r="O269" s="317"/>
      <c r="P269" s="317"/>
      <c r="Q269" s="317"/>
      <c r="R269" s="317"/>
      <c r="S269" s="317"/>
      <c r="T269" s="317"/>
      <c r="U269" s="317"/>
      <c r="V269" s="317"/>
      <c r="W269" s="317"/>
      <c r="X269" s="317"/>
    </row>
    <row r="270" customFormat="false" ht="15.75" hidden="false" customHeight="true" outlineLevel="0" collapsed="false">
      <c r="A270" s="314"/>
      <c r="B270" s="315"/>
      <c r="C270" s="315"/>
      <c r="D270" s="315"/>
      <c r="E270" s="315"/>
      <c r="F270" s="315"/>
      <c r="G270" s="315"/>
      <c r="H270" s="315"/>
      <c r="I270" s="315"/>
      <c r="J270" s="315"/>
      <c r="K270" s="315"/>
      <c r="L270" s="315"/>
      <c r="M270" s="315"/>
      <c r="N270" s="315"/>
      <c r="O270" s="315"/>
      <c r="P270" s="315"/>
      <c r="Q270" s="315"/>
      <c r="R270" s="315"/>
      <c r="S270" s="315"/>
      <c r="T270" s="315"/>
      <c r="U270" s="315"/>
      <c r="V270" s="315"/>
      <c r="W270" s="315"/>
      <c r="X270" s="315"/>
    </row>
    <row r="271" customFormat="false" ht="15.75" hidden="false" customHeight="true" outlineLevel="0" collapsed="false">
      <c r="A271" s="316"/>
      <c r="B271" s="317"/>
      <c r="C271" s="317"/>
      <c r="D271" s="317"/>
      <c r="E271" s="317"/>
      <c r="F271" s="317"/>
      <c r="G271" s="317"/>
      <c r="H271" s="317"/>
      <c r="I271" s="317"/>
      <c r="J271" s="317"/>
      <c r="K271" s="317"/>
      <c r="L271" s="317"/>
      <c r="M271" s="317"/>
      <c r="N271" s="317"/>
      <c r="O271" s="317"/>
      <c r="P271" s="317"/>
      <c r="Q271" s="317"/>
      <c r="R271" s="317"/>
      <c r="S271" s="317"/>
      <c r="T271" s="317"/>
      <c r="U271" s="317"/>
      <c r="V271" s="317"/>
      <c r="W271" s="317"/>
      <c r="X271" s="3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2026-04-22T07:55:12Z</dcterms:created>
  <dc:creator>openpyxl</dc:creator>
  <dc:description/>
  <dc:language>en-US</dc:language>
  <cp:lastModifiedBy>Administrator</cp:lastModifiedBy>
  <dcterms:modified xsi:type="dcterms:W3CDTF">2026-09-04T10:14:06Z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